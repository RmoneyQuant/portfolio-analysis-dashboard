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emo" sheetId="1" r:id="rId5"/>
    <sheet state="hidden" name="TRADE_INSTRUCTIONS_HPC39_7" sheetId="2" r:id="rId6"/>
    <sheet state="hidden" name="TRADE_INSTRUCTIONS_HPC39_8_1_JU" sheetId="3" r:id="rId7"/>
    <sheet state="hidden" name="TradingInstruction_Hpc39_10_Jul" sheetId="4" r:id="rId8"/>
    <sheet state="hidden" name="TradingInstruction_Hpc39_10_Sep" sheetId="5" r:id="rId9"/>
    <sheet state="hidden" name="TRADE_INSTRUCTIONS_HPC39_5" sheetId="6" r:id="rId10"/>
    <sheet state="visible" name="PC" sheetId="7" r:id="rId11"/>
    <sheet state="hidden" name="TRADE_INSTRUCTIONS_HPC39_7_" sheetId="8" r:id="rId12"/>
    <sheet state="hidden" name="Sheet44" sheetId="9" r:id="rId13"/>
    <sheet state="visible" name="Rebalance dates" sheetId="10" r:id="rId14"/>
    <sheet state="visible" name="hpc39_5" sheetId="11" r:id="rId15"/>
    <sheet state="visible" name="hpc39_7" sheetId="12" r:id="rId16"/>
    <sheet state="visible" name="hpc39_10" sheetId="13" r:id="rId17"/>
    <sheet state="visible" name="hpc39_8" sheetId="14" r:id="rId18"/>
    <sheet state="visible" name="hpc39_5 cash ledger" sheetId="15" r:id="rId19"/>
    <sheet state="visible" name="hpc39_7 cash ledger" sheetId="16" r:id="rId20"/>
    <sheet state="visible" name="hpc39_8 cash ledger" sheetId="17" r:id="rId21"/>
    <sheet state="visible" name="hpc39_10 cash ledger" sheetId="18" r:id="rId22"/>
    <sheet state="hidden" name="hpc39_5 nse fo nifty legder" sheetId="19" r:id="rId23"/>
    <sheet state="visible" name="hpc39_5 nse fo optionledger" sheetId="20" r:id="rId24"/>
    <sheet state="hidden" name="HPC39_7 backtest" sheetId="21" r:id="rId25"/>
    <sheet state="visible" name="hpc39_7 nse fo ledger" sheetId="22" r:id="rId26"/>
    <sheet state="visible" name="hpc39_8 nse fo ledger" sheetId="23" r:id="rId27"/>
    <sheet state="visible" name="hpc39_10 nse fo" sheetId="24" r:id="rId28"/>
    <sheet state="visible" name="Sheet43" sheetId="25" r:id="rId29"/>
    <sheet state="hidden" name="TradingInstruction_Hpc39_10_jun" sheetId="26" r:id="rId30"/>
  </sheets>
  <definedNames>
    <definedName hidden="1" localSheetId="1" name="_xlnm._FilterDatabase">TRADE_INSTRUCTIONS_HPC39_7!$A$3:$J$50</definedName>
    <definedName hidden="1" localSheetId="2" name="_xlnm._FilterDatabase">TRADE_INSTRUCTIONS_HPC39_8_1_JU!$A$3:$K$47</definedName>
    <definedName hidden="1" localSheetId="3" name="_xlnm._FilterDatabase">TradingInstruction_Hpc39_10_Jul!$A$3:$K$25</definedName>
    <definedName hidden="1" localSheetId="4" name="_xlnm._FilterDatabase">TradingInstruction_Hpc39_10_Sep!$A$3:$AA$30</definedName>
    <definedName hidden="1" localSheetId="5" name="_xlnm._FilterDatabase">TRADE_INSTRUCTIONS_HPC39_5!$A$3:$J$47</definedName>
    <definedName hidden="1" localSheetId="7" name="_xlnm._FilterDatabase">TRADE_INSTRUCTIONS_HPC39_7_!$A$3:$K$48</definedName>
    <definedName hidden="1" localSheetId="10" name="_xlnm._FilterDatabase">hpc39_5!$A$156:$C$177</definedName>
  </definedNames>
  <calcPr/>
</workbook>
</file>

<file path=xl/sharedStrings.xml><?xml version="1.0" encoding="utf-8"?>
<sst xmlns="http://schemas.openxmlformats.org/spreadsheetml/2006/main" count="8540" uniqueCount="718">
  <si>
    <t>RVNL</t>
  </si>
  <si>
    <t>Money Allocated</t>
  </si>
  <si>
    <t>COCHINSHIP</t>
  </si>
  <si>
    <t>INOXWIND</t>
  </si>
  <si>
    <t>TRENT</t>
  </si>
  <si>
    <t>HUDCO</t>
  </si>
  <si>
    <t>Amol Ji</t>
  </si>
  <si>
    <t>GODFRYPHLP</t>
  </si>
  <si>
    <t>OFSS</t>
  </si>
  <si>
    <t>GVT&amp;D</t>
  </si>
  <si>
    <t>IREDA</t>
  </si>
  <si>
    <t>NETWEB</t>
  </si>
  <si>
    <t>JUBLPHARMA</t>
  </si>
  <si>
    <t>Vishal Ji</t>
  </si>
  <si>
    <t>DIXON</t>
  </si>
  <si>
    <t>POWERINDIA</t>
  </si>
  <si>
    <t>KAYNES</t>
  </si>
  <si>
    <t>Symbol</t>
  </si>
  <si>
    <t>targetWeight</t>
  </si>
  <si>
    <t>IFCI</t>
  </si>
  <si>
    <t>currentPrice</t>
  </si>
  <si>
    <t>currentQty</t>
  </si>
  <si>
    <t>ANANTRAJ</t>
  </si>
  <si>
    <t>targetQty</t>
  </si>
  <si>
    <t>ZOMATO</t>
  </si>
  <si>
    <t>action</t>
  </si>
  <si>
    <t>actionQty</t>
  </si>
  <si>
    <t>Buy/Sell Qty</t>
  </si>
  <si>
    <t>NATIONALUM</t>
  </si>
  <si>
    <t>Price</t>
  </si>
  <si>
    <t>Value</t>
  </si>
  <si>
    <t>SCHNEIDER</t>
  </si>
  <si>
    <t>NET QTY</t>
  </si>
  <si>
    <t>POLICYBZR</t>
  </si>
  <si>
    <t>ANANDRATHI</t>
  </si>
  <si>
    <t>Amol ji</t>
  </si>
  <si>
    <t>Vishal</t>
  </si>
  <si>
    <t>ABCAPITAL</t>
  </si>
  <si>
    <t>Stock</t>
  </si>
  <si>
    <t>buy/sell price</t>
  </si>
  <si>
    <t>NET Qty</t>
  </si>
  <si>
    <t>BANDHANBNK</t>
  </si>
  <si>
    <t>SELL</t>
  </si>
  <si>
    <t>ASTERDM</t>
  </si>
  <si>
    <t>BDL</t>
  </si>
  <si>
    <t>BLUEJET</t>
  </si>
  <si>
    <t>BSE</t>
  </si>
  <si>
    <t>CEATLTD</t>
  </si>
  <si>
    <t>CHOICEIN</t>
  </si>
  <si>
    <t>AMBER</t>
  </si>
  <si>
    <t>CREDITACC</t>
  </si>
  <si>
    <t>ASHOKLEY</t>
  </si>
  <si>
    <t>ECLERX</t>
  </si>
  <si>
    <t>BUY</t>
  </si>
  <si>
    <t>AUBANK</t>
  </si>
  <si>
    <t>FORTIS</t>
  </si>
  <si>
    <t>DEEPAKFERT</t>
  </si>
  <si>
    <t>BEL</t>
  </si>
  <si>
    <t>GPIL</t>
  </si>
  <si>
    <t>GESHIP</t>
  </si>
  <si>
    <t>GRSE</t>
  </si>
  <si>
    <t>IDFCFIRSTB</t>
  </si>
  <si>
    <t>CANBK</t>
  </si>
  <si>
    <t>CHAMBLFERT</t>
  </si>
  <si>
    <t>IRB</t>
  </si>
  <si>
    <t>DELHIVERY</t>
  </si>
  <si>
    <t>DOMS</t>
  </si>
  <si>
    <t>FORCEMOT</t>
  </si>
  <si>
    <t>LLOYDSME</t>
  </si>
  <si>
    <t>FSL</t>
  </si>
  <si>
    <t>KIRLOSBROS</t>
  </si>
  <si>
    <t>GLENMARK</t>
  </si>
  <si>
    <t>MAZDOCK</t>
  </si>
  <si>
    <t>HEROMOTOCO</t>
  </si>
  <si>
    <t>INTELLECT</t>
  </si>
  <si>
    <t>PAYTM</t>
  </si>
  <si>
    <t>INDIANB</t>
  </si>
  <si>
    <t>VEDL</t>
  </si>
  <si>
    <t>ITI</t>
  </si>
  <si>
    <t>KEI</t>
  </si>
  <si>
    <t>JKCEMENT</t>
  </si>
  <si>
    <t>LAURUSLABS</t>
  </si>
  <si>
    <t>LTF</t>
  </si>
  <si>
    <t>MANAPPURAM</t>
  </si>
  <si>
    <t>MUTHOOTFIN</t>
  </si>
  <si>
    <t>MOTILALOFS</t>
  </si>
  <si>
    <t>MCX</t>
  </si>
  <si>
    <t>NAVINFLUOR</t>
  </si>
  <si>
    <t>RBLBANK</t>
  </si>
  <si>
    <t>OIL</t>
  </si>
  <si>
    <t>NAM-INDIA</t>
  </si>
  <si>
    <t>SYRMA</t>
  </si>
  <si>
    <t>PNB</t>
  </si>
  <si>
    <t>ASAHIINDIA</t>
  </si>
  <si>
    <t>REDINGTON</t>
  </si>
  <si>
    <t>SAIL</t>
  </si>
  <si>
    <t>TVSMOTOR</t>
  </si>
  <si>
    <t>UPL</t>
  </si>
  <si>
    <t>UNIONBANK</t>
  </si>
  <si>
    <t>CCL</t>
  </si>
  <si>
    <t>CHENNPETRO</t>
  </si>
  <si>
    <t>ONGC</t>
  </si>
  <si>
    <t>WAAREEENER</t>
  </si>
  <si>
    <t>ADANIENSOL</t>
  </si>
  <si>
    <t>ADANIENT</t>
  </si>
  <si>
    <t>ADANIGREEN</t>
  </si>
  <si>
    <t>CRAFTSMAN</t>
  </si>
  <si>
    <t>CUB</t>
  </si>
  <si>
    <t>ADANIPOWER</t>
  </si>
  <si>
    <t>GMDCLTD</t>
  </si>
  <si>
    <t>BHARATFORG</t>
  </si>
  <si>
    <t>HINDCOPPER</t>
  </si>
  <si>
    <t>HINDALCO</t>
  </si>
  <si>
    <t>INDIACEM</t>
  </si>
  <si>
    <t>BHEL</t>
  </si>
  <si>
    <t>JKTYRE</t>
  </si>
  <si>
    <t>JINDALSTEL</t>
  </si>
  <si>
    <t>CGPOWER</t>
  </si>
  <si>
    <t>CUMMINSIND</t>
  </si>
  <si>
    <t>NIACL</t>
  </si>
  <si>
    <t>TATASTEEL</t>
  </si>
  <si>
    <t>SHRIRAMFIN</t>
  </si>
  <si>
    <t>FEDERALBNK</t>
  </si>
  <si>
    <t>GMRAIRPORT</t>
  </si>
  <si>
    <t>HPC39_10</t>
  </si>
  <si>
    <t>KAPIL SIR</t>
  </si>
  <si>
    <t>BHAN01</t>
  </si>
  <si>
    <t>INE545U01014</t>
  </si>
  <si>
    <t>CRED01</t>
  </si>
  <si>
    <t>INE741K01010</t>
  </si>
  <si>
    <t>DEEP02</t>
  </si>
  <si>
    <t>MOTHERSON</t>
  </si>
  <si>
    <t>INE501A01019</t>
  </si>
  <si>
    <t>GESH01</t>
  </si>
  <si>
    <t>INE017A01032</t>
  </si>
  <si>
    <t>GPIL01</t>
  </si>
  <si>
    <t>INE177H01039</t>
  </si>
  <si>
    <t>net qty</t>
  </si>
  <si>
    <t>NYKAA</t>
  </si>
  <si>
    <t>HIND01</t>
  </si>
  <si>
    <t>INE038A01020</t>
  </si>
  <si>
    <t>CYIENT</t>
  </si>
  <si>
    <t>IDFC05</t>
  </si>
  <si>
    <t>INE092T01019</t>
  </si>
  <si>
    <t>IRB001</t>
  </si>
  <si>
    <t>INE821I01022</t>
  </si>
  <si>
    <t>JIND01</t>
  </si>
  <si>
    <t>INE749A01030</t>
  </si>
  <si>
    <t>POLYCAB</t>
  </si>
  <si>
    <t>LLOY02</t>
  </si>
  <si>
    <t>INE281B01032</t>
  </si>
  <si>
    <t>MANA02</t>
  </si>
  <si>
    <t>RADICO</t>
  </si>
  <si>
    <t>INE522D01027</t>
  </si>
  <si>
    <t>MOTI01</t>
  </si>
  <si>
    <t>INE338I01027</t>
  </si>
  <si>
    <t>NATI01</t>
  </si>
  <si>
    <t>INE139A01034</t>
  </si>
  <si>
    <t>NIAC01</t>
  </si>
  <si>
    <t>INE470Y01017</t>
  </si>
  <si>
    <t>SONACOMS</t>
  </si>
  <si>
    <t>OIL001</t>
  </si>
  <si>
    <t>INE274J01014</t>
  </si>
  <si>
    <t>JINDALSAW</t>
  </si>
  <si>
    <t>PNB001</t>
  </si>
  <si>
    <t>INE160A01022</t>
  </si>
  <si>
    <t>REDI01</t>
  </si>
  <si>
    <t>INE891D01026</t>
  </si>
  <si>
    <t>TATA01</t>
  </si>
  <si>
    <t>INE081A01020</t>
  </si>
  <si>
    <t>UPL001</t>
  </si>
  <si>
    <t>INE628A01036</t>
  </si>
  <si>
    <t>VEDL01</t>
  </si>
  <si>
    <t>INE205A01025</t>
  </si>
  <si>
    <t>PVRINOX</t>
  </si>
  <si>
    <t>KEC</t>
  </si>
  <si>
    <t>ZEEL</t>
  </si>
  <si>
    <t>ELECON</t>
  </si>
  <si>
    <t>GODREJPROP</t>
  </si>
  <si>
    <t>JMFINANCIL</t>
  </si>
  <si>
    <t>LTFOODS</t>
  </si>
  <si>
    <t>PCBL</t>
  </si>
  <si>
    <t>YESBANK</t>
  </si>
  <si>
    <t>net QTy</t>
  </si>
  <si>
    <t>admin</t>
  </si>
  <si>
    <t>Date of Entry</t>
  </si>
  <si>
    <t>Index Price on entry date</t>
  </si>
  <si>
    <t>Current Index Price</t>
  </si>
  <si>
    <t>Return Index</t>
  </si>
  <si>
    <t>Portfolio Invested</t>
  </si>
  <si>
    <t>Current Value</t>
  </si>
  <si>
    <t>Performance</t>
  </si>
  <si>
    <t>Alpha</t>
  </si>
  <si>
    <t>HPC39_5</t>
  </si>
  <si>
    <t>ACUTAAS</t>
  </si>
  <si>
    <t>ATHERENERG</t>
  </si>
  <si>
    <t>BELRISE</t>
  </si>
  <si>
    <t>GABRIEL</t>
  </si>
  <si>
    <t>KIRLOSENG</t>
  </si>
  <si>
    <t>HPC39_7</t>
  </si>
  <si>
    <t>HPC39_8</t>
  </si>
  <si>
    <t>USHAMART</t>
  </si>
  <si>
    <t>Client Code</t>
  </si>
  <si>
    <t>AEGISLOG</t>
  </si>
  <si>
    <t>Name</t>
  </si>
  <si>
    <t>Scrip Code</t>
  </si>
  <si>
    <t>Scrip Name</t>
  </si>
  <si>
    <t>ISIN Code</t>
  </si>
  <si>
    <t>Close Rate</t>
  </si>
  <si>
    <t>Stk.Value Credit</t>
  </si>
  <si>
    <t>Stk.Value Debit</t>
  </si>
  <si>
    <t>Variance</t>
  </si>
  <si>
    <t>Stock Val</t>
  </si>
  <si>
    <t>APARINDS</t>
  </si>
  <si>
    <t>AMOL</t>
  </si>
  <si>
    <t>ABCA01</t>
  </si>
  <si>
    <t>INE674K01013</t>
  </si>
  <si>
    <t>ACUT01</t>
  </si>
  <si>
    <t>ADAN06</t>
  </si>
  <si>
    <t>INE931S01010</t>
  </si>
  <si>
    <t>ADAN01</t>
  </si>
  <si>
    <t>INE814H01029</t>
  </si>
  <si>
    <t>ANAN02</t>
  </si>
  <si>
    <t>INE463V01026</t>
  </si>
  <si>
    <t>APAR01</t>
  </si>
  <si>
    <t>INE372A01015</t>
  </si>
  <si>
    <t>CEMPRO</t>
  </si>
  <si>
    <t>ATHE01</t>
  </si>
  <si>
    <t>BELR01</t>
  </si>
  <si>
    <t>BSE001</t>
  </si>
  <si>
    <t>INE118H01025</t>
  </si>
  <si>
    <t>CHEN01</t>
  </si>
  <si>
    <t>INE178A01016</t>
  </si>
  <si>
    <t>CPPLUS</t>
  </si>
  <si>
    <t>CUMM01</t>
  </si>
  <si>
    <t>INE298A01020</t>
  </si>
  <si>
    <t>FORC01</t>
  </si>
  <si>
    <t>INE451A01017</t>
  </si>
  <si>
    <t>DATAPATTNS</t>
  </si>
  <si>
    <t>GABR01</t>
  </si>
  <si>
    <t>INE524A01029</t>
  </si>
  <si>
    <t>GMDC01</t>
  </si>
  <si>
    <t>INE131A01031</t>
  </si>
  <si>
    <t>GVT&amp;01</t>
  </si>
  <si>
    <t>HFCL</t>
  </si>
  <si>
    <t>INE200A01026</t>
  </si>
  <si>
    <t>HFCL01</t>
  </si>
  <si>
    <t>INE548A01028</t>
  </si>
  <si>
    <t>HIND06</t>
  </si>
  <si>
    <t>INE531E01026</t>
  </si>
  <si>
    <t>IDEA01</t>
  </si>
  <si>
    <t>IDEA</t>
  </si>
  <si>
    <t>INE669E01016</t>
  </si>
  <si>
    <t>KIRL01</t>
  </si>
  <si>
    <t>INE146L01010</t>
  </si>
  <si>
    <t>LAUR01</t>
  </si>
  <si>
    <t>INE947Q01028</t>
  </si>
  <si>
    <t>LTF001</t>
  </si>
  <si>
    <t>INE498L01015</t>
  </si>
  <si>
    <t>PFOCUS</t>
  </si>
  <si>
    <t>MCX001</t>
  </si>
  <si>
    <t>INE745G01043</t>
  </si>
  <si>
    <t>NAM01</t>
  </si>
  <si>
    <t>INE298J01013</t>
  </si>
  <si>
    <t>RRKABEL</t>
  </si>
  <si>
    <t>NETW02</t>
  </si>
  <si>
    <t>INE0NT901020</t>
  </si>
  <si>
    <t>POWE03</t>
  </si>
  <si>
    <t>INE07Y701011</t>
  </si>
  <si>
    <t>SCHN01</t>
  </si>
  <si>
    <t>INE839M01018</t>
  </si>
  <si>
    <t>SYRM01</t>
  </si>
  <si>
    <t>INE0DYJ01015</t>
  </si>
  <si>
    <t>WELCORP</t>
  </si>
  <si>
    <t>USHA01</t>
  </si>
  <si>
    <t>INE228A01035</t>
  </si>
  <si>
    <t>WELSPUNLIV</t>
  </si>
  <si>
    <t>CYIE01</t>
  </si>
  <si>
    <t>INE136B01020</t>
  </si>
  <si>
    <t>JIND03</t>
  </si>
  <si>
    <t>INE324A01032</t>
  </si>
  <si>
    <t>KEC001</t>
  </si>
  <si>
    <t>INE389H01022</t>
  </si>
  <si>
    <t>ONGC01</t>
  </si>
  <si>
    <t>INE213A01029</t>
  </si>
  <si>
    <t>PCBL01</t>
  </si>
  <si>
    <t>INE602A01031</t>
  </si>
  <si>
    <t>PVRI01</t>
  </si>
  <si>
    <t>INE191H01014</t>
  </si>
  <si>
    <t>ZEEL01</t>
  </si>
  <si>
    <t>INE256A01028</t>
  </si>
  <si>
    <t>ABDL</t>
  </si>
  <si>
    <t>GALLANTT</t>
  </si>
  <si>
    <t>HBLENGINE</t>
  </si>
  <si>
    <t>SCI</t>
  </si>
  <si>
    <t>Rebalance dates</t>
  </si>
  <si>
    <t>Total cash to be allocated</t>
  </si>
  <si>
    <t>NewInvesting
HPC39_10</t>
  </si>
  <si>
    <t>Rebalance Date</t>
  </si>
  <si>
    <t>Target rebalance date</t>
  </si>
  <si>
    <t>Qty</t>
  </si>
  <si>
    <t>Buying rate</t>
  </si>
  <si>
    <t>Changed Qty</t>
  </si>
  <si>
    <t>Amount at entry</t>
  </si>
  <si>
    <t>Actual Price</t>
  </si>
  <si>
    <t>Amount by M2M</t>
  </si>
  <si>
    <t>P&amp;L</t>
  </si>
  <si>
    <t>qty</t>
  </si>
  <si>
    <t>Buying Rate</t>
  </si>
  <si>
    <t>GRANULES</t>
  </si>
  <si>
    <t>HONASA</t>
  </si>
  <si>
    <t>J&amp;KBANK</t>
  </si>
  <si>
    <t>ABDL01</t>
  </si>
  <si>
    <t>CCL001</t>
  </si>
  <si>
    <t>INE421D01022</t>
  </si>
  <si>
    <t>DATA02</t>
  </si>
  <si>
    <t>INE0IX101010</t>
  </si>
  <si>
    <t>GALL01</t>
  </si>
  <si>
    <t>GRSE01</t>
  </si>
  <si>
    <t>INE382Z01011</t>
  </si>
  <si>
    <t>HBLE01</t>
  </si>
  <si>
    <t>INE292B01021</t>
  </si>
  <si>
    <t>SCI001</t>
  </si>
  <si>
    <t>INE109A01011</t>
  </si>
  <si>
    <t>WELC01</t>
  </si>
  <si>
    <t>INE191B01025</t>
  </si>
  <si>
    <t>INE439A01020</t>
  </si>
  <si>
    <t>INE208A01029</t>
  </si>
  <si>
    <t>INE949L01017</t>
  </si>
  <si>
    <t>BANKINDIA</t>
  </si>
  <si>
    <t>INE263A01024</t>
  </si>
  <si>
    <t>INE476A01022</t>
  </si>
  <si>
    <t>INE00LO01017</t>
  </si>
  <si>
    <t>INE491A01021</t>
  </si>
  <si>
    <t>INE738I01010</t>
  </si>
  <si>
    <t>GRAPHITE</t>
  </si>
  <si>
    <t>KARURVYSYA</t>
  </si>
  <si>
    <t>INE383A01012</t>
  </si>
  <si>
    <t>MRPL</t>
  </si>
  <si>
    <t>INE573A01042</t>
  </si>
  <si>
    <t>INE414G01012</t>
  </si>
  <si>
    <t>BHARTIHEXA</t>
  </si>
  <si>
    <t>INE976G01028</t>
  </si>
  <si>
    <t>INE721A01047</t>
  </si>
  <si>
    <t>COFORGE</t>
  </si>
  <si>
    <t>INE692A01016</t>
  </si>
  <si>
    <t>JSWHL</t>
  </si>
  <si>
    <t>KIMS</t>
  </si>
  <si>
    <t>NAVA</t>
  </si>
  <si>
    <t>RPOWER</t>
  </si>
  <si>
    <t>SARDAEN</t>
  </si>
  <si>
    <t>WOCKPHARMA</t>
  </si>
  <si>
    <t>NIFTY 25 Nov Fut</t>
  </si>
  <si>
    <t>dr</t>
  </si>
  <si>
    <t>cr</t>
  </si>
  <si>
    <t>net</t>
  </si>
  <si>
    <t>holding</t>
  </si>
  <si>
    <t>p&amp;l</t>
  </si>
  <si>
    <t>Nifty Performance</t>
  </si>
  <si>
    <t>Strategy performance</t>
  </si>
  <si>
    <t>Settlement Posting-NU4165</t>
  </si>
  <si>
    <t>DLV1-0309-NU4165/HPC39_5</t>
  </si>
  <si>
    <t>Settlement Posting-NG4165</t>
  </si>
  <si>
    <t>DLV3-0309-NG4165/HPC39_5</t>
  </si>
  <si>
    <t>22-10-2024</t>
  </si>
  <si>
    <t>21-10-2024</t>
  </si>
  <si>
    <t>23-10-2024</t>
  </si>
  <si>
    <t>24-10-2024</t>
  </si>
  <si>
    <t>25-10-2024</t>
  </si>
  <si>
    <t>28-10-2024</t>
  </si>
  <si>
    <t>29-10-2024</t>
  </si>
  <si>
    <t>30-10-2024</t>
  </si>
  <si>
    <t>31-10-2024</t>
  </si>
  <si>
    <t>CAPLIPOINT</t>
  </si>
  <si>
    <t>13-11-2024</t>
  </si>
  <si>
    <t>CHOLAHLDNG</t>
  </si>
  <si>
    <t>14-11-2024</t>
  </si>
  <si>
    <t>18-11-2024</t>
  </si>
  <si>
    <t>19-11-2024</t>
  </si>
  <si>
    <t>COROMANDEL</t>
  </si>
  <si>
    <t>21-11-2024</t>
  </si>
  <si>
    <t>22-11-2024</t>
  </si>
  <si>
    <t>25-11-2024</t>
  </si>
  <si>
    <t>26-11-2024</t>
  </si>
  <si>
    <t>27-11-2024</t>
  </si>
  <si>
    <t>28-11-2024</t>
  </si>
  <si>
    <t>GRAVITA</t>
  </si>
  <si>
    <t>29-11-2024</t>
  </si>
  <si>
    <t>NEULANDLAB</t>
  </si>
  <si>
    <t>Settlement Posting-NG4231</t>
  </si>
  <si>
    <t>DLV1-0912-NG4231/HPC39_5</t>
  </si>
  <si>
    <t>Settlement Posting-NU4231</t>
  </si>
  <si>
    <t>PGEL</t>
  </si>
  <si>
    <t>DLV1-0912-NU4231/HPC39_5</t>
  </si>
  <si>
    <t>13-12-2024</t>
  </si>
  <si>
    <t>16-12-2024</t>
  </si>
  <si>
    <t>17-12-2024</t>
  </si>
  <si>
    <t>18-12-2024</t>
  </si>
  <si>
    <t>19-12-2024</t>
  </si>
  <si>
    <t>20-12-2024</t>
  </si>
  <si>
    <t>EIDPARRY</t>
  </si>
  <si>
    <t>ERIS</t>
  </si>
  <si>
    <t>ZENTEC</t>
  </si>
  <si>
    <t>nifty DEC 2025 put</t>
  </si>
  <si>
    <t>NH</t>
  </si>
  <si>
    <t>TARIL</t>
  </si>
  <si>
    <t>JAIBALAJI</t>
  </si>
  <si>
    <t>TATAINVEST</t>
  </si>
  <si>
    <t>IRFC</t>
  </si>
  <si>
    <t>NBCC</t>
  </si>
  <si>
    <t>SUZLON</t>
  </si>
  <si>
    <t>PTCIL</t>
  </si>
  <si>
    <t>KALYANKJIL</t>
  </si>
  <si>
    <t>PRESTIGE</t>
  </si>
  <si>
    <t>SOBHA</t>
  </si>
  <si>
    <t>AMBE01</t>
  </si>
  <si>
    <t>INE371P01015</t>
  </si>
  <si>
    <t>BHAR07</t>
  </si>
  <si>
    <t>INE343G01021</t>
  </si>
  <si>
    <t>COFO1</t>
  </si>
  <si>
    <t>INE591G01025</t>
  </si>
  <si>
    <t>GODF01</t>
  </si>
  <si>
    <t>INE260B01028</t>
  </si>
  <si>
    <t>JMFI01</t>
  </si>
  <si>
    <t>INE780C01023</t>
  </si>
  <si>
    <t>JSWH01</t>
  </si>
  <si>
    <t>INE824G01012</t>
  </si>
  <si>
    <t>KIMS01</t>
  </si>
  <si>
    <t>INE967H01025</t>
  </si>
  <si>
    <t>MAZD01</t>
  </si>
  <si>
    <t>INE249Z01020</t>
  </si>
  <si>
    <t>INE745G01035</t>
  </si>
  <si>
    <t>NAVA01</t>
  </si>
  <si>
    <t>INE725A01030</t>
  </si>
  <si>
    <t>PAYT01</t>
  </si>
  <si>
    <t>INE982J01020</t>
  </si>
  <si>
    <t>RPOW01</t>
  </si>
  <si>
    <t>INE614G01033</t>
  </si>
  <si>
    <t>SARD01</t>
  </si>
  <si>
    <t>INE385C01021</t>
  </si>
  <si>
    <t>Settlement Posting-NG5047</t>
  </si>
  <si>
    <t>DLV2-0703-NG5047/HPC39_5</t>
  </si>
  <si>
    <t>WOCK01</t>
  </si>
  <si>
    <t>INE049B01025</t>
  </si>
  <si>
    <t>nifty  nov</t>
  </si>
  <si>
    <t>300@25068</t>
  </si>
  <si>
    <t>Settlement Posting-NG5049</t>
  </si>
  <si>
    <t>DLV1-1103-NG5049/HPC39_5</t>
  </si>
  <si>
    <t>JYOTICNC</t>
  </si>
  <si>
    <t>NIFTY25MAR24000PE</t>
  </si>
  <si>
    <t>VOLTAS</t>
  </si>
  <si>
    <t>LUPIN</t>
  </si>
  <si>
    <t>HAL</t>
  </si>
  <si>
    <t>SIEMENS</t>
  </si>
  <si>
    <t>BAJAJ-AUTO</t>
  </si>
  <si>
    <t>PERSISTENT</t>
  </si>
  <si>
    <t>HINDPETRO</t>
  </si>
  <si>
    <t>M&amp;M</t>
  </si>
  <si>
    <t>DIVISLAB</t>
  </si>
  <si>
    <t>BOSCHLTD</t>
  </si>
  <si>
    <t>IIFL</t>
  </si>
  <si>
    <t>MARUTI</t>
  </si>
  <si>
    <t>MFSL</t>
  </si>
  <si>
    <t>Settlement Posting-NG5104</t>
  </si>
  <si>
    <t>DLV4-0406-NG5104/HPC39_5</t>
  </si>
  <si>
    <t>Settlement Posting-NU5104</t>
  </si>
  <si>
    <t>DLV1-0406-NU5104/HPC39_5</t>
  </si>
  <si>
    <t>SBILIFE</t>
  </si>
  <si>
    <t>SOLARINDS</t>
  </si>
  <si>
    <t>ASHO01</t>
  </si>
  <si>
    <t>BAJF01</t>
  </si>
  <si>
    <t>BAJFINANCE</t>
  </si>
  <si>
    <t>INE296A01032</t>
  </si>
  <si>
    <t>BDL001</t>
  </si>
  <si>
    <t>INE171Z01026</t>
  </si>
  <si>
    <t>BEL001</t>
  </si>
  <si>
    <t>PEL</t>
  </si>
  <si>
    <t>DIXO01</t>
  </si>
  <si>
    <t>INE935N01020</t>
  </si>
  <si>
    <t>EICH01</t>
  </si>
  <si>
    <t>EICHERMOT</t>
  </si>
  <si>
    <t>INE066A01021</t>
  </si>
  <si>
    <t>FORT01</t>
  </si>
  <si>
    <t>INE061F01013</t>
  </si>
  <si>
    <t>GLEN01</t>
  </si>
  <si>
    <t>INE935A01035</t>
  </si>
  <si>
    <t>HAL001</t>
  </si>
  <si>
    <t>INE066F01020</t>
  </si>
  <si>
    <t>HDFC06</t>
  </si>
  <si>
    <t>HDFCAMC</t>
  </si>
  <si>
    <t>INE127D01025</t>
  </si>
  <si>
    <t>INDI01</t>
  </si>
  <si>
    <t>INE562A01011</t>
  </si>
  <si>
    <t>KAYN01</t>
  </si>
  <si>
    <t>INE918Z01012</t>
  </si>
  <si>
    <t>Settlement Posting-NG5167</t>
  </si>
  <si>
    <t>DLV3-0309-NG5167/HPC39_5</t>
  </si>
  <si>
    <t>MFSL01</t>
  </si>
  <si>
    <t>INE180A01020</t>
  </si>
  <si>
    <t>MUTH01</t>
  </si>
  <si>
    <t>PEL001</t>
  </si>
  <si>
    <t>PIRAMALFIN</t>
  </si>
  <si>
    <t>INE202B01038</t>
  </si>
  <si>
    <t>RBLB01</t>
  </si>
  <si>
    <t>SOLA01</t>
  </si>
  <si>
    <t>INE343H01029</t>
  </si>
  <si>
    <t>TVSM01</t>
  </si>
  <si>
    <t>INE494B01023</t>
  </si>
  <si>
    <t>UNIO01</t>
  </si>
  <si>
    <t>UNOMINDA</t>
  </si>
  <si>
    <t>Settlement Posting-NG4217</t>
  </si>
  <si>
    <t>DLV1-1811-NG4217/HPC39_7</t>
  </si>
  <si>
    <t>UNOM01</t>
  </si>
  <si>
    <t>INE405E01023</t>
  </si>
  <si>
    <t>CDSL</t>
  </si>
  <si>
    <t>Settlement Posting-NG4211</t>
  </si>
  <si>
    <t>DLV2-0711-NG4211/HPC39_6</t>
  </si>
  <si>
    <t>PNBHOUSING</t>
  </si>
  <si>
    <t>BHARTIARTL</t>
  </si>
  <si>
    <t>HDFCLIFE</t>
  </si>
  <si>
    <t>INDIGO</t>
  </si>
  <si>
    <t>Settlement Posting-NG6046</t>
  </si>
  <si>
    <t>DLV3-1003-NG6046/HPC39_5</t>
  </si>
  <si>
    <t>KFINTECH</t>
  </si>
  <si>
    <t>PPLPHARMA</t>
  </si>
  <si>
    <t>SRF</t>
  </si>
  <si>
    <t>Settlement Posting-NG6102</t>
  </si>
  <si>
    <t>DLV3-0406-NG6102/HPC39_5</t>
  </si>
  <si>
    <t>HINDZINC</t>
  </si>
  <si>
    <t>JUBLFOOD</t>
  </si>
  <si>
    <t>Settlement Posting-NG6167</t>
  </si>
  <si>
    <t>DLV3-0409-NG6167/HPC39_5</t>
  </si>
  <si>
    <t>Settlement Posting-NU6167</t>
  </si>
  <si>
    <t>DLV1-0409-NU6167/HPC39_5</t>
  </si>
  <si>
    <t>INDHOTEL</t>
  </si>
  <si>
    <t>CAMS</t>
  </si>
  <si>
    <t>Settlement Posting-NG5084</t>
  </si>
  <si>
    <t>DLV2-0705-NG5084/HPC39_7</t>
  </si>
  <si>
    <t>Settlement Posting-NU5084</t>
  </si>
  <si>
    <t>DLV1-0705-NU5084/HPC39_7</t>
  </si>
  <si>
    <t>Settlement Posting-NG5090</t>
  </si>
  <si>
    <t>DLV2-1505-NG5090/HPC39_7</t>
  </si>
  <si>
    <t>Settlement Posting-NG5091</t>
  </si>
  <si>
    <t>DLV2-1605-NG5091/HPC39_7</t>
  </si>
  <si>
    <t>Settlement Posting-NG5002</t>
  </si>
  <si>
    <t>DLV2-0301-NG5002/HPC39_8</t>
  </si>
  <si>
    <t>Settlement Posting-NG5099</t>
  </si>
  <si>
    <t>DLV4-2805-NG5099/HPC39_7</t>
  </si>
  <si>
    <t>Settlement Posting-NG5064</t>
  </si>
  <si>
    <t>DLV2-0304-NG5064/HPC39_8</t>
  </si>
  <si>
    <t>Settlement Posting-NG5149</t>
  </si>
  <si>
    <t>DLV2-0608-NG5149/HPC39_7</t>
  </si>
  <si>
    <t>Settlement Posting-NU5149</t>
  </si>
  <si>
    <t>DLV1-0608-NU5149/HPC39_7</t>
  </si>
  <si>
    <t>DLV3-1505-NG5090/HPC39_8</t>
  </si>
  <si>
    <t>DLV3-1605-NG5091/HPC39_8</t>
  </si>
  <si>
    <t>DLV5-2805-NG5099/HPC39_8</t>
  </si>
  <si>
    <t>Settlement Posting-NG5125</t>
  </si>
  <si>
    <t>DLV1-0307-NG5125/HPC39_8</t>
  </si>
  <si>
    <t>date</t>
  </si>
  <si>
    <t>narration</t>
  </si>
  <si>
    <t>bill no</t>
  </si>
  <si>
    <t>value date</t>
  </si>
  <si>
    <t>Settlement Posting-NG6116</t>
  </si>
  <si>
    <t>DLV2-2406-NG6116/HPC39_10</t>
  </si>
  <si>
    <t>Settlement Posting-NG5209</t>
  </si>
  <si>
    <t>DLV2-0411-NG5209/HPC39_7</t>
  </si>
  <si>
    <t>Settlement Posting-NG5210</t>
  </si>
  <si>
    <t>DLV1-0611-NG5210/HPC39_7</t>
  </si>
  <si>
    <t>Settlement Posting-NG5211</t>
  </si>
  <si>
    <t>DLV2-0711-NG5211/HPC39_7</t>
  </si>
  <si>
    <t>Settlement Posting-NG6123</t>
  </si>
  <si>
    <t>DLV3-0607-NG6123/HPC39_10</t>
  </si>
  <si>
    <t>Settlement Posting-NG6145</t>
  </si>
  <si>
    <t>DLV2-0508-NG6145/HPC39_10</t>
  </si>
  <si>
    <t>Settlement Posting-NG5189</t>
  </si>
  <si>
    <t>DLV4-0610-NG5189/HPC39_8</t>
  </si>
  <si>
    <t>Settlement Posting-NG5190</t>
  </si>
  <si>
    <t>DLV2-0710-NG5190/HPC39_8</t>
  </si>
  <si>
    <t>Settlement Posting-NG6166</t>
  </si>
  <si>
    <t>DLV3-0309-NG6166/HPC39_10</t>
  </si>
  <si>
    <t>Settlement Posting-NG6025</t>
  </si>
  <si>
    <t>DLV2-0602-NG6025/HPC39_7</t>
  </si>
  <si>
    <t>Settlement Posting-NG6026</t>
  </si>
  <si>
    <t>DLV1-0902-NG6026/HPC39_7</t>
  </si>
  <si>
    <t>Settlement Posting-NG6005</t>
  </si>
  <si>
    <t>DLV3-0801-NG6005/HPC39_8</t>
  </si>
  <si>
    <t>Settlement Posting-NG6009</t>
  </si>
  <si>
    <t>DLV4-1401-NG6009/HPC39_8</t>
  </si>
  <si>
    <t>DATE</t>
  </si>
  <si>
    <t>NARRATION</t>
  </si>
  <si>
    <t>VALUE DATE</t>
  </si>
  <si>
    <t>DR</t>
  </si>
  <si>
    <t>CR</t>
  </si>
  <si>
    <t>NET</t>
  </si>
  <si>
    <t>Daily Future MTM Bill (NFO) 02-09-2025</t>
  </si>
  <si>
    <t>FDLY/HPC39_5-0209</t>
  </si>
  <si>
    <t>Daily Future MTM Bill (NFO) 03-09-2025</t>
  </si>
  <si>
    <t>FDLY/HPC39_5-0309</t>
  </si>
  <si>
    <t>Settlement Posting-NG6082</t>
  </si>
  <si>
    <t>DLV3-0605-NG6082/HPC39_7</t>
  </si>
  <si>
    <t>Settlement Posting-NU6082</t>
  </si>
  <si>
    <t>DLV1-0605-NU6082/HPC39_7</t>
  </si>
  <si>
    <t>Daily Future MTM Bill (NFO) 04-09-2025</t>
  </si>
  <si>
    <t>FDLY/HPC39_5-0409</t>
  </si>
  <si>
    <t>Daily Future MTM Bill (NFO) 05-09-2025</t>
  </si>
  <si>
    <t>FDLY/HPC39_5-0509</t>
  </si>
  <si>
    <t>Daily Future MTM Bill (NFO) 08-09-2025</t>
  </si>
  <si>
    <t>FDLY/HPC39_5-0809</t>
  </si>
  <si>
    <t>Daily Future MTM Bill (NFO) 09-09-2025</t>
  </si>
  <si>
    <t>FDLY/HPC39_5-0909</t>
  </si>
  <si>
    <t>Daily Future MTM Bill (NFO) 10-09-2025</t>
  </si>
  <si>
    <t>FDLY/HPC39_5-1009</t>
  </si>
  <si>
    <t>Daily Future MTM Bill (NFO) 11-09-2025</t>
  </si>
  <si>
    <t>FDLY/HPC39_5-1109</t>
  </si>
  <si>
    <t>Daily Future MTM Bill (NFO) 12-09-2025</t>
  </si>
  <si>
    <t>FDLY/HPC39_5-1209</t>
  </si>
  <si>
    <t>Daily Future MTM Bill (NFO) 15-09-2025</t>
  </si>
  <si>
    <t>FDLY/HPC39_5-1509</t>
  </si>
  <si>
    <t>Daily Future MTM Bill (NFO) 16-09-2025</t>
  </si>
  <si>
    <t>FDLY/HPC39_5-1609</t>
  </si>
  <si>
    <t>Daily Future MTM Bill (NFO) 17-09-2025</t>
  </si>
  <si>
    <t>FDLY/HPC39_5-1709</t>
  </si>
  <si>
    <t>Daily Future MTM Bill (NFO) 18-09-2025</t>
  </si>
  <si>
    <t>FDLY/HPC39_5-1809</t>
  </si>
  <si>
    <t>Daily Future MTM Bill (NFO) 19-09-2025</t>
  </si>
  <si>
    <t>FDLY/HPC39_5-1909</t>
  </si>
  <si>
    <t>Daily Future MTM Bill (NFO) 22-09-2025</t>
  </si>
  <si>
    <t>FDLY/HPC39_5-2209</t>
  </si>
  <si>
    <t>Daily Future MTM Bill (NFO) 23-09-2025</t>
  </si>
  <si>
    <t>FDLY/HPC39_5-2309</t>
  </si>
  <si>
    <t>Daily Future MTM Bill (NFO) 24-09-2025</t>
  </si>
  <si>
    <t>FDLY/HPC39_5-2409</t>
  </si>
  <si>
    <t>Daily Future MTM Bill (NFO) 25-09-2025</t>
  </si>
  <si>
    <t>FDLY/HPC39_5-2509</t>
  </si>
  <si>
    <t>Daily Future MTM Bill (NFO) 26-09-2025</t>
  </si>
  <si>
    <t>FDLY/HPC39_5-2609</t>
  </si>
  <si>
    <t>Daily Future MTM Bill (NFO) 29-09-2025</t>
  </si>
  <si>
    <t>FDLY/HPC39_5-2909</t>
  </si>
  <si>
    <t>Daily Future MTM Bill (NFO) 30-09-2025</t>
  </si>
  <si>
    <t>FDLY/HPC39_5-3009</t>
  </si>
  <si>
    <t>Daily Future MTM Bill (NFO) 01-10-2025</t>
  </si>
  <si>
    <t>FDLY/HPC39_5-0110</t>
  </si>
  <si>
    <t>Daily Future MTM Bill (NFO) 03-10-2025</t>
  </si>
  <si>
    <t>FDLY/HPC39_5-0310</t>
  </si>
  <si>
    <t>Daily Future MTM Bill (NFO) 06-10-2025</t>
  </si>
  <si>
    <t>FDLY/HPC39_5-0610</t>
  </si>
  <si>
    <t>Daily Future MTM Bill (NFO) 07-10-2025</t>
  </si>
  <si>
    <t>FDLY/HPC39_5-0710</t>
  </si>
  <si>
    <t>Daily Future MTM Bill (NFO) 08-10-2025</t>
  </si>
  <si>
    <t>FDLY/HPC39_5-0810</t>
  </si>
  <si>
    <t>Daily Future MTM Bill (NFO) 09-10-2025</t>
  </si>
  <si>
    <t>FDLY/HPC39_5-0910</t>
  </si>
  <si>
    <t>Daily Future MTM Bill (NFO) 10-10-2025</t>
  </si>
  <si>
    <t>FDLY/HPC39_5-1010</t>
  </si>
  <si>
    <t>Daily Future MTM Bill (NFO) 13-10-2025</t>
  </si>
  <si>
    <t>FDLY/HPC39_5-1310</t>
  </si>
  <si>
    <t>Daily Future MTM Bill (NFO) 14-10-2025</t>
  </si>
  <si>
    <t>FDLY/HPC39_5-1410</t>
  </si>
  <si>
    <t>Daily Future MTM Bill (NFO) 15-10-2025</t>
  </si>
  <si>
    <t>FDLY/HPC39_5-1510</t>
  </si>
  <si>
    <t>Daily Future MTM Bill (NFO) 16-10-2025</t>
  </si>
  <si>
    <t>FDLY/HPC39_5-1610</t>
  </si>
  <si>
    <t>Settlement Posting-NG6063</t>
  </si>
  <si>
    <t>DLV3-0704-NG6063/HPC39_8</t>
  </si>
  <si>
    <t>Date</t>
  </si>
  <si>
    <t>Narration</t>
  </si>
  <si>
    <t>Bill No</t>
  </si>
  <si>
    <t>Value Date</t>
  </si>
  <si>
    <t>Debit</t>
  </si>
  <si>
    <t>Credit</t>
  </si>
  <si>
    <t>Premimum</t>
  </si>
  <si>
    <t>Net</t>
  </si>
  <si>
    <t>nifty  29/12/26  26000 pe</t>
  </si>
  <si>
    <t>26-09-2024</t>
  </si>
  <si>
    <t>Option Premium Bill (NFO) 25-09-2024</t>
  </si>
  <si>
    <t>OPTDLY/HPC39_5-2509</t>
  </si>
  <si>
    <t>25-09-2024</t>
  </si>
  <si>
    <t>Settlement Posting-NG6146</t>
  </si>
  <si>
    <t>DLV4-0608-NG6146/HPC39_7</t>
  </si>
  <si>
    <t>Settlement Posting-NG6122</t>
  </si>
  <si>
    <t>DLV3-0307-NG6122/HPC39_8</t>
  </si>
  <si>
    <t>nifty 29/12/26   26000PE</t>
  </si>
  <si>
    <t>Option Premium Bill (NFO) 14-11-2024</t>
  </si>
  <si>
    <t>OPTDLY/HPC39_7-1411</t>
  </si>
  <si>
    <t>nifty 26/12/26   26000 PE</t>
  </si>
  <si>
    <t>Option Premium Bill (NFO) 02-01-2025</t>
  </si>
  <si>
    <t>OPTDLY/HPC39_8-0201</t>
  </si>
  <si>
    <t>Option Expiry Bill (NFO) 27-03-2025</t>
  </si>
  <si>
    <t>OPEXP/HPC39_7-2703</t>
  </si>
  <si>
    <t>Option Premium Bill (NFO) 27-03-2025</t>
  </si>
  <si>
    <t>OPTDLY/HPC39_7-2703</t>
  </si>
  <si>
    <t>Option Premium Bill (NFO) 06-11-2025</t>
  </si>
  <si>
    <t>OPTDLY/HPC39_5-0611</t>
  </si>
  <si>
    <t>Actual holding</t>
  </si>
  <si>
    <t>Backtest Portfolio</t>
  </si>
  <si>
    <t>Option Premium Bill (NFO) 06-03-2026</t>
  </si>
  <si>
    <t>OPTDLY/HPC39_5-0603</t>
  </si>
  <si>
    <t>OPTDLY/HPC39_8-0611</t>
  </si>
  <si>
    <t>OPTDLY/HPC39_7-0611</t>
  </si>
  <si>
    <t>OPTDLY/HPC39_7-0603</t>
  </si>
  <si>
    <t>OPTDLY/HPC39_8-0603</t>
  </si>
  <si>
    <t>preminum</t>
  </si>
  <si>
    <t>nifty</t>
  </si>
  <si>
    <t>455@955</t>
  </si>
  <si>
    <t>Option Premium Bill (NFO) 23-06-2026</t>
  </si>
  <si>
    <t>OPTDLY/HPC39_10-2306</t>
  </si>
  <si>
    <t>Strategy</t>
  </si>
  <si>
    <t>Profit</t>
  </si>
  <si>
    <t>Capital</t>
  </si>
  <si>
    <t>Portfolio Return</t>
  </si>
  <si>
    <t>NIFTY 500 Start</t>
  </si>
  <si>
    <t>NIFTY 500 End</t>
  </si>
  <si>
    <t>NIFTY 500 Return</t>
  </si>
  <si>
    <t>7 lot</t>
  </si>
  <si>
    <t>25000_NIFTY_PE</t>
  </si>
  <si>
    <t>Expiry - 29-Dec-2026</t>
  </si>
  <si>
    <t>NET_QTY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</si>
</sst>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0.0"/>
    <numFmt numFmtId="165" formatCode="d&quot;-&quot;mmm&quot;-&quot;yyyy"/>
    <numFmt numFmtId="166" formatCode="d mmm yyyy"/>
    <numFmt numFmtId="167" formatCode="d mmm"/>
    <numFmt numFmtId="168" formatCode="d-mmmm-yyyy"/>
    <numFmt numFmtId="169" formatCode="d-mmm-yyyy"/>
    <numFmt numFmtId="170" formatCode="dd/mm/yyyy"/>
    <numFmt numFmtId="171" formatCode="mm/dd/yyyy"/>
    <numFmt numFmtId="172" formatCode="dd mmm yyyy"/>
    <numFmt numFmtId="173" formatCode="dd-mm-yyyy"/>
    <numFmt numFmtId="174" formatCode="mm-dd-yyyy"/>
    <numFmt numFmtId="175" formatCode="d-m-yyyy"/>
    <numFmt numFmtId="176" formatCode="d/m/yy"/>
  </numFmts>
  <fonts count="16">
    <font>
      <sz val="10.0"/>
      <color rgb="FF000000"/>
      <name val="Calibri"/>
      <scheme val="minor"/>
    </font>
    <font>
      <sz val="11.0"/>
      <color rgb="FF000000"/>
      <name val="Calibri"/>
    </font>
    <font>
      <b/>
      <sz val="11.0"/>
      <color theme="1"/>
      <name val="Calibri"/>
    </font>
    <font>
      <color rgb="FF434343"/>
      <name val="Calibri"/>
      <scheme val="minor"/>
    </font>
    <font/>
    <font>
      <color theme="1"/>
      <name val="Calibri"/>
      <scheme val="minor"/>
    </font>
    <font>
      <sz val="12.0"/>
      <color theme="1"/>
      <name val="Calibri"/>
      <scheme val="minor"/>
    </font>
    <font>
      <sz val="11.0"/>
      <color rgb="FFCCCCCC"/>
      <name val="Consolas"/>
    </font>
    <font>
      <color theme="1"/>
      <name val="Calibri"/>
    </font>
    <font>
      <color theme="1"/>
      <name val="Arial"/>
    </font>
    <font>
      <sz val="11.0"/>
      <color theme="1"/>
      <name val="Calibri"/>
    </font>
    <font>
      <sz val="8.0"/>
      <color theme="1"/>
      <name val="&quot;Liberation Sans&quot;"/>
    </font>
    <font>
      <sz val="9.0"/>
      <color rgb="FF000000"/>
      <name val="Tahoma"/>
    </font>
    <font>
      <sz val="9.0"/>
      <color theme="1"/>
      <name val="Tahoma"/>
    </font>
    <font>
      <sz val="10.0"/>
      <color theme="1"/>
      <name val="Tahoma"/>
    </font>
    <font>
      <b/>
      <color theme="1"/>
      <name val="Calibri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FFFF99"/>
        <bgColor rgb="FFFFFF99"/>
      </patternFill>
    </fill>
    <fill>
      <patternFill patternType="solid">
        <fgColor rgb="FFEAD1DC"/>
        <bgColor rgb="FFEAD1DC"/>
      </patternFill>
    </fill>
    <fill>
      <patternFill patternType="solid">
        <fgColor theme="0"/>
        <bgColor theme="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Font="1"/>
    <xf borderId="0" fillId="2" fontId="3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1" fillId="0" fontId="2" numFmtId="0" xfId="0" applyAlignment="1" applyBorder="1" applyFont="1">
      <alignment horizontal="center" vertical="center"/>
    </xf>
    <xf borderId="2" fillId="0" fontId="4" numFmtId="0" xfId="0" applyBorder="1" applyFont="1"/>
    <xf borderId="3" fillId="0" fontId="4" numFmtId="0" xfId="0" applyBorder="1" applyFont="1"/>
    <xf borderId="0" fillId="0" fontId="5" numFmtId="0" xfId="0" applyAlignment="1" applyFont="1">
      <alignment readingOrder="0"/>
    </xf>
    <xf borderId="4" fillId="0" fontId="2" numFmtId="0" xfId="0" applyAlignment="1" applyBorder="1" applyFont="1">
      <alignment horizontal="center" vertical="center"/>
    </xf>
    <xf borderId="0" fillId="0" fontId="6" numFmtId="0" xfId="0" applyFont="1"/>
    <xf borderId="0" fillId="3" fontId="5" numFmtId="0" xfId="0" applyAlignment="1" applyFill="1" applyFont="1">
      <alignment readingOrder="0"/>
    </xf>
    <xf borderId="0" fillId="3" fontId="5" numFmtId="0" xfId="0" applyFill="1" applyFont="1"/>
    <xf borderId="0" fillId="3" fontId="7" numFmtId="0" xfId="0" applyAlignment="1" applyFill="1" applyFont="1">
      <alignment readingOrder="0"/>
    </xf>
    <xf borderId="0" fillId="0" fontId="5" numFmtId="0" xfId="0" applyFont="1"/>
    <xf borderId="0" fillId="4" fontId="1" numFmtId="0" xfId="0" applyAlignment="1" applyFill="1" applyFont="1">
      <alignment readingOrder="0" shrinkToFit="0" vertical="bottom" wrapText="0"/>
    </xf>
    <xf borderId="0" fillId="5" fontId="5" numFmtId="0" xfId="0" applyAlignment="1" applyFill="1" applyFont="1">
      <alignment readingOrder="0"/>
    </xf>
    <xf borderId="0" fillId="0" fontId="1" numFmtId="0" xfId="0" applyAlignment="1" applyFont="1">
      <alignment horizontal="right" readingOrder="0" shrinkToFit="0" vertical="bottom" wrapText="0"/>
    </xf>
    <xf borderId="0" fillId="4" fontId="1" numFmtId="0" xfId="0" applyAlignment="1" applyFill="1" applyFont="1">
      <alignment horizontal="right" readingOrder="0" shrinkToFit="0" vertical="bottom" wrapText="0"/>
    </xf>
    <xf borderId="0" fillId="5" fontId="1" numFmtId="0" xfId="0" applyAlignment="1" applyFill="1" applyFont="1">
      <alignment horizontal="right" readingOrder="0" shrinkToFit="0" vertical="bottom" wrapText="0"/>
    </xf>
    <xf borderId="0" fillId="5" fontId="5" numFmtId="0" xfId="0" applyFill="1" applyFont="1"/>
    <xf borderId="0" fillId="0" fontId="1" numFmtId="0" xfId="0" applyAlignment="1" applyFont="1">
      <alignment shrinkToFit="0" vertical="bottom" wrapText="0"/>
    </xf>
    <xf borderId="0" fillId="0" fontId="5" numFmtId="2" xfId="0" applyAlignment="1" applyFont="1" applyNumberFormat="1">
      <alignment readingOrder="0"/>
    </xf>
    <xf borderId="0" fillId="0" fontId="5" numFmtId="164" xfId="0" applyAlignment="1" applyFont="1" applyNumberFormat="1">
      <alignment readingOrder="0"/>
    </xf>
    <xf borderId="0" fillId="0" fontId="5" numFmtId="165" xfId="0" applyAlignment="1" applyFont="1" applyNumberFormat="1">
      <alignment readingOrder="0"/>
    </xf>
    <xf borderId="0" fillId="0" fontId="5" numFmtId="2" xfId="0" applyFont="1" applyNumberFormat="1"/>
    <xf borderId="0" fillId="0" fontId="5" numFmtId="164" xfId="0" applyFont="1" applyNumberFormat="1"/>
    <xf borderId="0" fillId="0" fontId="5" numFmtId="166" xfId="0" applyAlignment="1" applyFont="1" applyNumberFormat="1">
      <alignment readingOrder="0"/>
    </xf>
    <xf borderId="0" fillId="0" fontId="5" numFmtId="167" xfId="0" applyAlignment="1" applyFont="1" applyNumberFormat="1">
      <alignment readingOrder="0"/>
    </xf>
    <xf borderId="0" fillId="0" fontId="5" numFmtId="168" xfId="0" applyAlignment="1" applyFont="1" applyNumberFormat="1">
      <alignment readingOrder="0"/>
    </xf>
    <xf borderId="0" fillId="0" fontId="5" numFmtId="165" xfId="0" applyFont="1" applyNumberFormat="1"/>
    <xf borderId="0" fillId="0" fontId="5" numFmtId="169" xfId="0" applyAlignment="1" applyFont="1" applyNumberFormat="1">
      <alignment readingOrder="0"/>
    </xf>
    <xf borderId="0" fillId="0" fontId="5" numFmtId="170" xfId="0" applyAlignment="1" applyFont="1" applyNumberFormat="1">
      <alignment readingOrder="0"/>
    </xf>
    <xf borderId="0" fillId="3" fontId="5" numFmtId="171" xfId="0" applyAlignment="1" applyFill="1" applyFont="1" applyNumberFormat="1">
      <alignment readingOrder="0"/>
    </xf>
    <xf borderId="0" fillId="3" fontId="5" numFmtId="172" xfId="0" applyAlignment="1" applyFill="1" applyFont="1" applyNumberFormat="1">
      <alignment readingOrder="0"/>
    </xf>
    <xf borderId="0" fillId="0" fontId="5" numFmtId="173" xfId="0" applyFont="1" applyNumberFormat="1"/>
    <xf borderId="0" fillId="3" fontId="5" numFmtId="1" xfId="0" applyFill="1" applyFont="1" applyNumberFormat="1"/>
    <xf borderId="0" fillId="3" fontId="5" numFmtId="0" xfId="0" applyAlignment="1" applyFill="1" applyFont="1">
      <alignment horizontal="center" readingOrder="0"/>
    </xf>
    <xf borderId="0" fillId="6" fontId="5" numFmtId="173" xfId="0" applyAlignment="1" applyFill="1" applyFont="1" applyNumberFormat="1">
      <alignment readingOrder="0"/>
    </xf>
    <xf borderId="0" fillId="7" fontId="5" numFmtId="0" xfId="0" applyAlignment="1" applyFill="1" applyFont="1">
      <alignment readingOrder="0"/>
    </xf>
    <xf borderId="0" fillId="0" fontId="8" numFmtId="0" xfId="0" applyAlignment="1" applyFont="1">
      <alignment readingOrder="0" vertical="bottom"/>
    </xf>
    <xf borderId="0" fillId="7" fontId="5" numFmtId="0" xfId="0" applyFill="1" applyFont="1"/>
    <xf borderId="0" fillId="6" fontId="5" numFmtId="0" xfId="0" applyFill="1" applyFont="1"/>
    <xf borderId="0" fillId="6" fontId="5" numFmtId="0" xfId="0" applyAlignment="1" applyFill="1" applyFont="1">
      <alignment readingOrder="0"/>
    </xf>
    <xf borderId="0" fillId="0" fontId="5" numFmtId="10" xfId="0" applyFont="1" applyNumberFormat="1"/>
    <xf borderId="0" fillId="0" fontId="9" numFmtId="0" xfId="0" applyAlignment="1" applyFont="1">
      <alignment vertical="bottom"/>
    </xf>
    <xf borderId="0" fillId="3" fontId="9" numFmtId="0" xfId="0" applyAlignment="1" applyFill="1" applyFont="1">
      <alignment vertical="bottom"/>
    </xf>
    <xf borderId="0" fillId="3" fontId="9" numFmtId="0" xfId="0" applyAlignment="1" applyFill="1" applyFont="1">
      <alignment readingOrder="0" vertical="bottom"/>
    </xf>
    <xf borderId="0" fillId="0" fontId="9" numFmtId="170" xfId="0" applyAlignment="1" applyFont="1" applyNumberFormat="1">
      <alignment readingOrder="0" vertical="bottom"/>
    </xf>
    <xf borderId="0" fillId="3" fontId="9" numFmtId="0" xfId="0" applyAlignment="1" applyFill="1" applyFont="1">
      <alignment horizontal="center" vertical="bottom"/>
    </xf>
    <xf borderId="4" fillId="6" fontId="5" numFmtId="165" xfId="0" applyAlignment="1" applyBorder="1" applyFill="1" applyFont="1" applyNumberFormat="1">
      <alignment readingOrder="0"/>
    </xf>
    <xf borderId="4" fillId="7" fontId="10" numFmtId="0" xfId="0" applyAlignment="1" applyBorder="1" applyFill="1" applyFont="1">
      <alignment horizontal="center" readingOrder="0" vertical="top"/>
    </xf>
    <xf borderId="4" fillId="0" fontId="8" numFmtId="0" xfId="0" applyAlignment="1" applyBorder="1" applyFont="1">
      <alignment readingOrder="0" vertical="bottom"/>
    </xf>
    <xf borderId="4" fillId="7" fontId="5" numFmtId="0" xfId="0" applyBorder="1" applyFill="1" applyFont="1"/>
    <xf borderId="4" fillId="7" fontId="9" numFmtId="0" xfId="0" applyAlignment="1" applyBorder="1" applyFill="1" applyFont="1">
      <alignment vertical="bottom"/>
    </xf>
    <xf borderId="4" fillId="8" fontId="9" numFmtId="0" xfId="0" applyAlignment="1" applyBorder="1" applyFill="1" applyFont="1">
      <alignment readingOrder="0" vertical="bottom"/>
    </xf>
    <xf borderId="4" fillId="0" fontId="9" numFmtId="0" xfId="0" applyAlignment="1" applyBorder="1" applyFont="1">
      <alignment vertical="bottom"/>
    </xf>
    <xf borderId="4" fillId="3" fontId="9" numFmtId="0" xfId="0" applyAlignment="1" applyBorder="1" applyFill="1" applyFont="1">
      <alignment vertical="bottom"/>
    </xf>
    <xf borderId="4" fillId="3" fontId="9" numFmtId="10" xfId="0" applyAlignment="1" applyBorder="1" applyFill="1" applyFont="1" applyNumberFormat="1">
      <alignment horizontal="center" vertical="bottom"/>
    </xf>
    <xf borderId="0" fillId="0" fontId="5" numFmtId="173" xfId="0" applyAlignment="1" applyFont="1" applyNumberFormat="1">
      <alignment readingOrder="0"/>
    </xf>
    <xf borderId="0" fillId="9" fontId="5" numFmtId="173" xfId="0" applyAlignment="1" applyFill="1" applyFont="1" applyNumberFormat="1">
      <alignment readingOrder="0"/>
    </xf>
    <xf borderId="4" fillId="8" fontId="5" numFmtId="0" xfId="0" applyAlignment="1" applyBorder="1" applyFill="1" applyFont="1">
      <alignment readingOrder="0"/>
    </xf>
    <xf borderId="0" fillId="7" fontId="5" numFmtId="0" xfId="0" applyAlignment="1" applyFill="1" applyFont="1">
      <alignment readingOrder="0" shrinkToFit="0" wrapText="1"/>
    </xf>
    <xf borderId="0" fillId="7" fontId="1" numFmtId="0" xfId="0" applyAlignment="1" applyFill="1" applyFont="1">
      <alignment readingOrder="0" shrinkToFit="0" vertical="bottom" wrapText="0"/>
    </xf>
    <xf borderId="0" fillId="0" fontId="8" numFmtId="0" xfId="0" applyAlignment="1" applyFont="1">
      <alignment vertical="bottom"/>
    </xf>
    <xf borderId="4" fillId="8" fontId="8" numFmtId="0" xfId="0" applyAlignment="1" applyBorder="1" applyFill="1" applyFont="1">
      <alignment horizontal="right" vertical="bottom"/>
    </xf>
    <xf borderId="0" fillId="6" fontId="5" numFmtId="165" xfId="0" applyAlignment="1" applyFill="1" applyFont="1" applyNumberFormat="1">
      <alignment readingOrder="0"/>
    </xf>
    <xf borderId="3" fillId="7" fontId="10" numFmtId="0" xfId="0" applyAlignment="1" applyBorder="1" applyFill="1" applyFont="1">
      <alignment horizontal="center" readingOrder="0" vertical="top"/>
    </xf>
    <xf borderId="0" fillId="0" fontId="1" numFmtId="1" xfId="0" applyAlignment="1" applyFont="1" applyNumberFormat="1">
      <alignment readingOrder="0" shrinkToFit="0" vertical="bottom" wrapText="0"/>
    </xf>
    <xf borderId="0" fillId="10" fontId="5" numFmtId="0" xfId="0" applyFill="1" applyFont="1"/>
    <xf borderId="0" fillId="7" fontId="10" numFmtId="0" xfId="0" applyAlignment="1" applyFill="1" applyFont="1">
      <alignment readingOrder="0" vertical="bottom"/>
    </xf>
    <xf borderId="0" fillId="7" fontId="10" numFmtId="0" xfId="0" applyAlignment="1" applyFill="1" applyFont="1">
      <alignment horizontal="center" vertical="top"/>
    </xf>
    <xf borderId="0" fillId="0" fontId="8" numFmtId="10" xfId="0" applyAlignment="1" applyFont="1" applyNumberFormat="1">
      <alignment readingOrder="0" vertical="bottom"/>
    </xf>
    <xf borderId="0" fillId="0" fontId="1" numFmtId="0" xfId="0" applyAlignment="1" applyFont="1">
      <alignment shrinkToFit="0" vertical="bottom" wrapText="0"/>
    </xf>
    <xf borderId="0" fillId="0" fontId="5" numFmtId="49" xfId="0" applyAlignment="1" applyFont="1" applyNumberFormat="1">
      <alignment readingOrder="0"/>
    </xf>
    <xf borderId="0" fillId="7" fontId="10" numFmtId="0" xfId="0" applyAlignment="1" applyFill="1" applyFont="1">
      <alignment horizontal="center" readingOrder="0" vertical="top"/>
    </xf>
    <xf borderId="0" fillId="10" fontId="9" numFmtId="0" xfId="0" applyAlignment="1" applyFill="1" applyFont="1">
      <alignment vertical="bottom"/>
    </xf>
    <xf borderId="0" fillId="10" fontId="9" numFmtId="0" xfId="0" applyAlignment="1" applyFill="1" applyFont="1">
      <alignment readingOrder="0" shrinkToFit="0" vertical="bottom" wrapText="1"/>
    </xf>
    <xf borderId="0" fillId="10" fontId="5" numFmtId="0" xfId="0" applyAlignment="1" applyFill="1" applyFont="1">
      <alignment readingOrder="0" shrinkToFit="0" wrapText="1"/>
    </xf>
    <xf borderId="0" fillId="10" fontId="5" numFmtId="1" xfId="0" applyAlignment="1" applyFill="1" applyFont="1" applyNumberFormat="1">
      <alignment readingOrder="0" shrinkToFit="0" wrapText="1"/>
    </xf>
    <xf borderId="0" fillId="6" fontId="10" numFmtId="0" xfId="0" applyAlignment="1" applyFill="1" applyFont="1">
      <alignment horizontal="right" readingOrder="0" vertical="bottom"/>
    </xf>
    <xf borderId="0" fillId="10" fontId="9" numFmtId="0" xfId="0" applyAlignment="1" applyFill="1" applyFont="1">
      <alignment shrinkToFit="0" vertical="bottom" wrapText="1"/>
    </xf>
    <xf borderId="0" fillId="0" fontId="1" numFmtId="1" xfId="0" applyAlignment="1" applyFont="1" applyNumberFormat="1">
      <alignment horizontal="right" readingOrder="0" shrinkToFit="0" vertical="bottom" wrapText="0"/>
    </xf>
    <xf borderId="0" fillId="10" fontId="9" numFmtId="10" xfId="0" applyAlignment="1" applyFill="1" applyFont="1" applyNumberFormat="1">
      <alignment shrinkToFit="0" vertical="bottom" wrapText="1"/>
    </xf>
    <xf borderId="0" fillId="10" fontId="5" numFmtId="165" xfId="0" applyAlignment="1" applyFill="1" applyFont="1" applyNumberFormat="1">
      <alignment readingOrder="0"/>
    </xf>
    <xf borderId="0" fillId="10" fontId="10" numFmtId="0" xfId="0" applyAlignment="1" applyFill="1" applyFont="1">
      <alignment horizontal="center" readingOrder="0" vertical="top"/>
    </xf>
    <xf borderId="0" fillId="0" fontId="5" numFmtId="0" xfId="0" applyAlignment="1" applyFont="1">
      <alignment readingOrder="0" shrinkToFit="0" wrapText="1"/>
    </xf>
    <xf borderId="0" fillId="9" fontId="5" numFmtId="0" xfId="0" applyAlignment="1" applyFill="1" applyFont="1">
      <alignment readingOrder="0"/>
    </xf>
    <xf borderId="0" fillId="3" fontId="8" numFmtId="0" xfId="0" applyAlignment="1" applyFill="1" applyFont="1">
      <alignment vertical="bottom"/>
    </xf>
    <xf borderId="0" fillId="11" fontId="8" numFmtId="0" xfId="0" applyAlignment="1" applyFill="1" applyFont="1">
      <alignment vertical="bottom"/>
    </xf>
    <xf borderId="0" fillId="3" fontId="8" numFmtId="0" xfId="0" applyAlignment="1" applyFill="1" applyFont="1">
      <alignment vertical="bottom"/>
    </xf>
    <xf borderId="0" fillId="3" fontId="8" numFmtId="1" xfId="0" applyAlignment="1" applyFill="1" applyFont="1" applyNumberFormat="1">
      <alignment vertical="bottom"/>
    </xf>
    <xf borderId="0" fillId="3" fontId="5" numFmtId="3" xfId="0" applyAlignment="1" applyFill="1" applyFont="1" applyNumberFormat="1">
      <alignment readingOrder="0"/>
    </xf>
    <xf borderId="0" fillId="3" fontId="5" numFmtId="0" xfId="0" applyAlignment="1" applyFill="1" applyFont="1">
      <alignment readingOrder="0" shrinkToFit="0" wrapText="1"/>
    </xf>
    <xf borderId="0" fillId="3" fontId="5" numFmtId="10" xfId="0" applyAlignment="1" applyFill="1" applyFont="1" applyNumberFormat="1">
      <alignment readingOrder="0" shrinkToFit="0" wrapText="1"/>
    </xf>
    <xf borderId="0" fillId="3" fontId="5" numFmtId="1" xfId="0" applyAlignment="1" applyFill="1" applyFont="1" applyNumberFormat="1">
      <alignment readingOrder="0" shrinkToFit="0" wrapText="1"/>
    </xf>
    <xf borderId="0" fillId="0" fontId="5" numFmtId="174" xfId="0" applyAlignment="1" applyFont="1" applyNumberFormat="1">
      <alignment readingOrder="0"/>
    </xf>
    <xf borderId="0" fillId="0" fontId="11" numFmtId="0" xfId="0" applyAlignment="1" applyFont="1">
      <alignment horizontal="right" readingOrder="0"/>
    </xf>
    <xf borderId="0" fillId="0" fontId="5" numFmtId="1" xfId="0" applyFont="1" applyNumberFormat="1"/>
    <xf borderId="0" fillId="5" fontId="5" numFmtId="3" xfId="0" applyAlignment="1" applyFill="1" applyFont="1" applyNumberFormat="1">
      <alignment readingOrder="0"/>
    </xf>
    <xf borderId="0" fillId="0" fontId="10" numFmtId="0" xfId="0" applyAlignment="1" applyFont="1">
      <alignment readingOrder="0" vertical="bottom"/>
    </xf>
    <xf borderId="0" fillId="0" fontId="10" numFmtId="0" xfId="0" applyAlignment="1" applyFont="1">
      <alignment horizontal="right" readingOrder="0" vertical="bottom"/>
    </xf>
    <xf borderId="0" fillId="0" fontId="5" numFmtId="175" xfId="0" applyAlignment="1" applyFont="1" applyNumberFormat="1">
      <alignment readingOrder="0"/>
    </xf>
    <xf borderId="0" fillId="12" fontId="5" numFmtId="0" xfId="0" applyAlignment="1" applyFill="1" applyFont="1">
      <alignment readingOrder="0"/>
    </xf>
    <xf borderId="0" fillId="12" fontId="5" numFmtId="0" xfId="0" applyFill="1" applyFont="1"/>
    <xf borderId="0" fillId="3" fontId="5" numFmtId="1" xfId="0" applyAlignment="1" applyFill="1" applyFont="1" applyNumberFormat="1">
      <alignment readingOrder="0"/>
    </xf>
    <xf borderId="0" fillId="6" fontId="1" numFmtId="0" xfId="0" applyAlignment="1" applyFill="1" applyFont="1">
      <alignment horizontal="right" readingOrder="0" shrinkToFit="0" vertical="bottom" wrapText="0"/>
    </xf>
    <xf borderId="0" fillId="3" fontId="9" numFmtId="0" xfId="0" applyAlignment="1" applyFill="1" applyFont="1">
      <alignment horizontal="right" vertical="bottom"/>
    </xf>
    <xf borderId="0" fillId="3" fontId="9" numFmtId="1" xfId="0" applyAlignment="1" applyFill="1" applyFont="1" applyNumberFormat="1">
      <alignment horizontal="right" vertical="bottom"/>
    </xf>
    <xf borderId="0" fillId="0" fontId="9" numFmtId="0" xfId="0" applyAlignment="1" applyFont="1">
      <alignment horizontal="right" vertical="bottom"/>
    </xf>
    <xf borderId="0" fillId="6" fontId="3" numFmtId="0" xfId="0" applyAlignment="1" applyFill="1" applyFont="1">
      <alignment readingOrder="0"/>
    </xf>
    <xf borderId="0" fillId="7" fontId="10" numFmtId="0" xfId="0" applyAlignment="1" applyFill="1" applyFont="1">
      <alignment vertical="bottom"/>
    </xf>
    <xf borderId="0" fillId="6" fontId="9" numFmtId="0" xfId="0" applyAlignment="1" applyFill="1" applyFont="1">
      <alignment horizontal="right" vertical="bottom"/>
    </xf>
    <xf borderId="0" fillId="6" fontId="9" numFmtId="0" xfId="0" applyAlignment="1" applyFill="1" applyFont="1">
      <alignment horizontal="right" readingOrder="0" vertical="bottom"/>
    </xf>
    <xf borderId="0" fillId="0" fontId="12" numFmtId="173" xfId="0" applyAlignment="1" applyFont="1" applyNumberFormat="1">
      <alignment horizontal="left" readingOrder="0" shrinkToFit="0" wrapText="0"/>
    </xf>
    <xf borderId="0" fillId="0" fontId="12" numFmtId="0" xfId="0" applyAlignment="1" applyFont="1">
      <alignment horizontal="left" readingOrder="0" shrinkToFit="0" wrapText="0"/>
    </xf>
    <xf borderId="0" fillId="0" fontId="12" numFmtId="0" xfId="0" applyAlignment="1" applyFont="1">
      <alignment horizontal="right" readingOrder="0" shrinkToFit="0" wrapText="0"/>
    </xf>
    <xf borderId="0" fillId="10" fontId="1" numFmtId="0" xfId="0" applyAlignment="1" applyFill="1" applyFont="1">
      <alignment readingOrder="0" shrinkToFit="0" vertical="bottom" wrapText="0"/>
    </xf>
    <xf borderId="0" fillId="10" fontId="10" numFmtId="0" xfId="0" applyAlignment="1" applyFill="1" applyFont="1">
      <alignment horizontal="right" readingOrder="0" vertical="bottom"/>
    </xf>
    <xf borderId="0" fillId="10" fontId="8" numFmtId="0" xfId="0" applyAlignment="1" applyFill="1" applyFont="1">
      <alignment vertical="bottom"/>
    </xf>
    <xf borderId="0" fillId="10" fontId="8" numFmtId="0" xfId="0" applyAlignment="1" applyFill="1" applyFont="1">
      <alignment vertical="bottom"/>
    </xf>
    <xf borderId="0" fillId="0" fontId="9" numFmtId="0" xfId="0" applyAlignment="1" applyFont="1">
      <alignment shrinkToFit="0" vertical="bottom" wrapText="1"/>
    </xf>
    <xf borderId="0" fillId="3" fontId="9" numFmtId="0" xfId="0" applyAlignment="1" applyFill="1" applyFont="1">
      <alignment readingOrder="0" shrinkToFit="0" vertical="bottom" wrapText="1"/>
    </xf>
    <xf borderId="0" fillId="3" fontId="9" numFmtId="0" xfId="0" applyAlignment="1" applyFill="1" applyFont="1">
      <alignment shrinkToFit="0" vertical="bottom" wrapText="1"/>
    </xf>
    <xf borderId="0" fillId="0" fontId="5" numFmtId="1" xfId="0" applyAlignment="1" applyFont="1" applyNumberFormat="1">
      <alignment readingOrder="0" shrinkToFit="0" wrapText="1"/>
    </xf>
    <xf borderId="0" fillId="10" fontId="9" numFmtId="0" xfId="0" applyAlignment="1" applyFill="1" applyFont="1">
      <alignment horizontal="right" readingOrder="0" vertical="bottom"/>
    </xf>
    <xf borderId="0" fillId="0" fontId="9" numFmtId="0" xfId="0" applyAlignment="1" applyFont="1">
      <alignment horizontal="right" vertical="bottom"/>
    </xf>
    <xf borderId="0" fillId="7" fontId="9" numFmtId="0" xfId="0" applyAlignment="1" applyFill="1" applyFont="1">
      <alignment vertical="bottom"/>
    </xf>
    <xf borderId="0" fillId="6" fontId="9" numFmtId="0" xfId="0" applyAlignment="1" applyFill="1" applyFont="1">
      <alignment vertical="bottom"/>
    </xf>
    <xf borderId="0" fillId="6" fontId="9" numFmtId="0" xfId="0" applyAlignment="1" applyFill="1" applyFont="1">
      <alignment readingOrder="0" vertical="bottom"/>
    </xf>
    <xf borderId="0" fillId="0" fontId="5" numFmtId="1" xfId="0" applyAlignment="1" applyFont="1" applyNumberFormat="1">
      <alignment readingOrder="0"/>
    </xf>
    <xf borderId="0" fillId="0" fontId="1" numFmtId="175" xfId="0" applyAlignment="1" applyFont="1" applyNumberFormat="1">
      <alignment horizontal="right" readingOrder="0" shrinkToFit="0" vertical="bottom" wrapText="0"/>
    </xf>
    <xf borderId="0" fillId="0" fontId="1" numFmtId="173" xfId="0" applyAlignment="1" applyFont="1" applyNumberFormat="1">
      <alignment horizontal="right" readingOrder="0" shrinkToFit="0" vertical="bottom" wrapText="0"/>
    </xf>
    <xf borderId="0" fillId="0" fontId="10" numFmtId="173" xfId="0" applyAlignment="1" applyFont="1" applyNumberFormat="1">
      <alignment horizontal="right" vertical="bottom"/>
    </xf>
    <xf borderId="0" fillId="0" fontId="10" numFmtId="0" xfId="0" applyAlignment="1" applyFont="1">
      <alignment vertical="bottom"/>
    </xf>
    <xf borderId="0" fillId="0" fontId="10" numFmtId="173" xfId="0" applyAlignment="1" applyFont="1" applyNumberFormat="1">
      <alignment horizontal="right" readingOrder="0" vertical="bottom"/>
    </xf>
    <xf borderId="0" fillId="0" fontId="9" numFmtId="175" xfId="0" applyAlignment="1" applyFont="1" applyNumberFormat="1">
      <alignment horizontal="right" readingOrder="0" vertical="bottom"/>
    </xf>
    <xf borderId="0" fillId="0" fontId="9" numFmtId="0" xfId="0" applyAlignment="1" applyFont="1">
      <alignment horizontal="right" readingOrder="0" vertical="bottom"/>
    </xf>
    <xf borderId="0" fillId="0" fontId="10" numFmtId="0" xfId="0" applyAlignment="1" applyFont="1">
      <alignment horizontal="right" vertical="bottom"/>
    </xf>
    <xf borderId="0" fillId="0" fontId="12" numFmtId="175" xfId="0" applyAlignment="1" applyFont="1" applyNumberFormat="1">
      <alignment horizontal="left" readingOrder="0" shrinkToFit="0" wrapText="0"/>
    </xf>
    <xf borderId="0" fillId="0" fontId="13" numFmtId="173" xfId="0" applyAlignment="1" applyFont="1" applyNumberFormat="1">
      <alignment horizontal="left" readingOrder="0"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14" numFmtId="173" xfId="0" applyAlignment="1" applyFont="1" applyNumberFormat="1">
      <alignment horizontal="left" readingOrder="0"/>
    </xf>
    <xf borderId="0" fillId="0" fontId="14" numFmtId="0" xfId="0" applyAlignment="1" applyFont="1">
      <alignment readingOrder="0"/>
    </xf>
    <xf borderId="0" fillId="0" fontId="14" numFmtId="173" xfId="0" applyAlignment="1" applyFont="1" applyNumberFormat="1">
      <alignment readingOrder="0"/>
    </xf>
    <xf borderId="0" fillId="0" fontId="14" numFmtId="0" xfId="0" applyAlignment="1" applyFont="1">
      <alignment horizontal="right" readingOrder="0" vertical="bottom"/>
    </xf>
    <xf borderId="0" fillId="0" fontId="14" numFmtId="0" xfId="0" applyAlignment="1" applyFont="1">
      <alignment horizontal="right" vertical="bottom"/>
    </xf>
    <xf borderId="0" fillId="0" fontId="14" numFmtId="0" xfId="0" applyFont="1"/>
    <xf borderId="0" fillId="0" fontId="8" numFmtId="173" xfId="0" applyAlignment="1" applyFont="1" applyNumberFormat="1">
      <alignment horizontal="right" readingOrder="0" vertical="bottom"/>
    </xf>
    <xf borderId="0" fillId="0" fontId="5" numFmtId="173" xfId="0" applyAlignment="1" applyFont="1" applyNumberFormat="1">
      <alignment horizontal="left" readingOrder="0"/>
    </xf>
    <xf borderId="0" fillId="0" fontId="8" numFmtId="0" xfId="0" applyAlignment="1" applyFont="1">
      <alignment horizontal="right" vertical="bottom"/>
    </xf>
    <xf borderId="0" fillId="0" fontId="8" numFmtId="0" xfId="0" applyAlignment="1" applyFont="1">
      <alignment horizontal="right" readingOrder="0" vertical="bottom"/>
    </xf>
    <xf borderId="0" fillId="0" fontId="15" numFmtId="0" xfId="0" applyAlignment="1" applyFont="1">
      <alignment readingOrder="0"/>
    </xf>
    <xf borderId="0" fillId="0" fontId="9" numFmtId="0" xfId="0" applyAlignment="1" applyFont="1">
      <alignment readingOrder="0" vertical="bottom"/>
    </xf>
    <xf borderId="0" fillId="0" fontId="5" numFmtId="0" xfId="0" applyFont="1"/>
    <xf borderId="0" fillId="0" fontId="1" numFmtId="0" xfId="0" applyAlignment="1" applyFont="1">
      <alignment horizontal="right" shrinkToFit="0" vertical="bottom" wrapText="0"/>
    </xf>
    <xf borderId="0" fillId="0" fontId="5" numFmtId="174" xfId="0" applyFont="1" applyNumberFormat="1"/>
    <xf borderId="0" fillId="0" fontId="5" numFmtId="176" xfId="0" applyAlignment="1" applyFont="1" applyNumberFormat="1">
      <alignment readingOrder="0"/>
    </xf>
    <xf borderId="0" fillId="0" fontId="15" numFmtId="0" xfId="0" applyAlignment="1" applyFont="1">
      <alignment horizontal="center" readingOrder="0"/>
    </xf>
    <xf borderId="0" fillId="0" fontId="15" numFmtId="0" xfId="0" applyAlignment="1" applyFont="1">
      <alignment horizontal="right" readingOrder="0"/>
    </xf>
    <xf borderId="0" fillId="0" fontId="5" numFmtId="4" xfId="0" applyAlignment="1" applyFont="1" applyNumberFormat="1">
      <alignment horizontal="right" readingOrder="0"/>
    </xf>
    <xf borderId="0" fillId="0" fontId="5" numFmtId="10" xfId="0" applyAlignment="1" applyFont="1" applyNumberFormat="1">
      <alignment horizontal="right" readingOrder="0"/>
    </xf>
  </cellXfs>
  <cellStyles count="1">
    <cellStyle xfId="0" name="Normal" builtinId="0"/>
  </cellStyles>
  <dxfs count="2">
    <dxf>
      <font/>
      <fill>
        <patternFill patternType="solid">
          <fgColor rgb="FFFFCCCC"/>
          <bgColor rgb="FFFFCC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/>
      <fill>
        <patternFill patternType="solid">
          <fgColor rgb="FFFFFF99"/>
          <bgColor rgb="FFFFFF99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1"/>
          <c:order val="1"/>
          <c:tx>
            <c:strRef>
              <c:f>'HPC39_7 backtest'!$J$1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val>
            <c:numRef>
              <c:f>'HPC39_7 backtest'!$J$2:$J$1000</c:f>
              <c:numCache/>
            </c:numRef>
          </c:val>
          <c:smooth val="0"/>
        </c:ser>
        <c:ser>
          <c:idx val="2"/>
          <c:order val="2"/>
          <c:tx>
            <c:strRef>
              <c:f>'HPC39_7 backtest'!$H$1</c:f>
            </c:strRef>
          </c:tx>
          <c:spPr>
            <a:ln cmpd="sng">
              <a:solidFill>
                <a:srgbClr val="9BBB59"/>
              </a:solidFill>
            </a:ln>
          </c:spPr>
          <c:marker>
            <c:symbol val="none"/>
          </c:marker>
          <c:val>
            <c:numRef>
              <c:f>'HPC39_7 backtest'!$H$2:$H$1000</c:f>
              <c:numCache/>
            </c:numRef>
          </c:val>
          <c:smooth val="0"/>
        </c:ser>
        <c:axId val="1668001168"/>
        <c:axId val="1900877570"/>
      </c:lineChart>
      <c:catAx>
        <c:axId val="16680011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0877570"/>
      </c:catAx>
      <c:valAx>
        <c:axId val="1900877570"/>
        <c:scaling>
          <c:orientation val="minMax"/>
          <c:min val="1.7E7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80011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342900</xdr:colOff>
      <xdr:row>3</xdr:row>
      <xdr:rowOff>104775</xdr:rowOff>
    </xdr:from>
    <xdr:ext cx="6019800" cy="3724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hidden="1" min="8" max="8" width="14.43"/>
  </cols>
  <sheetData>
    <row r="1" hidden="1"/>
    <row r="2" hidden="1"/>
    <row r="3" hidden="1">
      <c r="A3" s="1" t="s">
        <v>0</v>
      </c>
      <c r="B3" s="3">
        <v>2207.0</v>
      </c>
    </row>
    <row r="4" hidden="1">
      <c r="A4" s="1" t="s">
        <v>2</v>
      </c>
      <c r="B4" s="3">
        <v>657.0</v>
      </c>
    </row>
    <row r="5" hidden="1">
      <c r="A5" s="1" t="s">
        <v>3</v>
      </c>
      <c r="B5" s="3">
        <v>4343.0</v>
      </c>
    </row>
    <row r="6" hidden="1">
      <c r="A6" s="1" t="s">
        <v>4</v>
      </c>
      <c r="B6" s="3">
        <v>123.0</v>
      </c>
    </row>
    <row r="7" hidden="1">
      <c r="A7" s="1" t="s">
        <v>5</v>
      </c>
      <c r="B7" s="3">
        <v>4107.0</v>
      </c>
    </row>
    <row r="8" hidden="1">
      <c r="A8" s="1" t="s">
        <v>7</v>
      </c>
      <c r="B8" s="3">
        <v>201.0</v>
      </c>
    </row>
    <row r="9" hidden="1">
      <c r="A9" s="1" t="s">
        <v>8</v>
      </c>
      <c r="B9" s="3">
        <v>92.0</v>
      </c>
    </row>
    <row r="10" hidden="1">
      <c r="A10" s="1" t="s">
        <v>9</v>
      </c>
      <c r="B10" s="3">
        <v>800.0</v>
      </c>
    </row>
    <row r="11" hidden="1">
      <c r="A11" s="1" t="s">
        <v>10</v>
      </c>
      <c r="B11" s="3">
        <v>5613.0</v>
      </c>
    </row>
    <row r="12" hidden="1">
      <c r="A12" s="1" t="s">
        <v>11</v>
      </c>
      <c r="B12" s="3">
        <v>409.0</v>
      </c>
    </row>
    <row r="13" hidden="1">
      <c r="A13" s="1" t="s">
        <v>12</v>
      </c>
      <c r="B13" s="3">
        <v>791.0</v>
      </c>
    </row>
    <row r="14" hidden="1">
      <c r="A14" s="1" t="s">
        <v>14</v>
      </c>
      <c r="B14" s="3">
        <v>56.0</v>
      </c>
    </row>
    <row r="15" hidden="1">
      <c r="A15" s="1" t="s">
        <v>15</v>
      </c>
      <c r="B15" s="3">
        <v>79.0</v>
      </c>
    </row>
    <row r="16" hidden="1">
      <c r="A16" s="1" t="s">
        <v>16</v>
      </c>
      <c r="B16" s="3">
        <v>145.0</v>
      </c>
    </row>
    <row r="17" hidden="1">
      <c r="A17" s="1" t="s">
        <v>19</v>
      </c>
      <c r="B17" s="3">
        <v>13843.0</v>
      </c>
    </row>
    <row r="18" hidden="1">
      <c r="A18" s="1" t="s">
        <v>22</v>
      </c>
      <c r="B18" s="3">
        <v>1230.0</v>
      </c>
    </row>
    <row r="19" hidden="1">
      <c r="A19" s="1" t="s">
        <v>24</v>
      </c>
      <c r="B19" s="3">
        <v>2916.0</v>
      </c>
    </row>
    <row r="20" hidden="1">
      <c r="A20" s="1" t="s">
        <v>28</v>
      </c>
      <c r="B20" s="3">
        <v>3412.0</v>
      </c>
    </row>
    <row r="21" hidden="1">
      <c r="A21" s="1" t="s">
        <v>31</v>
      </c>
      <c r="B21" s="3">
        <v>1024.0</v>
      </c>
    </row>
    <row r="22" hidden="1">
      <c r="A22" s="1" t="s">
        <v>33</v>
      </c>
      <c r="B22" s="3">
        <v>425.0</v>
      </c>
    </row>
    <row r="23" hidden="1"/>
    <row r="24" hidden="1"/>
    <row r="25">
      <c r="A25" s="11"/>
      <c r="B25" s="11"/>
      <c r="C25" s="11" t="s">
        <v>1</v>
      </c>
      <c r="D25" s="12">
        <v>1.50029718647E7</v>
      </c>
      <c r="E25" s="11" t="s">
        <v>35</v>
      </c>
      <c r="F25" s="11"/>
      <c r="G25" s="11"/>
      <c r="H25" s="11"/>
      <c r="J25" s="8" t="s">
        <v>36</v>
      </c>
    </row>
    <row r="26">
      <c r="A26" s="13"/>
      <c r="B26" s="12"/>
      <c r="C26" s="12"/>
      <c r="D26" s="12"/>
      <c r="E26" s="12"/>
      <c r="F26" s="12"/>
      <c r="G26" s="12"/>
      <c r="H26" s="12"/>
    </row>
    <row r="27">
      <c r="A27" s="1" t="s">
        <v>38</v>
      </c>
      <c r="B27" s="1" t="s">
        <v>18</v>
      </c>
      <c r="C27" s="15" t="s">
        <v>20</v>
      </c>
      <c r="D27" s="15" t="s">
        <v>21</v>
      </c>
      <c r="E27" s="15" t="s">
        <v>23</v>
      </c>
      <c r="F27" s="15" t="s">
        <v>25</v>
      </c>
      <c r="G27" s="15" t="s">
        <v>26</v>
      </c>
      <c r="H27" s="1" t="s">
        <v>39</v>
      </c>
      <c r="I27" s="16" t="s">
        <v>27</v>
      </c>
      <c r="J27" s="16" t="s">
        <v>29</v>
      </c>
      <c r="K27" s="16" t="s">
        <v>30</v>
      </c>
    </row>
    <row r="28">
      <c r="A28" s="1" t="s">
        <v>0</v>
      </c>
      <c r="B28" s="17">
        <v>0.043461605</v>
      </c>
      <c r="C28" s="18">
        <v>341.65</v>
      </c>
      <c r="D28" s="18">
        <f t="shared" ref="D28:D60" si="1">Iferror(VLOOKUP(A28,$A$3:$B$22,2,0),"")</f>
        <v>2207</v>
      </c>
      <c r="E28" s="18">
        <v>1857.0</v>
      </c>
      <c r="F28" s="15" t="s">
        <v>42</v>
      </c>
      <c r="G28" s="18">
        <v>-350.0</v>
      </c>
      <c r="H28" s="17">
        <v>339.3114</v>
      </c>
      <c r="I28" s="19">
        <v>-350.0</v>
      </c>
      <c r="J28" s="19">
        <v>339.3114</v>
      </c>
      <c r="K28" s="20">
        <f t="shared" ref="K28:K60" si="2">I28*J28</f>
        <v>-118758.99</v>
      </c>
    </row>
    <row r="29">
      <c r="A29" s="1" t="s">
        <v>2</v>
      </c>
      <c r="B29" s="17">
        <v>0.044291035</v>
      </c>
      <c r="C29" s="18">
        <v>1332.1</v>
      </c>
      <c r="D29" s="18">
        <f t="shared" si="1"/>
        <v>657</v>
      </c>
      <c r="E29" s="18">
        <v>503.0</v>
      </c>
      <c r="F29" s="15" t="s">
        <v>42</v>
      </c>
      <c r="G29" s="18">
        <v>-154.0</v>
      </c>
      <c r="H29" s="17">
        <v>1270.45</v>
      </c>
      <c r="I29" s="19">
        <v>-154.0</v>
      </c>
      <c r="J29" s="19">
        <v>1270.45</v>
      </c>
      <c r="K29" s="20">
        <f t="shared" si="2"/>
        <v>-195649.3</v>
      </c>
    </row>
    <row r="30">
      <c r="A30" s="1" t="s">
        <v>3</v>
      </c>
      <c r="B30" s="17">
        <v>0.0</v>
      </c>
      <c r="C30" s="18">
        <v>170.56</v>
      </c>
      <c r="D30" s="18">
        <f t="shared" si="1"/>
        <v>4343</v>
      </c>
      <c r="E30" s="18">
        <v>0.0</v>
      </c>
      <c r="F30" s="15" t="s">
        <v>42</v>
      </c>
      <c r="G30" s="18">
        <v>-4343.0</v>
      </c>
      <c r="H30" s="17">
        <v>155.4113</v>
      </c>
      <c r="I30" s="19">
        <v>-4343.0</v>
      </c>
      <c r="J30" s="19">
        <v>155.4113</v>
      </c>
      <c r="K30" s="20">
        <f t="shared" si="2"/>
        <v>-674951.2759</v>
      </c>
    </row>
    <row r="31">
      <c r="A31" s="1" t="s">
        <v>4</v>
      </c>
      <c r="B31" s="17">
        <v>0.0</v>
      </c>
      <c r="C31" s="18">
        <v>4990.0</v>
      </c>
      <c r="D31" s="18">
        <f t="shared" si="1"/>
        <v>123</v>
      </c>
      <c r="E31" s="18">
        <v>0.0</v>
      </c>
      <c r="F31" s="15" t="s">
        <v>42</v>
      </c>
      <c r="G31" s="18">
        <v>-123.0</v>
      </c>
      <c r="H31" s="17">
        <v>5031.9476</v>
      </c>
      <c r="I31" s="19">
        <v>-123.0</v>
      </c>
      <c r="J31" s="19">
        <v>5031.9476</v>
      </c>
      <c r="K31" s="20">
        <f t="shared" si="2"/>
        <v>-618929.5548</v>
      </c>
    </row>
    <row r="32">
      <c r="A32" s="1" t="s">
        <v>5</v>
      </c>
      <c r="B32" s="17">
        <v>0.0</v>
      </c>
      <c r="C32" s="18">
        <v>182.0</v>
      </c>
      <c r="D32" s="18">
        <f t="shared" si="1"/>
        <v>4107</v>
      </c>
      <c r="E32" s="18">
        <v>0.0</v>
      </c>
      <c r="F32" s="15" t="s">
        <v>42</v>
      </c>
      <c r="G32" s="18">
        <v>-4107.0</v>
      </c>
      <c r="H32" s="17">
        <v>182.3782</v>
      </c>
      <c r="I32" s="19">
        <v>-4107.0</v>
      </c>
      <c r="J32" s="19">
        <v>182.3782</v>
      </c>
      <c r="K32" s="20">
        <f t="shared" si="2"/>
        <v>-749027.2674</v>
      </c>
    </row>
    <row r="33">
      <c r="A33" s="1" t="s">
        <v>7</v>
      </c>
      <c r="B33" s="17">
        <v>0.056301762</v>
      </c>
      <c r="C33" s="18">
        <v>5305.05</v>
      </c>
      <c r="D33" s="18">
        <f t="shared" si="1"/>
        <v>201</v>
      </c>
      <c r="E33" s="18">
        <v>154.0</v>
      </c>
      <c r="F33" s="15" t="s">
        <v>42</v>
      </c>
      <c r="G33" s="18">
        <v>-47.0</v>
      </c>
      <c r="H33" s="17">
        <v>5290.0</v>
      </c>
      <c r="I33" s="19">
        <v>-47.0</v>
      </c>
      <c r="J33" s="19">
        <v>5290.0</v>
      </c>
      <c r="K33" s="20">
        <f t="shared" si="2"/>
        <v>-248630</v>
      </c>
    </row>
    <row r="34">
      <c r="A34" s="1" t="s">
        <v>8</v>
      </c>
      <c r="B34" s="17">
        <v>0.0</v>
      </c>
      <c r="C34" s="18">
        <v>7538.0</v>
      </c>
      <c r="D34" s="18">
        <f t="shared" si="1"/>
        <v>92</v>
      </c>
      <c r="E34" s="18">
        <v>0.0</v>
      </c>
      <c r="F34" s="15" t="s">
        <v>42</v>
      </c>
      <c r="G34" s="18">
        <v>-92.0</v>
      </c>
      <c r="H34" s="17">
        <v>7911.05</v>
      </c>
      <c r="I34" s="19">
        <v>-92.0</v>
      </c>
      <c r="J34" s="19">
        <v>7911.05</v>
      </c>
      <c r="K34" s="20">
        <f t="shared" si="2"/>
        <v>-727816.6</v>
      </c>
    </row>
    <row r="35">
      <c r="A35" s="1" t="s">
        <v>9</v>
      </c>
      <c r="B35" s="17">
        <v>0.049489154</v>
      </c>
      <c r="C35" s="18">
        <v>1427.9</v>
      </c>
      <c r="D35" s="18">
        <f t="shared" si="1"/>
        <v>800</v>
      </c>
      <c r="E35" s="18">
        <v>585.0</v>
      </c>
      <c r="F35" s="15" t="s">
        <v>42</v>
      </c>
      <c r="G35" s="18">
        <v>-215.0</v>
      </c>
      <c r="H35" s="17">
        <v>1387.1772</v>
      </c>
      <c r="I35" s="19">
        <v>-215.0</v>
      </c>
      <c r="J35" s="19">
        <v>1387.1772</v>
      </c>
      <c r="K35" s="20">
        <f t="shared" si="2"/>
        <v>-298243.098</v>
      </c>
    </row>
    <row r="36">
      <c r="A36" s="1" t="s">
        <v>10</v>
      </c>
      <c r="B36" s="17">
        <v>0.0</v>
      </c>
      <c r="C36" s="18">
        <v>149.4</v>
      </c>
      <c r="D36" s="18">
        <f t="shared" si="1"/>
        <v>5613</v>
      </c>
      <c r="E36" s="18">
        <v>0.0</v>
      </c>
      <c r="F36" s="15" t="s">
        <v>42</v>
      </c>
      <c r="G36" s="18">
        <v>-5613.0</v>
      </c>
      <c r="H36" s="17">
        <v>151.9669</v>
      </c>
      <c r="I36" s="19">
        <v>-5613.0</v>
      </c>
      <c r="J36" s="19">
        <v>151.9669</v>
      </c>
      <c r="K36" s="20">
        <f t="shared" si="2"/>
        <v>-852990.2097</v>
      </c>
    </row>
    <row r="37">
      <c r="A37" s="1" t="s">
        <v>11</v>
      </c>
      <c r="B37" s="17">
        <v>0.0</v>
      </c>
      <c r="C37" s="18">
        <v>1593.5</v>
      </c>
      <c r="D37" s="18">
        <f t="shared" si="1"/>
        <v>409</v>
      </c>
      <c r="E37" s="18">
        <v>0.0</v>
      </c>
      <c r="F37" s="15" t="s">
        <v>42</v>
      </c>
      <c r="G37" s="18">
        <v>-409.0</v>
      </c>
      <c r="H37" s="17">
        <v>1586.8647</v>
      </c>
      <c r="I37" s="19">
        <v>-409.0</v>
      </c>
      <c r="J37" s="19">
        <v>1586.8647</v>
      </c>
      <c r="K37" s="20">
        <f t="shared" si="2"/>
        <v>-649027.6623</v>
      </c>
    </row>
    <row r="38">
      <c r="A38" s="1" t="s">
        <v>12</v>
      </c>
      <c r="B38" s="17">
        <v>0.041015626</v>
      </c>
      <c r="C38" s="18">
        <v>910.0</v>
      </c>
      <c r="D38" s="18">
        <f t="shared" si="1"/>
        <v>791</v>
      </c>
      <c r="E38" s="18">
        <v>676.0</v>
      </c>
      <c r="F38" s="15" t="s">
        <v>42</v>
      </c>
      <c r="G38" s="18">
        <v>-115.0</v>
      </c>
      <c r="H38" s="17">
        <v>918.2015</v>
      </c>
      <c r="I38" s="19">
        <v>-115.0</v>
      </c>
      <c r="J38" s="19">
        <v>918.2015</v>
      </c>
      <c r="K38" s="20">
        <f t="shared" si="2"/>
        <v>-105593.1725</v>
      </c>
    </row>
    <row r="39">
      <c r="A39" s="1" t="s">
        <v>14</v>
      </c>
      <c r="B39" s="17">
        <v>0.059074288</v>
      </c>
      <c r="C39" s="18">
        <v>13888.0</v>
      </c>
      <c r="D39" s="18">
        <f t="shared" si="1"/>
        <v>56</v>
      </c>
      <c r="E39" s="18">
        <v>64.0</v>
      </c>
      <c r="F39" s="15" t="s">
        <v>53</v>
      </c>
      <c r="G39" s="18">
        <v>8.0</v>
      </c>
      <c r="H39" s="17">
        <v>0.0</v>
      </c>
      <c r="I39" s="19">
        <v>8.0</v>
      </c>
      <c r="J39" s="19">
        <v>13888.0</v>
      </c>
      <c r="K39" s="20">
        <f t="shared" si="2"/>
        <v>111104</v>
      </c>
    </row>
    <row r="40">
      <c r="A40" s="1" t="s">
        <v>15</v>
      </c>
      <c r="B40" s="17">
        <v>0.066869397</v>
      </c>
      <c r="C40" s="18">
        <v>12900.0</v>
      </c>
      <c r="D40" s="18">
        <f t="shared" si="1"/>
        <v>79</v>
      </c>
      <c r="E40" s="18">
        <v>72.0</v>
      </c>
      <c r="F40" s="15" t="s">
        <v>42</v>
      </c>
      <c r="G40" s="18">
        <v>-7.0</v>
      </c>
      <c r="H40" s="17">
        <v>13491.65</v>
      </c>
      <c r="I40" s="19">
        <v>-7.0</v>
      </c>
      <c r="J40" s="19">
        <v>13491.65</v>
      </c>
      <c r="K40" s="20">
        <f t="shared" si="2"/>
        <v>-94441.55</v>
      </c>
    </row>
    <row r="41">
      <c r="A41" s="1" t="s">
        <v>16</v>
      </c>
      <c r="B41" s="17">
        <v>0.0</v>
      </c>
      <c r="C41" s="18">
        <v>4453.0</v>
      </c>
      <c r="D41" s="18">
        <f t="shared" si="1"/>
        <v>145</v>
      </c>
      <c r="E41" s="18">
        <v>0.0</v>
      </c>
      <c r="F41" s="15" t="s">
        <v>42</v>
      </c>
      <c r="G41" s="18">
        <v>-145.0</v>
      </c>
      <c r="H41" s="17">
        <v>4266.6507</v>
      </c>
      <c r="I41" s="19">
        <v>-145.0</v>
      </c>
      <c r="J41" s="19">
        <v>4266.6507</v>
      </c>
      <c r="K41" s="20">
        <f t="shared" si="2"/>
        <v>-618664.3515</v>
      </c>
    </row>
    <row r="42">
      <c r="A42" s="1" t="s">
        <v>19</v>
      </c>
      <c r="B42" s="17">
        <v>0.0</v>
      </c>
      <c r="C42" s="18">
        <v>44.39</v>
      </c>
      <c r="D42" s="18">
        <f t="shared" si="1"/>
        <v>13843</v>
      </c>
      <c r="E42" s="18">
        <v>0.0</v>
      </c>
      <c r="F42" s="15" t="s">
        <v>42</v>
      </c>
      <c r="G42" s="18">
        <v>-13843.0</v>
      </c>
      <c r="H42" s="17">
        <v>43.8239</v>
      </c>
      <c r="I42" s="19">
        <v>-13843.0</v>
      </c>
      <c r="J42" s="19">
        <v>43.8239</v>
      </c>
      <c r="K42" s="20">
        <f t="shared" si="2"/>
        <v>-606654.2477</v>
      </c>
    </row>
    <row r="43">
      <c r="A43" s="1" t="s">
        <v>22</v>
      </c>
      <c r="B43" s="17">
        <v>0.0</v>
      </c>
      <c r="C43" s="18">
        <v>505.0</v>
      </c>
      <c r="D43" s="18">
        <f t="shared" si="1"/>
        <v>1230</v>
      </c>
      <c r="E43" s="18">
        <v>0.0</v>
      </c>
      <c r="F43" s="15" t="s">
        <v>42</v>
      </c>
      <c r="G43" s="18">
        <v>-1230.0</v>
      </c>
      <c r="H43" s="17">
        <v>467.0</v>
      </c>
      <c r="I43" s="19">
        <v>-1230.0</v>
      </c>
      <c r="J43" s="19">
        <v>467.0</v>
      </c>
      <c r="K43" s="20">
        <f t="shared" si="2"/>
        <v>-574410</v>
      </c>
    </row>
    <row r="44">
      <c r="A44" s="1" t="s">
        <v>24</v>
      </c>
      <c r="B44" s="17">
        <v>0.0</v>
      </c>
      <c r="C44" s="18">
        <v>217.1</v>
      </c>
      <c r="D44" s="18">
        <f t="shared" si="1"/>
        <v>2916</v>
      </c>
      <c r="E44" s="18">
        <v>0.0</v>
      </c>
      <c r="F44" s="15" t="s">
        <v>42</v>
      </c>
      <c r="G44" s="18">
        <v>-2916.0</v>
      </c>
      <c r="H44" s="17">
        <v>228.3223</v>
      </c>
      <c r="I44" s="19">
        <v>-2916.0</v>
      </c>
      <c r="J44" s="19">
        <v>228.3223</v>
      </c>
      <c r="K44" s="20">
        <f t="shared" si="2"/>
        <v>-665787.8268</v>
      </c>
    </row>
    <row r="45">
      <c r="A45" s="1" t="s">
        <v>28</v>
      </c>
      <c r="B45" s="17">
        <v>0.0</v>
      </c>
      <c r="C45" s="18">
        <v>194.68</v>
      </c>
      <c r="D45" s="18">
        <f t="shared" si="1"/>
        <v>3412</v>
      </c>
      <c r="E45" s="18">
        <v>0.0</v>
      </c>
      <c r="F45" s="15" t="s">
        <v>42</v>
      </c>
      <c r="G45" s="18">
        <v>-3412.0</v>
      </c>
      <c r="H45" s="17">
        <v>192.9607</v>
      </c>
      <c r="I45" s="19">
        <v>-3412.0</v>
      </c>
      <c r="J45" s="19">
        <v>192.9607</v>
      </c>
      <c r="K45" s="20">
        <f t="shared" si="2"/>
        <v>-658381.9084</v>
      </c>
    </row>
    <row r="46">
      <c r="A46" s="1" t="s">
        <v>31</v>
      </c>
      <c r="B46" s="17">
        <v>0.0</v>
      </c>
      <c r="C46" s="18">
        <v>633.0</v>
      </c>
      <c r="D46" s="18">
        <f t="shared" si="1"/>
        <v>1024</v>
      </c>
      <c r="E46" s="18">
        <v>0.0</v>
      </c>
      <c r="F46" s="15" t="s">
        <v>42</v>
      </c>
      <c r="G46" s="18">
        <v>-1024.0</v>
      </c>
      <c r="H46" s="17">
        <v>633.2003</v>
      </c>
      <c r="I46" s="19">
        <v>-1024.0</v>
      </c>
      <c r="J46" s="19">
        <v>633.2003</v>
      </c>
      <c r="K46" s="20">
        <f t="shared" si="2"/>
        <v>-648397.1072</v>
      </c>
    </row>
    <row r="47">
      <c r="A47" s="1" t="s">
        <v>33</v>
      </c>
      <c r="B47" s="17">
        <v>0.0</v>
      </c>
      <c r="C47" s="18">
        <v>1396.0</v>
      </c>
      <c r="D47" s="18">
        <f t="shared" si="1"/>
        <v>425</v>
      </c>
      <c r="E47" s="18">
        <v>0.0</v>
      </c>
      <c r="F47" s="15" t="s">
        <v>42</v>
      </c>
      <c r="G47" s="18">
        <v>-425.0</v>
      </c>
      <c r="H47" s="17">
        <v>1422.9627</v>
      </c>
      <c r="I47" s="19">
        <v>-425.0</v>
      </c>
      <c r="J47" s="19">
        <v>1422.9627</v>
      </c>
      <c r="K47" s="20">
        <f t="shared" si="2"/>
        <v>-604759.1475</v>
      </c>
    </row>
    <row r="48">
      <c r="A48" s="1" t="s">
        <v>49</v>
      </c>
      <c r="B48" s="17">
        <v>0.04082282</v>
      </c>
      <c r="C48" s="18">
        <v>6325.0</v>
      </c>
      <c r="D48" s="18" t="str">
        <f t="shared" si="1"/>
        <v/>
      </c>
      <c r="E48" s="18">
        <v>97.0</v>
      </c>
      <c r="F48" s="15" t="s">
        <v>53</v>
      </c>
      <c r="G48" s="18">
        <v>97.0</v>
      </c>
      <c r="H48" s="17">
        <v>0.0</v>
      </c>
      <c r="I48" s="19">
        <v>97.0</v>
      </c>
      <c r="J48" s="19">
        <v>6325.0</v>
      </c>
      <c r="K48" s="20">
        <f t="shared" si="2"/>
        <v>613525</v>
      </c>
    </row>
    <row r="49">
      <c r="A49" s="1" t="s">
        <v>46</v>
      </c>
      <c r="B49" s="17">
        <v>0.059858539</v>
      </c>
      <c r="C49" s="18">
        <v>4183.0</v>
      </c>
      <c r="D49" s="18" t="str">
        <f t="shared" si="1"/>
        <v/>
      </c>
      <c r="E49" s="18">
        <v>215.0</v>
      </c>
      <c r="F49" s="15" t="s">
        <v>53</v>
      </c>
      <c r="G49" s="18">
        <v>215.0</v>
      </c>
      <c r="H49" s="17">
        <v>0.0</v>
      </c>
      <c r="I49" s="19">
        <v>215.0</v>
      </c>
      <c r="J49" s="19">
        <v>4183.0</v>
      </c>
      <c r="K49" s="20">
        <f t="shared" si="2"/>
        <v>899345</v>
      </c>
    </row>
    <row r="50">
      <c r="A50" s="1" t="s">
        <v>63</v>
      </c>
      <c r="B50" s="17">
        <v>0.043697533</v>
      </c>
      <c r="C50" s="18">
        <v>570.8</v>
      </c>
      <c r="D50" s="18" t="str">
        <f t="shared" si="1"/>
        <v/>
      </c>
      <c r="E50" s="18">
        <v>1149.0</v>
      </c>
      <c r="F50" s="15" t="s">
        <v>53</v>
      </c>
      <c r="G50" s="18">
        <v>1149.0</v>
      </c>
      <c r="H50" s="17">
        <v>0.0</v>
      </c>
      <c r="I50" s="19">
        <v>1149.0</v>
      </c>
      <c r="J50" s="19">
        <v>570.8</v>
      </c>
      <c r="K50" s="20">
        <f t="shared" si="2"/>
        <v>655849.2</v>
      </c>
    </row>
    <row r="51">
      <c r="A51" s="1" t="s">
        <v>56</v>
      </c>
      <c r="B51" s="17">
        <v>0.058536905</v>
      </c>
      <c r="C51" s="18">
        <v>1116.05</v>
      </c>
      <c r="D51" s="18" t="str">
        <f t="shared" si="1"/>
        <v/>
      </c>
      <c r="E51" s="18">
        <v>787.0</v>
      </c>
      <c r="F51" s="15" t="s">
        <v>53</v>
      </c>
      <c r="G51" s="18">
        <v>787.0</v>
      </c>
      <c r="H51" s="17">
        <v>0.0</v>
      </c>
      <c r="I51" s="19">
        <v>787.0</v>
      </c>
      <c r="J51" s="19">
        <v>1116.05</v>
      </c>
      <c r="K51" s="20">
        <f t="shared" si="2"/>
        <v>878331.35</v>
      </c>
    </row>
    <row r="52">
      <c r="A52" s="1" t="s">
        <v>66</v>
      </c>
      <c r="B52" s="17">
        <v>0.044072679</v>
      </c>
      <c r="C52" s="18">
        <v>2708.75</v>
      </c>
      <c r="D52" s="18" t="str">
        <f t="shared" si="1"/>
        <v/>
      </c>
      <c r="E52" s="18">
        <v>244.0</v>
      </c>
      <c r="F52" s="15" t="s">
        <v>53</v>
      </c>
      <c r="G52" s="18">
        <v>244.0</v>
      </c>
      <c r="H52" s="17">
        <v>0.0</v>
      </c>
      <c r="I52" s="19">
        <v>244.0</v>
      </c>
      <c r="J52" s="19">
        <v>2708.75</v>
      </c>
      <c r="K52" s="20">
        <f t="shared" si="2"/>
        <v>660935</v>
      </c>
    </row>
    <row r="53">
      <c r="A53" s="1" t="s">
        <v>55</v>
      </c>
      <c r="B53" s="17">
        <v>0.040302876</v>
      </c>
      <c r="C53" s="18">
        <v>630.45</v>
      </c>
      <c r="D53" s="18" t="str">
        <f t="shared" si="1"/>
        <v/>
      </c>
      <c r="E53" s="18">
        <v>959.0</v>
      </c>
      <c r="F53" s="15" t="s">
        <v>53</v>
      </c>
      <c r="G53" s="18">
        <v>959.0</v>
      </c>
      <c r="H53" s="17">
        <v>0.0</v>
      </c>
      <c r="I53" s="19">
        <v>959.0</v>
      </c>
      <c r="J53" s="19">
        <v>630.45</v>
      </c>
      <c r="K53" s="20">
        <f t="shared" si="2"/>
        <v>604601.55</v>
      </c>
    </row>
    <row r="54">
      <c r="A54" s="1" t="s">
        <v>69</v>
      </c>
      <c r="B54" s="17">
        <v>0.047628212</v>
      </c>
      <c r="C54" s="18">
        <v>351.4</v>
      </c>
      <c r="D54" s="18" t="str">
        <f t="shared" si="1"/>
        <v/>
      </c>
      <c r="E54" s="18">
        <v>2033.0</v>
      </c>
      <c r="F54" s="15" t="s">
        <v>53</v>
      </c>
      <c r="G54" s="18">
        <v>2033.0</v>
      </c>
      <c r="H54" s="17">
        <v>0.0</v>
      </c>
      <c r="I54" s="19">
        <v>2033.0</v>
      </c>
      <c r="J54" s="19">
        <v>351.4</v>
      </c>
      <c r="K54" s="20">
        <f t="shared" si="2"/>
        <v>714396.2</v>
      </c>
    </row>
    <row r="55">
      <c r="A55" s="1" t="s">
        <v>60</v>
      </c>
      <c r="B55" s="17">
        <v>0.050369514</v>
      </c>
      <c r="C55" s="18">
        <v>1388.5</v>
      </c>
      <c r="D55" s="18" t="str">
        <f t="shared" si="1"/>
        <v/>
      </c>
      <c r="E55" s="18">
        <v>544.0</v>
      </c>
      <c r="F55" s="15" t="s">
        <v>53</v>
      </c>
      <c r="G55" s="18">
        <v>544.0</v>
      </c>
      <c r="H55" s="17">
        <v>0.0</v>
      </c>
      <c r="I55" s="19">
        <v>544.0</v>
      </c>
      <c r="J55" s="19">
        <v>1388.5</v>
      </c>
      <c r="K55" s="20">
        <f t="shared" si="2"/>
        <v>755344</v>
      </c>
    </row>
    <row r="56">
      <c r="A56" s="1" t="s">
        <v>70</v>
      </c>
      <c r="B56" s="17">
        <v>0.047587279</v>
      </c>
      <c r="C56" s="18">
        <v>1692.0</v>
      </c>
      <c r="D56" s="18" t="str">
        <f t="shared" si="1"/>
        <v/>
      </c>
      <c r="E56" s="18">
        <v>422.0</v>
      </c>
      <c r="F56" s="15" t="s">
        <v>53</v>
      </c>
      <c r="G56" s="18">
        <v>422.0</v>
      </c>
      <c r="H56" s="17">
        <v>0.0</v>
      </c>
      <c r="I56" s="19">
        <v>422.0</v>
      </c>
      <c r="J56" s="19">
        <v>1692.0</v>
      </c>
      <c r="K56" s="20">
        <f t="shared" si="2"/>
        <v>714024</v>
      </c>
    </row>
    <row r="57">
      <c r="A57" s="1" t="s">
        <v>68</v>
      </c>
      <c r="B57" s="17">
        <v>0.041817643</v>
      </c>
      <c r="C57" s="18">
        <v>1151.6</v>
      </c>
      <c r="D57" s="18" t="str">
        <f t="shared" si="1"/>
        <v/>
      </c>
      <c r="E57" s="18">
        <v>545.0</v>
      </c>
      <c r="F57" s="15" t="s">
        <v>53</v>
      </c>
      <c r="G57" s="18">
        <v>545.0</v>
      </c>
      <c r="H57" s="17">
        <v>0.0</v>
      </c>
      <c r="I57" s="19">
        <v>545.0</v>
      </c>
      <c r="J57" s="19">
        <v>1151.6</v>
      </c>
      <c r="K57" s="20">
        <f t="shared" si="2"/>
        <v>627622</v>
      </c>
    </row>
    <row r="58">
      <c r="A58" s="1" t="s">
        <v>72</v>
      </c>
      <c r="B58" s="17">
        <v>0.073789436</v>
      </c>
      <c r="C58" s="18">
        <v>2342.1</v>
      </c>
      <c r="D58" s="18" t="str">
        <f t="shared" si="1"/>
        <v/>
      </c>
      <c r="E58" s="18">
        <v>473.0</v>
      </c>
      <c r="F58" s="15" t="s">
        <v>53</v>
      </c>
      <c r="G58" s="18">
        <v>473.0</v>
      </c>
      <c r="H58" s="17">
        <v>0.0</v>
      </c>
      <c r="I58" s="19">
        <v>473.0</v>
      </c>
      <c r="J58" s="19">
        <v>2342.1</v>
      </c>
      <c r="K58" s="20">
        <f t="shared" si="2"/>
        <v>1107813.3</v>
      </c>
    </row>
    <row r="59">
      <c r="A59" s="1" t="s">
        <v>75</v>
      </c>
      <c r="B59" s="17">
        <v>0.049770888</v>
      </c>
      <c r="C59" s="18">
        <v>682.6</v>
      </c>
      <c r="D59" s="18" t="str">
        <f t="shared" si="1"/>
        <v/>
      </c>
      <c r="E59" s="18">
        <v>1094.0</v>
      </c>
      <c r="F59" s="15" t="s">
        <v>53</v>
      </c>
      <c r="G59" s="18">
        <v>1094.0</v>
      </c>
      <c r="H59" s="17">
        <v>0.0</v>
      </c>
      <c r="I59" s="19">
        <v>1094.0</v>
      </c>
      <c r="J59" s="19">
        <v>682.6</v>
      </c>
      <c r="K59" s="20">
        <f t="shared" si="2"/>
        <v>746764.4</v>
      </c>
    </row>
    <row r="60">
      <c r="A60" s="1" t="s">
        <v>77</v>
      </c>
      <c r="B60" s="17">
        <v>0.041242807</v>
      </c>
      <c r="C60" s="18">
        <v>445.0</v>
      </c>
      <c r="D60" s="18" t="str">
        <f t="shared" si="1"/>
        <v/>
      </c>
      <c r="E60" s="18">
        <v>1390.0</v>
      </c>
      <c r="F60" s="15" t="s">
        <v>53</v>
      </c>
      <c r="G60" s="18">
        <v>1390.0</v>
      </c>
      <c r="H60" s="17">
        <v>0.0</v>
      </c>
      <c r="I60" s="19">
        <v>1390.0</v>
      </c>
      <c r="J60" s="19">
        <v>445.0</v>
      </c>
      <c r="K60" s="20">
        <f t="shared" si="2"/>
        <v>618550</v>
      </c>
    </row>
    <row r="61">
      <c r="I61" s="20"/>
      <c r="J61" s="20"/>
      <c r="K61" s="16">
        <f>SUM(K26:K60)</f>
        <v>-2908.2697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0" width="15.71"/>
    <col customWidth="1" min="11" max="26" width="8.71"/>
  </cols>
  <sheetData>
    <row r="1">
      <c r="A1" s="2" t="s">
        <v>1</v>
      </c>
      <c r="B1" s="4">
        <v>2.1940415E7</v>
      </c>
    </row>
    <row r="2">
      <c r="C2" s="5" t="s">
        <v>6</v>
      </c>
      <c r="D2" s="6"/>
      <c r="E2" s="6"/>
      <c r="F2" s="6"/>
      <c r="G2" s="7"/>
      <c r="H2" s="5" t="s">
        <v>13</v>
      </c>
      <c r="I2" s="6"/>
      <c r="J2" s="7"/>
    </row>
    <row r="3">
      <c r="A3" s="2" t="s">
        <v>17</v>
      </c>
      <c r="B3" s="2" t="s">
        <v>18</v>
      </c>
      <c r="C3" s="2" t="s">
        <v>20</v>
      </c>
      <c r="D3" s="2" t="s">
        <v>21</v>
      </c>
      <c r="E3" s="2" t="s">
        <v>23</v>
      </c>
      <c r="F3" s="2" t="s">
        <v>25</v>
      </c>
      <c r="G3" s="2" t="s">
        <v>26</v>
      </c>
      <c r="H3" s="2" t="s">
        <v>27</v>
      </c>
      <c r="I3" s="2" t="s">
        <v>29</v>
      </c>
      <c r="J3" s="2" t="s">
        <v>30</v>
      </c>
      <c r="K3" s="8" t="s">
        <v>32</v>
      </c>
    </row>
    <row r="4">
      <c r="A4" s="10" t="s">
        <v>34</v>
      </c>
      <c r="B4" s="10">
        <v>0.02748449247058067</v>
      </c>
      <c r="C4" s="10">
        <v>2955.0</v>
      </c>
      <c r="D4" s="10">
        <v>213.0</v>
      </c>
      <c r="E4" s="10">
        <f t="shared" ref="E4:E50" si="1">ROUND($B$1 * B4 / C4, 0)</f>
        <v>204</v>
      </c>
      <c r="F4" s="10" t="str">
        <f t="shared" ref="F4:F50" si="2">IF(G4&gt;0, "BUY", IF(G4&lt;0, "SELL", "FLAT"))</f>
        <v>SELL</v>
      </c>
      <c r="G4" s="10">
        <f t="shared" ref="G4:G50" si="3">E4-D4</f>
        <v>-9</v>
      </c>
      <c r="H4" s="14">
        <v>-9.0</v>
      </c>
      <c r="I4" s="8">
        <v>2946.7</v>
      </c>
      <c r="J4" s="14">
        <f t="shared" ref="J4:J50" si="4">I4 * H4</f>
        <v>-26520.3</v>
      </c>
      <c r="K4" s="14">
        <f>D4+H4</f>
        <v>204</v>
      </c>
    </row>
    <row r="5" hidden="1">
      <c r="A5" s="10" t="s">
        <v>43</v>
      </c>
      <c r="B5" s="10">
        <v>0.0</v>
      </c>
      <c r="C5" s="10">
        <v>544.65</v>
      </c>
      <c r="D5" s="10">
        <v>1041.0</v>
      </c>
      <c r="E5" s="10">
        <f t="shared" si="1"/>
        <v>0</v>
      </c>
      <c r="F5" s="10" t="str">
        <f t="shared" si="2"/>
        <v>SELL</v>
      </c>
      <c r="G5" s="10">
        <f t="shared" si="3"/>
        <v>-1041</v>
      </c>
      <c r="H5" s="14">
        <v>-1041.0</v>
      </c>
      <c r="I5" s="8">
        <v>530.3</v>
      </c>
      <c r="J5" s="14">
        <f t="shared" si="4"/>
        <v>-552042.3</v>
      </c>
    </row>
    <row r="6" hidden="1">
      <c r="A6" s="10" t="s">
        <v>44</v>
      </c>
      <c r="B6" s="10">
        <v>0.0</v>
      </c>
      <c r="C6" s="10">
        <v>1322.3</v>
      </c>
      <c r="D6" s="10">
        <v>416.0</v>
      </c>
      <c r="E6" s="10">
        <f t="shared" si="1"/>
        <v>0</v>
      </c>
      <c r="F6" s="10" t="str">
        <f t="shared" si="2"/>
        <v>SELL</v>
      </c>
      <c r="G6" s="10">
        <f t="shared" si="3"/>
        <v>-416</v>
      </c>
      <c r="H6" s="14">
        <v>-416.0</v>
      </c>
      <c r="I6" s="8">
        <v>1251.3</v>
      </c>
      <c r="J6" s="14">
        <f t="shared" si="4"/>
        <v>-520540.8</v>
      </c>
    </row>
    <row r="7" hidden="1">
      <c r="A7" s="10" t="s">
        <v>45</v>
      </c>
      <c r="B7" s="10">
        <v>0.0</v>
      </c>
      <c r="C7" s="10">
        <v>422.0</v>
      </c>
      <c r="D7" s="10">
        <v>873.0</v>
      </c>
      <c r="E7" s="10">
        <f t="shared" si="1"/>
        <v>0</v>
      </c>
      <c r="F7" s="10" t="str">
        <f t="shared" si="2"/>
        <v>SELL</v>
      </c>
      <c r="G7" s="10">
        <f t="shared" si="3"/>
        <v>-873</v>
      </c>
      <c r="H7" s="14">
        <v>-873.0</v>
      </c>
      <c r="I7" s="8">
        <v>406.35</v>
      </c>
      <c r="J7" s="14">
        <f t="shared" si="4"/>
        <v>-354743.55</v>
      </c>
    </row>
    <row r="8">
      <c r="A8" s="10" t="s">
        <v>46</v>
      </c>
      <c r="B8" s="10">
        <v>0.02514526666810609</v>
      </c>
      <c r="C8" s="10">
        <v>2852.0</v>
      </c>
      <c r="D8" s="10">
        <v>325.0</v>
      </c>
      <c r="E8" s="10">
        <f t="shared" si="1"/>
        <v>193</v>
      </c>
      <c r="F8" s="10" t="str">
        <f t="shared" si="2"/>
        <v>SELL</v>
      </c>
      <c r="G8" s="10">
        <f t="shared" si="3"/>
        <v>-132</v>
      </c>
      <c r="H8" s="14">
        <v>-132.0</v>
      </c>
      <c r="I8" s="8">
        <v>2852.4</v>
      </c>
      <c r="J8" s="14">
        <f t="shared" si="4"/>
        <v>-376516.8</v>
      </c>
      <c r="K8" s="14">
        <f>D8+H8</f>
        <v>193</v>
      </c>
    </row>
    <row r="9" hidden="1">
      <c r="A9" s="10" t="s">
        <v>47</v>
      </c>
      <c r="B9" s="10">
        <v>0.0</v>
      </c>
      <c r="C9" s="10">
        <v>3883.9</v>
      </c>
      <c r="D9" s="10">
        <v>143.0</v>
      </c>
      <c r="E9" s="10">
        <f t="shared" si="1"/>
        <v>0</v>
      </c>
      <c r="F9" s="10" t="str">
        <f t="shared" si="2"/>
        <v>SELL</v>
      </c>
      <c r="G9" s="10">
        <f t="shared" si="3"/>
        <v>-143</v>
      </c>
      <c r="H9" s="14">
        <v>-143.0</v>
      </c>
      <c r="I9" s="8">
        <v>3874.6</v>
      </c>
      <c r="J9" s="14">
        <f t="shared" si="4"/>
        <v>-554067.8</v>
      </c>
    </row>
    <row r="10" hidden="1">
      <c r="A10" s="10" t="s">
        <v>48</v>
      </c>
      <c r="B10" s="10">
        <v>0.0</v>
      </c>
      <c r="C10" s="10">
        <v>782.0</v>
      </c>
      <c r="D10" s="10">
        <v>879.0</v>
      </c>
      <c r="E10" s="10">
        <f t="shared" si="1"/>
        <v>0</v>
      </c>
      <c r="F10" s="10" t="str">
        <f t="shared" si="2"/>
        <v>SELL</v>
      </c>
      <c r="G10" s="10">
        <f t="shared" si="3"/>
        <v>-879</v>
      </c>
      <c r="H10" s="14">
        <v>-879.0</v>
      </c>
      <c r="I10" s="8">
        <v>778.49</v>
      </c>
      <c r="J10" s="14">
        <f t="shared" si="4"/>
        <v>-684292.71</v>
      </c>
    </row>
    <row r="11" hidden="1">
      <c r="A11" s="10" t="s">
        <v>50</v>
      </c>
      <c r="B11" s="10">
        <v>0.0</v>
      </c>
      <c r="C11" s="10">
        <v>1318.6</v>
      </c>
      <c r="D11" s="10">
        <v>550.0</v>
      </c>
      <c r="E11" s="10">
        <f t="shared" si="1"/>
        <v>0</v>
      </c>
      <c r="F11" s="10" t="str">
        <f t="shared" si="2"/>
        <v>SELL</v>
      </c>
      <c r="G11" s="10">
        <f t="shared" si="3"/>
        <v>-550</v>
      </c>
      <c r="H11" s="14">
        <v>-550.0</v>
      </c>
      <c r="I11" s="8">
        <v>1336.4</v>
      </c>
      <c r="J11" s="14">
        <f t="shared" si="4"/>
        <v>-735020</v>
      </c>
    </row>
    <row r="12">
      <c r="A12" s="10" t="s">
        <v>52</v>
      </c>
      <c r="B12" s="10">
        <v>0.02604004816509545</v>
      </c>
      <c r="C12" s="10">
        <v>4955.0</v>
      </c>
      <c r="D12" s="10">
        <v>159.0</v>
      </c>
      <c r="E12" s="10">
        <f t="shared" si="1"/>
        <v>115</v>
      </c>
      <c r="F12" s="10" t="str">
        <f t="shared" si="2"/>
        <v>SELL</v>
      </c>
      <c r="G12" s="10">
        <f t="shared" si="3"/>
        <v>-44</v>
      </c>
      <c r="H12" s="14">
        <v>-44.0</v>
      </c>
      <c r="I12" s="8">
        <v>4461.92</v>
      </c>
      <c r="J12" s="14">
        <f t="shared" si="4"/>
        <v>-196324.48</v>
      </c>
      <c r="K12" s="14">
        <f>D12+H12</f>
        <v>115</v>
      </c>
    </row>
    <row r="13" hidden="1">
      <c r="A13" s="10" t="s">
        <v>55</v>
      </c>
      <c r="B13" s="10">
        <v>0.0</v>
      </c>
      <c r="C13" s="10">
        <v>864.9</v>
      </c>
      <c r="D13" s="10">
        <v>721.0</v>
      </c>
      <c r="E13" s="10">
        <f t="shared" si="1"/>
        <v>0</v>
      </c>
      <c r="F13" s="10" t="str">
        <f t="shared" si="2"/>
        <v>SELL</v>
      </c>
      <c r="G13" s="10">
        <f t="shared" si="3"/>
        <v>-721</v>
      </c>
      <c r="H13" s="14">
        <v>-721.0</v>
      </c>
      <c r="I13" s="8">
        <v>854.35</v>
      </c>
      <c r="J13" s="14">
        <f t="shared" si="4"/>
        <v>-615986.35</v>
      </c>
    </row>
    <row r="14" hidden="1">
      <c r="A14" s="10" t="s">
        <v>58</v>
      </c>
      <c r="B14" s="10">
        <v>0.0</v>
      </c>
      <c r="C14" s="10">
        <v>253.0</v>
      </c>
      <c r="D14" s="10">
        <v>2042.0</v>
      </c>
      <c r="E14" s="10">
        <f t="shared" si="1"/>
        <v>0</v>
      </c>
      <c r="F14" s="10" t="str">
        <f t="shared" si="2"/>
        <v>SELL</v>
      </c>
      <c r="G14" s="10">
        <f t="shared" si="3"/>
        <v>-2042</v>
      </c>
      <c r="H14" s="14">
        <v>-2042.0</v>
      </c>
      <c r="I14" s="8">
        <v>255.02</v>
      </c>
      <c r="J14" s="14">
        <f t="shared" si="4"/>
        <v>-520750.84</v>
      </c>
    </row>
    <row r="15">
      <c r="A15" s="10" t="s">
        <v>60</v>
      </c>
      <c r="B15" s="10">
        <v>0.03730419278144038</v>
      </c>
      <c r="C15" s="10">
        <v>2545.0</v>
      </c>
      <c r="D15" s="10">
        <v>362.0</v>
      </c>
      <c r="E15" s="10">
        <f t="shared" si="1"/>
        <v>322</v>
      </c>
      <c r="F15" s="10" t="str">
        <f t="shared" si="2"/>
        <v>SELL</v>
      </c>
      <c r="G15" s="10">
        <f t="shared" si="3"/>
        <v>-40</v>
      </c>
      <c r="H15" s="14">
        <v>-40.0</v>
      </c>
      <c r="I15" s="8">
        <v>2440.3</v>
      </c>
      <c r="J15" s="14">
        <f t="shared" si="4"/>
        <v>-97612</v>
      </c>
      <c r="K15" s="14">
        <f t="shared" ref="K15:K16" si="5">D15+H15</f>
        <v>322</v>
      </c>
    </row>
    <row r="16">
      <c r="A16" s="10" t="s">
        <v>9</v>
      </c>
      <c r="B16" s="10">
        <v>0.03984902035789937</v>
      </c>
      <c r="C16" s="10">
        <v>3460.0</v>
      </c>
      <c r="D16" s="10">
        <v>281.0</v>
      </c>
      <c r="E16" s="10">
        <f t="shared" si="1"/>
        <v>253</v>
      </c>
      <c r="F16" s="10" t="str">
        <f t="shared" si="2"/>
        <v>SELL</v>
      </c>
      <c r="G16" s="10">
        <f t="shared" si="3"/>
        <v>-28</v>
      </c>
      <c r="H16" s="14">
        <v>-28.0</v>
      </c>
      <c r="I16" s="8">
        <v>3521.2</v>
      </c>
      <c r="J16" s="14">
        <f t="shared" si="4"/>
        <v>-98593.6</v>
      </c>
      <c r="K16" s="14">
        <f t="shared" si="5"/>
        <v>253</v>
      </c>
    </row>
    <row r="17" hidden="1">
      <c r="A17" s="10" t="s">
        <v>74</v>
      </c>
      <c r="B17" s="10">
        <v>0.0</v>
      </c>
      <c r="C17" s="10">
        <v>814.0</v>
      </c>
      <c r="D17" s="10">
        <v>611.0</v>
      </c>
      <c r="E17" s="10">
        <f t="shared" si="1"/>
        <v>0</v>
      </c>
      <c r="F17" s="10" t="str">
        <f t="shared" si="2"/>
        <v>SELL</v>
      </c>
      <c r="G17" s="10">
        <f t="shared" si="3"/>
        <v>-611</v>
      </c>
      <c r="H17" s="14">
        <v>-611.0</v>
      </c>
      <c r="I17" s="8">
        <v>776.56</v>
      </c>
      <c r="J17" s="14">
        <f t="shared" si="4"/>
        <v>-474478.16</v>
      </c>
    </row>
    <row r="18" hidden="1">
      <c r="A18" s="10" t="s">
        <v>78</v>
      </c>
      <c r="B18" s="10">
        <v>0.0</v>
      </c>
      <c r="C18" s="10">
        <v>289.4</v>
      </c>
      <c r="D18" s="10">
        <v>2475.0</v>
      </c>
      <c r="E18" s="10">
        <f t="shared" si="1"/>
        <v>0</v>
      </c>
      <c r="F18" s="10" t="str">
        <f t="shared" si="2"/>
        <v>SELL</v>
      </c>
      <c r="G18" s="10">
        <f t="shared" si="3"/>
        <v>-2475</v>
      </c>
      <c r="H18" s="14">
        <v>-2475.0</v>
      </c>
      <c r="I18" s="8">
        <v>292.99</v>
      </c>
      <c r="J18" s="14">
        <f t="shared" si="4"/>
        <v>-725150.25</v>
      </c>
    </row>
    <row r="19" hidden="1">
      <c r="A19" s="10" t="s">
        <v>80</v>
      </c>
      <c r="B19" s="10">
        <v>0.0</v>
      </c>
      <c r="C19" s="10">
        <v>5620.0</v>
      </c>
      <c r="D19" s="10">
        <v>92.0</v>
      </c>
      <c r="E19" s="10">
        <f t="shared" si="1"/>
        <v>0</v>
      </c>
      <c r="F19" s="10" t="str">
        <f t="shared" si="2"/>
        <v>SELL</v>
      </c>
      <c r="G19" s="10">
        <f t="shared" si="3"/>
        <v>-92</v>
      </c>
      <c r="H19" s="14">
        <v>-92.0</v>
      </c>
      <c r="I19" s="8">
        <v>5662.01</v>
      </c>
      <c r="J19" s="14">
        <f t="shared" si="4"/>
        <v>-520904.92</v>
      </c>
    </row>
    <row r="20">
      <c r="A20" s="10" t="s">
        <v>81</v>
      </c>
      <c r="B20" s="10">
        <v>0.02592640983955472</v>
      </c>
      <c r="C20" s="10">
        <v>979.5</v>
      </c>
      <c r="D20" s="10">
        <v>1025.0</v>
      </c>
      <c r="E20" s="10">
        <f t="shared" si="1"/>
        <v>581</v>
      </c>
      <c r="F20" s="10" t="str">
        <f t="shared" si="2"/>
        <v>SELL</v>
      </c>
      <c r="G20" s="10">
        <f t="shared" si="3"/>
        <v>-444</v>
      </c>
      <c r="H20" s="14">
        <v>-444.0</v>
      </c>
      <c r="I20" s="8">
        <v>961.95</v>
      </c>
      <c r="J20" s="14">
        <f t="shared" si="4"/>
        <v>-427105.8</v>
      </c>
      <c r="K20" s="14">
        <f t="shared" ref="K20:K21" si="6">D20+H20</f>
        <v>581</v>
      </c>
    </row>
    <row r="21">
      <c r="A21" s="10" t="s">
        <v>82</v>
      </c>
      <c r="B21" s="10">
        <v>0.03127194389449627</v>
      </c>
      <c r="C21" s="10">
        <v>284.9</v>
      </c>
      <c r="D21" s="10">
        <v>2643.0</v>
      </c>
      <c r="E21" s="10">
        <f t="shared" si="1"/>
        <v>2408</v>
      </c>
      <c r="F21" s="10" t="str">
        <f t="shared" si="2"/>
        <v>SELL</v>
      </c>
      <c r="G21" s="10">
        <f t="shared" si="3"/>
        <v>-235</v>
      </c>
      <c r="H21" s="14">
        <v>-235.0</v>
      </c>
      <c r="I21" s="8">
        <v>279.4</v>
      </c>
      <c r="J21" s="14">
        <f t="shared" si="4"/>
        <v>-65659</v>
      </c>
      <c r="K21" s="14">
        <f t="shared" si="6"/>
        <v>2408</v>
      </c>
    </row>
    <row r="22" hidden="1">
      <c r="A22" s="10" t="s">
        <v>83</v>
      </c>
      <c r="B22" s="10">
        <v>0.0</v>
      </c>
      <c r="C22" s="10">
        <v>290.25</v>
      </c>
      <c r="D22" s="10">
        <v>3149.0</v>
      </c>
      <c r="E22" s="10">
        <f t="shared" si="1"/>
        <v>0</v>
      </c>
      <c r="F22" s="10" t="str">
        <f t="shared" si="2"/>
        <v>SELL</v>
      </c>
      <c r="G22" s="10">
        <f t="shared" si="3"/>
        <v>-3149</v>
      </c>
      <c r="H22" s="14">
        <v>-3149.0</v>
      </c>
      <c r="I22" s="8">
        <v>286.65</v>
      </c>
      <c r="J22" s="14">
        <f t="shared" si="4"/>
        <v>-902660.85</v>
      </c>
    </row>
    <row r="23" hidden="1">
      <c r="A23" s="10" t="s">
        <v>72</v>
      </c>
      <c r="B23" s="10">
        <v>0.0</v>
      </c>
      <c r="C23" s="10">
        <v>2455.0</v>
      </c>
      <c r="D23" s="10">
        <v>223.0</v>
      </c>
      <c r="E23" s="10">
        <f t="shared" si="1"/>
        <v>0</v>
      </c>
      <c r="F23" s="10" t="str">
        <f t="shared" si="2"/>
        <v>SELL</v>
      </c>
      <c r="G23" s="10">
        <f t="shared" si="3"/>
        <v>-223</v>
      </c>
      <c r="H23" s="14">
        <v>-223.0</v>
      </c>
      <c r="I23" s="8">
        <v>2363.32</v>
      </c>
      <c r="J23" s="14">
        <f t="shared" si="4"/>
        <v>-527020.36</v>
      </c>
    </row>
    <row r="24">
      <c r="A24" s="10" t="s">
        <v>84</v>
      </c>
      <c r="B24" s="10">
        <v>0.02713514552362826</v>
      </c>
      <c r="C24" s="10">
        <v>3644.9</v>
      </c>
      <c r="D24" s="10">
        <v>255.0</v>
      </c>
      <c r="E24" s="10">
        <f t="shared" si="1"/>
        <v>163</v>
      </c>
      <c r="F24" s="10" t="str">
        <f t="shared" si="2"/>
        <v>SELL</v>
      </c>
      <c r="G24" s="10">
        <f t="shared" si="3"/>
        <v>-92</v>
      </c>
      <c r="H24" s="14">
        <v>-92.0</v>
      </c>
      <c r="I24" s="8">
        <v>3583.61</v>
      </c>
      <c r="J24" s="14">
        <f t="shared" si="4"/>
        <v>-329692.12</v>
      </c>
      <c r="K24" s="14">
        <f>D24+H24</f>
        <v>163</v>
      </c>
    </row>
    <row r="25" hidden="1">
      <c r="A25" s="10" t="s">
        <v>87</v>
      </c>
      <c r="B25" s="10">
        <v>0.0</v>
      </c>
      <c r="C25" s="10">
        <v>6300.0</v>
      </c>
      <c r="D25" s="10">
        <v>151.0</v>
      </c>
      <c r="E25" s="10">
        <f t="shared" si="1"/>
        <v>0</v>
      </c>
      <c r="F25" s="10" t="str">
        <f t="shared" si="2"/>
        <v>SELL</v>
      </c>
      <c r="G25" s="10">
        <f t="shared" si="3"/>
        <v>-151</v>
      </c>
      <c r="H25" s="14">
        <v>-151.0</v>
      </c>
      <c r="I25" s="8">
        <v>6321.5</v>
      </c>
      <c r="J25" s="14">
        <f t="shared" si="4"/>
        <v>-954546.5</v>
      </c>
    </row>
    <row r="26" hidden="1">
      <c r="A26" s="10" t="s">
        <v>75</v>
      </c>
      <c r="B26" s="10">
        <v>0.0</v>
      </c>
      <c r="C26" s="10">
        <v>1191.3</v>
      </c>
      <c r="D26" s="10">
        <v>715.0</v>
      </c>
      <c r="E26" s="10">
        <f t="shared" si="1"/>
        <v>0</v>
      </c>
      <c r="F26" s="10" t="str">
        <f t="shared" si="2"/>
        <v>SELL</v>
      </c>
      <c r="G26" s="10">
        <f t="shared" si="3"/>
        <v>-715</v>
      </c>
      <c r="H26" s="14">
        <v>-715.0</v>
      </c>
      <c r="I26" s="8">
        <v>1201.9</v>
      </c>
      <c r="J26" s="14">
        <f t="shared" si="4"/>
        <v>-859358.5</v>
      </c>
    </row>
    <row r="27">
      <c r="A27" s="10" t="s">
        <v>88</v>
      </c>
      <c r="B27" s="10">
        <v>0.0326621071781659</v>
      </c>
      <c r="C27" s="10">
        <v>304.95</v>
      </c>
      <c r="D27" s="10">
        <v>3009.0</v>
      </c>
      <c r="E27" s="10">
        <f t="shared" si="1"/>
        <v>2350</v>
      </c>
      <c r="F27" s="10" t="str">
        <f t="shared" si="2"/>
        <v>SELL</v>
      </c>
      <c r="G27" s="10">
        <f t="shared" si="3"/>
        <v>-659</v>
      </c>
      <c r="H27" s="14">
        <v>-659.0</v>
      </c>
      <c r="I27" s="8">
        <v>304.05</v>
      </c>
      <c r="J27" s="14">
        <f t="shared" si="4"/>
        <v>-200368.95</v>
      </c>
      <c r="K27" s="14">
        <f>D27+H27</f>
        <v>2350</v>
      </c>
    </row>
    <row r="28" hidden="1">
      <c r="A28" s="10" t="s">
        <v>91</v>
      </c>
      <c r="B28" s="10">
        <v>0.0</v>
      </c>
      <c r="C28" s="10">
        <v>818.0</v>
      </c>
      <c r="D28" s="10">
        <v>1033.0</v>
      </c>
      <c r="E28" s="10">
        <f t="shared" si="1"/>
        <v>0</v>
      </c>
      <c r="F28" s="10" t="str">
        <f t="shared" si="2"/>
        <v>SELL</v>
      </c>
      <c r="G28" s="10">
        <f t="shared" si="3"/>
        <v>-1033</v>
      </c>
      <c r="H28" s="14">
        <v>-1033.0</v>
      </c>
      <c r="I28" s="8">
        <v>830.75</v>
      </c>
      <c r="J28" s="14">
        <f t="shared" si="4"/>
        <v>-858164.75</v>
      </c>
    </row>
    <row r="29">
      <c r="A29" s="14" t="s">
        <v>67</v>
      </c>
      <c r="B29" s="14">
        <v>0.06977513625566116</v>
      </c>
      <c r="C29" s="14">
        <v>19950.0</v>
      </c>
      <c r="D29" s="14">
        <v>77.0</v>
      </c>
      <c r="E29" s="14">
        <f t="shared" si="1"/>
        <v>77</v>
      </c>
      <c r="F29" s="14" t="str">
        <f t="shared" si="2"/>
        <v>FLAT</v>
      </c>
      <c r="G29" s="14">
        <f t="shared" si="3"/>
        <v>0</v>
      </c>
      <c r="H29" s="14">
        <v>0.0</v>
      </c>
      <c r="I29" s="14">
        <v>0.0</v>
      </c>
      <c r="J29" s="14">
        <f t="shared" si="4"/>
        <v>0</v>
      </c>
      <c r="K29" s="14">
        <f t="shared" ref="K29:K44" si="7">D29+H29</f>
        <v>77</v>
      </c>
    </row>
    <row r="30">
      <c r="A30" s="14" t="s">
        <v>15</v>
      </c>
      <c r="B30" s="14">
        <v>0.03291240005724902</v>
      </c>
      <c r="C30" s="14">
        <v>19715.0</v>
      </c>
      <c r="D30" s="14">
        <v>37.0</v>
      </c>
      <c r="E30" s="14">
        <f t="shared" si="1"/>
        <v>37</v>
      </c>
      <c r="F30" s="14" t="str">
        <f t="shared" si="2"/>
        <v>FLAT</v>
      </c>
      <c r="G30" s="14">
        <f t="shared" si="3"/>
        <v>0</v>
      </c>
      <c r="H30" s="14">
        <v>0.0</v>
      </c>
      <c r="I30" s="14">
        <v>0.0</v>
      </c>
      <c r="J30" s="14">
        <f t="shared" si="4"/>
        <v>0</v>
      </c>
      <c r="K30" s="14">
        <f t="shared" si="7"/>
        <v>37</v>
      </c>
    </row>
    <row r="31">
      <c r="A31" s="14" t="s">
        <v>37</v>
      </c>
      <c r="B31" s="14">
        <v>0.03344141445398965</v>
      </c>
      <c r="C31" s="14">
        <v>346.9</v>
      </c>
      <c r="D31" s="14">
        <v>2030.0</v>
      </c>
      <c r="E31" s="14">
        <f t="shared" si="1"/>
        <v>2115</v>
      </c>
      <c r="F31" s="14" t="str">
        <f t="shared" si="2"/>
        <v>BUY</v>
      </c>
      <c r="G31" s="14">
        <f t="shared" si="3"/>
        <v>85</v>
      </c>
      <c r="H31" s="14">
        <v>85.0</v>
      </c>
      <c r="I31" s="8">
        <v>341.35</v>
      </c>
      <c r="J31" s="14">
        <f t="shared" si="4"/>
        <v>29014.75</v>
      </c>
      <c r="K31" s="14">
        <f t="shared" si="7"/>
        <v>2115</v>
      </c>
    </row>
    <row r="32">
      <c r="A32" s="14" t="s">
        <v>93</v>
      </c>
      <c r="B32" s="14">
        <v>0.02637102593355861</v>
      </c>
      <c r="C32" s="14">
        <v>989.9</v>
      </c>
      <c r="D32" s="14">
        <v>0.0</v>
      </c>
      <c r="E32" s="14">
        <f t="shared" si="1"/>
        <v>584</v>
      </c>
      <c r="F32" s="14" t="str">
        <f t="shared" si="2"/>
        <v>BUY</v>
      </c>
      <c r="G32" s="14">
        <f t="shared" si="3"/>
        <v>584</v>
      </c>
      <c r="H32" s="14">
        <v>584.0</v>
      </c>
      <c r="I32" s="8">
        <v>948.19</v>
      </c>
      <c r="J32" s="14">
        <f t="shared" si="4"/>
        <v>553742.96</v>
      </c>
      <c r="K32" s="14">
        <f t="shared" si="7"/>
        <v>584</v>
      </c>
    </row>
    <row r="33">
      <c r="A33" s="14" t="s">
        <v>51</v>
      </c>
      <c r="B33" s="14">
        <v>0.03656644125474137</v>
      </c>
      <c r="C33" s="14">
        <v>200.0</v>
      </c>
      <c r="D33" s="14">
        <v>0.0</v>
      </c>
      <c r="E33" s="14">
        <f t="shared" si="1"/>
        <v>4011</v>
      </c>
      <c r="F33" s="14" t="str">
        <f t="shared" si="2"/>
        <v>BUY</v>
      </c>
      <c r="G33" s="14">
        <f t="shared" si="3"/>
        <v>4011</v>
      </c>
      <c r="H33" s="14">
        <v>4011.0</v>
      </c>
      <c r="I33" s="8">
        <v>199.98</v>
      </c>
      <c r="J33" s="14">
        <f t="shared" si="4"/>
        <v>802119.78</v>
      </c>
      <c r="K33" s="14">
        <f t="shared" si="7"/>
        <v>4011</v>
      </c>
    </row>
    <row r="34">
      <c r="A34" s="14" t="s">
        <v>54</v>
      </c>
      <c r="B34" s="14">
        <v>0.02657863090382713</v>
      </c>
      <c r="C34" s="14">
        <v>982.5</v>
      </c>
      <c r="D34" s="14">
        <v>0.0</v>
      </c>
      <c r="E34" s="14">
        <f t="shared" si="1"/>
        <v>594</v>
      </c>
      <c r="F34" s="14" t="str">
        <f t="shared" si="2"/>
        <v>BUY</v>
      </c>
      <c r="G34" s="14">
        <f t="shared" si="3"/>
        <v>594</v>
      </c>
      <c r="H34" s="14">
        <v>594.0</v>
      </c>
      <c r="I34" s="8">
        <v>981.73</v>
      </c>
      <c r="J34" s="14">
        <f t="shared" si="4"/>
        <v>583147.62</v>
      </c>
      <c r="K34" s="14">
        <f t="shared" si="7"/>
        <v>594</v>
      </c>
    </row>
    <row r="35">
      <c r="A35" s="14" t="s">
        <v>57</v>
      </c>
      <c r="B35" s="14">
        <v>0.02453237162554998</v>
      </c>
      <c r="C35" s="14">
        <v>438.4</v>
      </c>
      <c r="D35" s="14">
        <v>0.0</v>
      </c>
      <c r="E35" s="14">
        <f t="shared" si="1"/>
        <v>1228</v>
      </c>
      <c r="F35" s="14" t="str">
        <f t="shared" si="2"/>
        <v>BUY</v>
      </c>
      <c r="G35" s="14">
        <f t="shared" si="3"/>
        <v>1228</v>
      </c>
      <c r="H35" s="14">
        <v>1228.0</v>
      </c>
      <c r="I35" s="8">
        <v>428.05</v>
      </c>
      <c r="J35" s="14">
        <f t="shared" si="4"/>
        <v>525645.4</v>
      </c>
      <c r="K35" s="14">
        <f t="shared" si="7"/>
        <v>1228</v>
      </c>
    </row>
    <row r="36">
      <c r="A36" s="14" t="s">
        <v>62</v>
      </c>
      <c r="B36" s="14">
        <v>0.02513340914116597</v>
      </c>
      <c r="C36" s="14">
        <v>147.4</v>
      </c>
      <c r="D36" s="14">
        <v>0.0</v>
      </c>
      <c r="E36" s="14">
        <f t="shared" si="1"/>
        <v>3741</v>
      </c>
      <c r="F36" s="14" t="str">
        <f t="shared" si="2"/>
        <v>BUY</v>
      </c>
      <c r="G36" s="14">
        <f t="shared" si="3"/>
        <v>3741</v>
      </c>
      <c r="H36" s="14">
        <v>3741.0</v>
      </c>
      <c r="I36" s="8">
        <v>147.23</v>
      </c>
      <c r="J36" s="14">
        <f t="shared" si="4"/>
        <v>550787.43</v>
      </c>
      <c r="K36" s="14">
        <f t="shared" si="7"/>
        <v>3741</v>
      </c>
    </row>
    <row r="37">
      <c r="A37" s="14" t="s">
        <v>99</v>
      </c>
      <c r="B37" s="14">
        <v>0.0270843394617243</v>
      </c>
      <c r="C37" s="14">
        <v>984.05</v>
      </c>
      <c r="D37" s="14">
        <v>0.0</v>
      </c>
      <c r="E37" s="14">
        <f t="shared" si="1"/>
        <v>604</v>
      </c>
      <c r="F37" s="14" t="str">
        <f t="shared" si="2"/>
        <v>BUY</v>
      </c>
      <c r="G37" s="14">
        <f t="shared" si="3"/>
        <v>604</v>
      </c>
      <c r="H37" s="14">
        <v>604.0</v>
      </c>
      <c r="I37" s="8">
        <v>981.45</v>
      </c>
      <c r="J37" s="14">
        <f t="shared" si="4"/>
        <v>592795.8</v>
      </c>
      <c r="K37" s="14">
        <f t="shared" si="7"/>
        <v>604</v>
      </c>
    </row>
    <row r="38">
      <c r="A38" s="14" t="s">
        <v>100</v>
      </c>
      <c r="B38" s="14">
        <v>0.03310385411613415</v>
      </c>
      <c r="C38" s="14">
        <v>841.6</v>
      </c>
      <c r="D38" s="14">
        <v>0.0</v>
      </c>
      <c r="E38" s="14">
        <f t="shared" si="1"/>
        <v>863</v>
      </c>
      <c r="F38" s="14" t="str">
        <f t="shared" si="2"/>
        <v>BUY</v>
      </c>
      <c r="G38" s="14">
        <f t="shared" si="3"/>
        <v>863</v>
      </c>
      <c r="H38" s="14">
        <v>863.0</v>
      </c>
      <c r="I38" s="8">
        <v>901.9</v>
      </c>
      <c r="J38" s="14">
        <f t="shared" si="4"/>
        <v>778339.7</v>
      </c>
      <c r="K38" s="14">
        <f t="shared" si="7"/>
        <v>863</v>
      </c>
    </row>
    <row r="39">
      <c r="A39" s="14" t="s">
        <v>106</v>
      </c>
      <c r="B39" s="14">
        <v>0.03304191844751245</v>
      </c>
      <c r="C39" s="14">
        <v>7699.0</v>
      </c>
      <c r="D39" s="14">
        <v>0.0</v>
      </c>
      <c r="E39" s="14">
        <f t="shared" si="1"/>
        <v>94</v>
      </c>
      <c r="F39" s="14" t="str">
        <f t="shared" si="2"/>
        <v>BUY</v>
      </c>
      <c r="G39" s="14">
        <f t="shared" si="3"/>
        <v>94</v>
      </c>
      <c r="H39" s="14">
        <v>94.0</v>
      </c>
      <c r="I39" s="8">
        <v>7794.5</v>
      </c>
      <c r="J39" s="14">
        <f t="shared" si="4"/>
        <v>732683</v>
      </c>
      <c r="K39" s="14">
        <f t="shared" si="7"/>
        <v>94</v>
      </c>
    </row>
    <row r="40">
      <c r="A40" s="14" t="s">
        <v>107</v>
      </c>
      <c r="B40" s="14">
        <v>0.02717963230204811</v>
      </c>
      <c r="C40" s="14">
        <v>297.1</v>
      </c>
      <c r="D40" s="14">
        <v>0.0</v>
      </c>
      <c r="E40" s="14">
        <f t="shared" si="1"/>
        <v>2007</v>
      </c>
      <c r="F40" s="14" t="str">
        <f t="shared" si="2"/>
        <v>BUY</v>
      </c>
      <c r="G40" s="14">
        <f t="shared" si="3"/>
        <v>2007</v>
      </c>
      <c r="H40" s="14">
        <v>2007.0</v>
      </c>
      <c r="I40" s="8">
        <v>293.46</v>
      </c>
      <c r="J40" s="14">
        <f t="shared" si="4"/>
        <v>588974.22</v>
      </c>
      <c r="K40" s="14">
        <f t="shared" si="7"/>
        <v>2007</v>
      </c>
    </row>
    <row r="41">
      <c r="A41" s="14" t="s">
        <v>109</v>
      </c>
      <c r="B41" s="14">
        <v>0.03866967712314752</v>
      </c>
      <c r="C41" s="14">
        <v>589.2</v>
      </c>
      <c r="D41" s="14">
        <v>1366.0</v>
      </c>
      <c r="E41" s="14">
        <f t="shared" si="1"/>
        <v>1440</v>
      </c>
      <c r="F41" s="14" t="str">
        <f t="shared" si="2"/>
        <v>BUY</v>
      </c>
      <c r="G41" s="14">
        <f t="shared" si="3"/>
        <v>74</v>
      </c>
      <c r="H41" s="14">
        <v>74.0</v>
      </c>
      <c r="I41" s="8">
        <v>608.74</v>
      </c>
      <c r="J41" s="14">
        <f t="shared" si="4"/>
        <v>45046.76</v>
      </c>
      <c r="K41" s="14">
        <f t="shared" si="7"/>
        <v>1440</v>
      </c>
    </row>
    <row r="42">
      <c r="A42" s="14" t="s">
        <v>111</v>
      </c>
      <c r="B42" s="14">
        <v>0.05546066209071004</v>
      </c>
      <c r="C42" s="14">
        <v>614.9</v>
      </c>
      <c r="D42" s="14">
        <v>0.0</v>
      </c>
      <c r="E42" s="14">
        <f t="shared" si="1"/>
        <v>1979</v>
      </c>
      <c r="F42" s="14" t="str">
        <f t="shared" si="2"/>
        <v>BUY</v>
      </c>
      <c r="G42" s="14">
        <f t="shared" si="3"/>
        <v>1979</v>
      </c>
      <c r="H42" s="14">
        <v>1979.0</v>
      </c>
      <c r="I42" s="8">
        <v>584.85</v>
      </c>
      <c r="J42" s="14">
        <f t="shared" si="4"/>
        <v>1157418.15</v>
      </c>
      <c r="K42" s="14">
        <f t="shared" si="7"/>
        <v>1979</v>
      </c>
    </row>
    <row r="43">
      <c r="A43" s="14" t="s">
        <v>113</v>
      </c>
      <c r="B43" s="14">
        <v>0.03232505563560276</v>
      </c>
      <c r="C43" s="14">
        <v>463.5</v>
      </c>
      <c r="D43" s="14">
        <v>0.0</v>
      </c>
      <c r="E43" s="14">
        <f t="shared" si="1"/>
        <v>1530</v>
      </c>
      <c r="F43" s="14" t="str">
        <f t="shared" si="2"/>
        <v>BUY</v>
      </c>
      <c r="G43" s="14">
        <f t="shared" si="3"/>
        <v>1530</v>
      </c>
      <c r="H43" s="14">
        <v>1530.0</v>
      </c>
      <c r="I43" s="8">
        <v>448.88</v>
      </c>
      <c r="J43" s="14">
        <f t="shared" si="4"/>
        <v>686786.4</v>
      </c>
      <c r="K43" s="14">
        <f t="shared" si="7"/>
        <v>1530</v>
      </c>
    </row>
    <row r="44">
      <c r="A44" s="14" t="s">
        <v>115</v>
      </c>
      <c r="B44" s="14">
        <v>0.02944886741373242</v>
      </c>
      <c r="C44" s="14">
        <v>534.0</v>
      </c>
      <c r="D44" s="14">
        <v>0.0</v>
      </c>
      <c r="E44" s="14">
        <f t="shared" si="1"/>
        <v>1210</v>
      </c>
      <c r="F44" s="14" t="str">
        <f t="shared" si="2"/>
        <v>BUY</v>
      </c>
      <c r="G44" s="14">
        <f t="shared" si="3"/>
        <v>1210</v>
      </c>
      <c r="H44" s="14">
        <v>1210.0</v>
      </c>
      <c r="I44" s="8">
        <v>526.47</v>
      </c>
      <c r="J44" s="14">
        <f t="shared" si="4"/>
        <v>637028.7</v>
      </c>
      <c r="K44" s="14">
        <f t="shared" si="7"/>
        <v>1210</v>
      </c>
    </row>
    <row r="45" hidden="1">
      <c r="A45" s="14" t="s">
        <v>68</v>
      </c>
      <c r="B45" s="14">
        <v>0.0</v>
      </c>
      <c r="C45" s="14">
        <v>1167.0</v>
      </c>
      <c r="D45" s="14">
        <v>-96.0</v>
      </c>
      <c r="E45" s="14">
        <f t="shared" si="1"/>
        <v>0</v>
      </c>
      <c r="F45" s="14" t="str">
        <f t="shared" si="2"/>
        <v>BUY</v>
      </c>
      <c r="G45" s="14">
        <f t="shared" si="3"/>
        <v>96</v>
      </c>
      <c r="H45" s="14">
        <v>96.0</v>
      </c>
      <c r="I45" s="8">
        <v>1235.0</v>
      </c>
      <c r="J45" s="14">
        <f t="shared" si="4"/>
        <v>118560</v>
      </c>
    </row>
    <row r="46">
      <c r="A46" s="14" t="s">
        <v>86</v>
      </c>
      <c r="B46" s="14">
        <v>0.0413449319996448</v>
      </c>
      <c r="C46" s="14">
        <v>2441.0</v>
      </c>
      <c r="D46" s="14">
        <v>0.0</v>
      </c>
      <c r="E46" s="14">
        <f t="shared" si="1"/>
        <v>372</v>
      </c>
      <c r="F46" s="14" t="str">
        <f t="shared" si="2"/>
        <v>BUY</v>
      </c>
      <c r="G46" s="14">
        <f t="shared" si="3"/>
        <v>372</v>
      </c>
      <c r="H46" s="14">
        <v>372.0</v>
      </c>
      <c r="I46" s="8">
        <v>2354.0</v>
      </c>
      <c r="J46" s="14">
        <f t="shared" si="4"/>
        <v>875688</v>
      </c>
      <c r="K46" s="14">
        <f t="shared" ref="K46:K50" si="8">D46+H46</f>
        <v>372</v>
      </c>
    </row>
    <row r="47">
      <c r="A47" s="14" t="s">
        <v>28</v>
      </c>
      <c r="B47" s="14">
        <v>0.03677782324938297</v>
      </c>
      <c r="C47" s="14">
        <v>371.5</v>
      </c>
      <c r="D47" s="14">
        <v>0.0</v>
      </c>
      <c r="E47" s="14">
        <f t="shared" si="1"/>
        <v>2172</v>
      </c>
      <c r="F47" s="14" t="str">
        <f t="shared" si="2"/>
        <v>BUY</v>
      </c>
      <c r="G47" s="14">
        <f t="shared" si="3"/>
        <v>2172</v>
      </c>
      <c r="H47" s="14">
        <v>2172.0</v>
      </c>
      <c r="I47" s="8">
        <v>353.6</v>
      </c>
      <c r="J47" s="14">
        <f t="shared" si="4"/>
        <v>768019.2</v>
      </c>
      <c r="K47" s="14">
        <f t="shared" si="8"/>
        <v>2172</v>
      </c>
    </row>
    <row r="48">
      <c r="A48" s="14" t="s">
        <v>11</v>
      </c>
      <c r="B48" s="14">
        <v>0.04264659797248958</v>
      </c>
      <c r="C48" s="14">
        <v>3204.9</v>
      </c>
      <c r="D48" s="14">
        <v>201.0</v>
      </c>
      <c r="E48" s="14">
        <f t="shared" si="1"/>
        <v>292</v>
      </c>
      <c r="F48" s="14" t="str">
        <f t="shared" si="2"/>
        <v>BUY</v>
      </c>
      <c r="G48" s="14">
        <f t="shared" si="3"/>
        <v>91</v>
      </c>
      <c r="H48" s="14">
        <v>91.0</v>
      </c>
      <c r="I48" s="8">
        <v>3057.7</v>
      </c>
      <c r="J48" s="14">
        <f t="shared" si="4"/>
        <v>278250.7</v>
      </c>
      <c r="K48" s="14">
        <f t="shared" si="8"/>
        <v>292</v>
      </c>
    </row>
    <row r="49">
      <c r="A49" s="14" t="s">
        <v>121</v>
      </c>
      <c r="B49" s="14">
        <v>0.0300827867949325</v>
      </c>
      <c r="C49" s="14">
        <v>1000.0</v>
      </c>
      <c r="D49" s="14">
        <v>0.0</v>
      </c>
      <c r="E49" s="14">
        <f t="shared" si="1"/>
        <v>660</v>
      </c>
      <c r="F49" s="14" t="str">
        <f t="shared" si="2"/>
        <v>BUY</v>
      </c>
      <c r="G49" s="14">
        <f t="shared" si="3"/>
        <v>660</v>
      </c>
      <c r="H49" s="14">
        <v>660.0</v>
      </c>
      <c r="I49" s="8">
        <v>990.1</v>
      </c>
      <c r="J49" s="14">
        <f t="shared" si="4"/>
        <v>653466</v>
      </c>
      <c r="K49" s="14">
        <f t="shared" si="8"/>
        <v>660</v>
      </c>
    </row>
    <row r="50">
      <c r="A50" s="14" t="s">
        <v>98</v>
      </c>
      <c r="B50" s="14">
        <v>0.02470439688822855</v>
      </c>
      <c r="C50" s="14">
        <v>174.6</v>
      </c>
      <c r="D50" s="14">
        <v>0.0</v>
      </c>
      <c r="E50" s="14">
        <f t="shared" si="1"/>
        <v>3104</v>
      </c>
      <c r="F50" s="14" t="str">
        <f t="shared" si="2"/>
        <v>BUY</v>
      </c>
      <c r="G50" s="14">
        <f t="shared" si="3"/>
        <v>3104</v>
      </c>
      <c r="H50" s="14">
        <v>3104.0</v>
      </c>
      <c r="I50" s="8">
        <v>177.14</v>
      </c>
      <c r="J50" s="14">
        <f t="shared" si="4"/>
        <v>549842.56</v>
      </c>
      <c r="K50" s="14">
        <f t="shared" si="8"/>
        <v>3104</v>
      </c>
    </row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autoFilter ref="$A$3:$J$50">
    <filterColumn colId="4">
      <filters>
        <filter val="4011"/>
        <filter val="1440"/>
        <filter val="193"/>
        <filter val="2350"/>
        <filter val="292"/>
        <filter val="2172"/>
        <filter val="372"/>
        <filter val="253"/>
        <filter val="594"/>
        <filter val="2007"/>
        <filter val="115"/>
        <filter val="1530"/>
        <filter val="1210"/>
        <filter val="94"/>
        <filter val="2408"/>
        <filter val="1979"/>
        <filter val="77"/>
        <filter val="37"/>
        <filter val="581"/>
        <filter val="163"/>
        <filter val="1228"/>
        <filter val="660"/>
        <filter val="584"/>
        <filter val="322"/>
        <filter val="2115"/>
        <filter val="863"/>
        <filter val="3104"/>
        <filter val="204"/>
        <filter val="3741"/>
        <filter val="604"/>
      </filters>
    </filterColumn>
    <sortState ref="A3:J50">
      <sortCondition descending="1" ref="F3:F50"/>
    </sortState>
  </autoFilter>
  <mergeCells count="2">
    <mergeCell ref="C2:G2"/>
    <mergeCell ref="H2:J2"/>
  </mergeCells>
  <conditionalFormatting sqref="C10">
    <cfRule type="notContainsBlanks" dxfId="0" priority="1">
      <formula>LEN(TRIM(C10))&gt;0</formula>
    </cfRule>
  </conditionalFormatting>
  <conditionalFormatting sqref="C11">
    <cfRule type="notContainsBlanks" dxfId="0" priority="2">
      <formula>LEN(TRIM(C11))&gt;0</formula>
    </cfRule>
  </conditionalFormatting>
  <conditionalFormatting sqref="C12">
    <cfRule type="notContainsBlanks" dxfId="0" priority="3">
      <formula>LEN(TRIM(C12))&gt;0</formula>
    </cfRule>
  </conditionalFormatting>
  <conditionalFormatting sqref="C13">
    <cfRule type="notContainsBlanks" dxfId="0" priority="4">
      <formula>LEN(TRIM(C13))&gt;0</formula>
    </cfRule>
  </conditionalFormatting>
  <conditionalFormatting sqref="C14">
    <cfRule type="notContainsBlanks" dxfId="0" priority="5">
      <formula>LEN(TRIM(C14))&gt;0</formula>
    </cfRule>
  </conditionalFormatting>
  <conditionalFormatting sqref="C15">
    <cfRule type="notContainsBlanks" dxfId="0" priority="6">
      <formula>LEN(TRIM(C15))&gt;0</formula>
    </cfRule>
  </conditionalFormatting>
  <conditionalFormatting sqref="C16">
    <cfRule type="notContainsBlanks" dxfId="0" priority="7">
      <formula>LEN(TRIM(C16))&gt;0</formula>
    </cfRule>
  </conditionalFormatting>
  <conditionalFormatting sqref="C17">
    <cfRule type="notContainsBlanks" dxfId="0" priority="8">
      <formula>LEN(TRIM(C17))&gt;0</formula>
    </cfRule>
  </conditionalFormatting>
  <conditionalFormatting sqref="C18">
    <cfRule type="notContainsBlanks" dxfId="0" priority="9">
      <formula>LEN(TRIM(C18))&gt;0</formula>
    </cfRule>
  </conditionalFormatting>
  <conditionalFormatting sqref="C19">
    <cfRule type="notContainsBlanks" dxfId="0" priority="10">
      <formula>LEN(TRIM(C19))&gt;0</formula>
    </cfRule>
  </conditionalFormatting>
  <conditionalFormatting sqref="C20">
    <cfRule type="notContainsBlanks" dxfId="0" priority="11">
      <formula>LEN(TRIM(C20))&gt;0</formula>
    </cfRule>
  </conditionalFormatting>
  <conditionalFormatting sqref="C21">
    <cfRule type="notContainsBlanks" dxfId="0" priority="12">
      <formula>LEN(TRIM(C21))&gt;0</formula>
    </cfRule>
  </conditionalFormatting>
  <conditionalFormatting sqref="C22">
    <cfRule type="notContainsBlanks" dxfId="0" priority="13">
      <formula>LEN(TRIM(C22))&gt;0</formula>
    </cfRule>
  </conditionalFormatting>
  <conditionalFormatting sqref="C23">
    <cfRule type="notContainsBlanks" dxfId="0" priority="14">
      <formula>LEN(TRIM(C23))&gt;0</formula>
    </cfRule>
  </conditionalFormatting>
  <conditionalFormatting sqref="C24">
    <cfRule type="notContainsBlanks" dxfId="0" priority="15">
      <formula>LEN(TRIM(C24))&gt;0</formula>
    </cfRule>
  </conditionalFormatting>
  <conditionalFormatting sqref="C25">
    <cfRule type="notContainsBlanks" dxfId="0" priority="16">
      <formula>LEN(TRIM(C25))&gt;0</formula>
    </cfRule>
  </conditionalFormatting>
  <conditionalFormatting sqref="C26">
    <cfRule type="notContainsBlanks" dxfId="0" priority="17">
      <formula>LEN(TRIM(C26))&gt;0</formula>
    </cfRule>
  </conditionalFormatting>
  <conditionalFormatting sqref="C27">
    <cfRule type="notContainsBlanks" dxfId="0" priority="18">
      <formula>LEN(TRIM(C27))&gt;0</formula>
    </cfRule>
  </conditionalFormatting>
  <conditionalFormatting sqref="C28">
    <cfRule type="notContainsBlanks" dxfId="0" priority="19">
      <formula>LEN(TRIM(C28))&gt;0</formula>
    </cfRule>
  </conditionalFormatting>
  <conditionalFormatting sqref="C29">
    <cfRule type="notContainsBlanks" dxfId="0" priority="20">
      <formula>LEN(TRIM(C29))&gt;0</formula>
    </cfRule>
  </conditionalFormatting>
  <conditionalFormatting sqref="C30">
    <cfRule type="notContainsBlanks" dxfId="0" priority="21">
      <formula>LEN(TRIM(C30))&gt;0</formula>
    </cfRule>
  </conditionalFormatting>
  <conditionalFormatting sqref="C31">
    <cfRule type="notContainsBlanks" dxfId="0" priority="22">
      <formula>LEN(TRIM(C31))&gt;0</formula>
    </cfRule>
  </conditionalFormatting>
  <conditionalFormatting sqref="C32">
    <cfRule type="notContainsBlanks" dxfId="0" priority="23">
      <formula>LEN(TRIM(C32))&gt;0</formula>
    </cfRule>
  </conditionalFormatting>
  <conditionalFormatting sqref="C33">
    <cfRule type="notContainsBlanks" dxfId="0" priority="24">
      <formula>LEN(TRIM(C33))&gt;0</formula>
    </cfRule>
  </conditionalFormatting>
  <conditionalFormatting sqref="C34">
    <cfRule type="notContainsBlanks" dxfId="0" priority="25">
      <formula>LEN(TRIM(C34))&gt;0</formula>
    </cfRule>
  </conditionalFormatting>
  <conditionalFormatting sqref="C35">
    <cfRule type="notContainsBlanks" dxfId="0" priority="26">
      <formula>LEN(TRIM(C35))&gt;0</formula>
    </cfRule>
  </conditionalFormatting>
  <conditionalFormatting sqref="C36">
    <cfRule type="notContainsBlanks" dxfId="0" priority="27">
      <formula>LEN(TRIM(C36))&gt;0</formula>
    </cfRule>
  </conditionalFormatting>
  <conditionalFormatting sqref="C37">
    <cfRule type="notContainsBlanks" dxfId="0" priority="28">
      <formula>LEN(TRIM(C37))&gt;0</formula>
    </cfRule>
  </conditionalFormatting>
  <conditionalFormatting sqref="C38">
    <cfRule type="notContainsBlanks" dxfId="0" priority="29">
      <formula>LEN(TRIM(C38))&gt;0</formula>
    </cfRule>
  </conditionalFormatting>
  <conditionalFormatting sqref="C39">
    <cfRule type="notContainsBlanks" dxfId="0" priority="30">
      <formula>LEN(TRIM(C39))&gt;0</formula>
    </cfRule>
  </conditionalFormatting>
  <conditionalFormatting sqref="C4:C50">
    <cfRule type="notContainsBlanks" dxfId="0" priority="31">
      <formula>LEN(TRIM(C4))&gt;0</formula>
    </cfRule>
  </conditionalFormatting>
  <conditionalFormatting sqref="C40">
    <cfRule type="notContainsBlanks" dxfId="0" priority="32">
      <formula>LEN(TRIM(C40))&gt;0</formula>
    </cfRule>
  </conditionalFormatting>
  <conditionalFormatting sqref="C41">
    <cfRule type="notContainsBlanks" dxfId="0" priority="33">
      <formula>LEN(TRIM(C41))&gt;0</formula>
    </cfRule>
  </conditionalFormatting>
  <conditionalFormatting sqref="C42">
    <cfRule type="notContainsBlanks" dxfId="0" priority="34">
      <formula>LEN(TRIM(C42))&gt;0</formula>
    </cfRule>
  </conditionalFormatting>
  <conditionalFormatting sqref="C43">
    <cfRule type="notContainsBlanks" dxfId="0" priority="35">
      <formula>LEN(TRIM(C43))&gt;0</formula>
    </cfRule>
  </conditionalFormatting>
  <conditionalFormatting sqref="C44">
    <cfRule type="notContainsBlanks" dxfId="0" priority="36">
      <formula>LEN(TRIM(C44))&gt;0</formula>
    </cfRule>
  </conditionalFormatting>
  <conditionalFormatting sqref="C45">
    <cfRule type="notContainsBlanks" dxfId="0" priority="37">
      <formula>LEN(TRIM(C45))&gt;0</formula>
    </cfRule>
  </conditionalFormatting>
  <conditionalFormatting sqref="C46">
    <cfRule type="notContainsBlanks" dxfId="0" priority="38">
      <formula>LEN(TRIM(C46))&gt;0</formula>
    </cfRule>
  </conditionalFormatting>
  <conditionalFormatting sqref="C47">
    <cfRule type="notContainsBlanks" dxfId="0" priority="39">
      <formula>LEN(TRIM(C47))&gt;0</formula>
    </cfRule>
  </conditionalFormatting>
  <conditionalFormatting sqref="C48">
    <cfRule type="notContainsBlanks" dxfId="0" priority="40">
      <formula>LEN(TRIM(C48))&gt;0</formula>
    </cfRule>
  </conditionalFormatting>
  <conditionalFormatting sqref="C49">
    <cfRule type="notContainsBlanks" dxfId="0" priority="41">
      <formula>LEN(TRIM(C49))&gt;0</formula>
    </cfRule>
  </conditionalFormatting>
  <conditionalFormatting sqref="C5">
    <cfRule type="notContainsBlanks" dxfId="0" priority="42">
      <formula>LEN(TRIM(C5))&gt;0</formula>
    </cfRule>
  </conditionalFormatting>
  <conditionalFormatting sqref="C50">
    <cfRule type="notContainsBlanks" dxfId="0" priority="43">
      <formula>LEN(TRIM(C50))&gt;0</formula>
    </cfRule>
  </conditionalFormatting>
  <conditionalFormatting sqref="C6">
    <cfRule type="notContainsBlanks" dxfId="0" priority="44">
      <formula>LEN(TRIM(C6))&gt;0</formula>
    </cfRule>
  </conditionalFormatting>
  <conditionalFormatting sqref="C7">
    <cfRule type="notContainsBlanks" dxfId="0" priority="45">
      <formula>LEN(TRIM(C7))&gt;0</formula>
    </cfRule>
  </conditionalFormatting>
  <conditionalFormatting sqref="C8">
    <cfRule type="notContainsBlanks" dxfId="0" priority="46">
      <formula>LEN(TRIM(C8))&gt;0</formula>
    </cfRule>
  </conditionalFormatting>
  <conditionalFormatting sqref="C9">
    <cfRule type="notContainsBlanks" dxfId="0" priority="47">
      <formula>LEN(TRIM(C9))&gt;0</formula>
    </cfRule>
  </conditionalFormatting>
  <conditionalFormatting sqref="D10">
    <cfRule type="notContainsBlanks" dxfId="0" priority="48">
      <formula>LEN(TRIM(D10))&gt;0</formula>
    </cfRule>
  </conditionalFormatting>
  <conditionalFormatting sqref="D11">
    <cfRule type="notContainsBlanks" dxfId="0" priority="49">
      <formula>LEN(TRIM(D11))&gt;0</formula>
    </cfRule>
  </conditionalFormatting>
  <conditionalFormatting sqref="D12">
    <cfRule type="notContainsBlanks" dxfId="0" priority="50">
      <formula>LEN(TRIM(D12))&gt;0</formula>
    </cfRule>
  </conditionalFormatting>
  <conditionalFormatting sqref="D13">
    <cfRule type="notContainsBlanks" dxfId="0" priority="51">
      <formula>LEN(TRIM(D13))&gt;0</formula>
    </cfRule>
  </conditionalFormatting>
  <conditionalFormatting sqref="D14">
    <cfRule type="notContainsBlanks" dxfId="0" priority="52">
      <formula>LEN(TRIM(D14))&gt;0</formula>
    </cfRule>
  </conditionalFormatting>
  <conditionalFormatting sqref="D15">
    <cfRule type="notContainsBlanks" dxfId="0" priority="53">
      <formula>LEN(TRIM(D15))&gt;0</formula>
    </cfRule>
  </conditionalFormatting>
  <conditionalFormatting sqref="D16">
    <cfRule type="notContainsBlanks" dxfId="0" priority="54">
      <formula>LEN(TRIM(D16))&gt;0</formula>
    </cfRule>
  </conditionalFormatting>
  <conditionalFormatting sqref="D17">
    <cfRule type="notContainsBlanks" dxfId="0" priority="55">
      <formula>LEN(TRIM(D17))&gt;0</formula>
    </cfRule>
  </conditionalFormatting>
  <conditionalFormatting sqref="D18">
    <cfRule type="notContainsBlanks" dxfId="0" priority="56">
      <formula>LEN(TRIM(D18))&gt;0</formula>
    </cfRule>
  </conditionalFormatting>
  <conditionalFormatting sqref="D19">
    <cfRule type="notContainsBlanks" dxfId="0" priority="57">
      <formula>LEN(TRIM(D19))&gt;0</formula>
    </cfRule>
  </conditionalFormatting>
  <conditionalFormatting sqref="D20">
    <cfRule type="notContainsBlanks" dxfId="0" priority="58">
      <formula>LEN(TRIM(D20))&gt;0</formula>
    </cfRule>
  </conditionalFormatting>
  <conditionalFormatting sqref="D21">
    <cfRule type="notContainsBlanks" dxfId="0" priority="59">
      <formula>LEN(TRIM(D21))&gt;0</formula>
    </cfRule>
  </conditionalFormatting>
  <conditionalFormatting sqref="D22">
    <cfRule type="notContainsBlanks" dxfId="0" priority="60">
      <formula>LEN(TRIM(D22))&gt;0</formula>
    </cfRule>
  </conditionalFormatting>
  <conditionalFormatting sqref="D23">
    <cfRule type="notContainsBlanks" dxfId="0" priority="61">
      <formula>LEN(TRIM(D23))&gt;0</formula>
    </cfRule>
  </conditionalFormatting>
  <conditionalFormatting sqref="D24">
    <cfRule type="notContainsBlanks" dxfId="0" priority="62">
      <formula>LEN(TRIM(D24))&gt;0</formula>
    </cfRule>
  </conditionalFormatting>
  <conditionalFormatting sqref="D25">
    <cfRule type="notContainsBlanks" dxfId="0" priority="63">
      <formula>LEN(TRIM(D25))&gt;0</formula>
    </cfRule>
  </conditionalFormatting>
  <conditionalFormatting sqref="D26">
    <cfRule type="notContainsBlanks" dxfId="0" priority="64">
      <formula>LEN(TRIM(D26))&gt;0</formula>
    </cfRule>
  </conditionalFormatting>
  <conditionalFormatting sqref="D27">
    <cfRule type="notContainsBlanks" dxfId="0" priority="65">
      <formula>LEN(TRIM(D27))&gt;0</formula>
    </cfRule>
  </conditionalFormatting>
  <conditionalFormatting sqref="D28">
    <cfRule type="notContainsBlanks" dxfId="0" priority="66">
      <formula>LEN(TRIM(D28))&gt;0</formula>
    </cfRule>
  </conditionalFormatting>
  <conditionalFormatting sqref="D29">
    <cfRule type="notContainsBlanks" dxfId="0" priority="67">
      <formula>LEN(TRIM(D29))&gt;0</formula>
    </cfRule>
  </conditionalFormatting>
  <conditionalFormatting sqref="D30">
    <cfRule type="notContainsBlanks" dxfId="0" priority="68">
      <formula>LEN(TRIM(D30))&gt;0</formula>
    </cfRule>
  </conditionalFormatting>
  <conditionalFormatting sqref="D31">
    <cfRule type="notContainsBlanks" dxfId="0" priority="69">
      <formula>LEN(TRIM(D31))&gt;0</formula>
    </cfRule>
  </conditionalFormatting>
  <conditionalFormatting sqref="D32">
    <cfRule type="notContainsBlanks" dxfId="0" priority="70">
      <formula>LEN(TRIM(D32))&gt;0</formula>
    </cfRule>
  </conditionalFormatting>
  <conditionalFormatting sqref="D33">
    <cfRule type="notContainsBlanks" dxfId="0" priority="71">
      <formula>LEN(TRIM(D33))&gt;0</formula>
    </cfRule>
  </conditionalFormatting>
  <conditionalFormatting sqref="D34">
    <cfRule type="notContainsBlanks" dxfId="0" priority="72">
      <formula>LEN(TRIM(D34))&gt;0</formula>
    </cfRule>
  </conditionalFormatting>
  <conditionalFormatting sqref="D35">
    <cfRule type="notContainsBlanks" dxfId="0" priority="73">
      <formula>LEN(TRIM(D35))&gt;0</formula>
    </cfRule>
  </conditionalFormatting>
  <conditionalFormatting sqref="D36">
    <cfRule type="notContainsBlanks" dxfId="0" priority="74">
      <formula>LEN(TRIM(D36))&gt;0</formula>
    </cfRule>
  </conditionalFormatting>
  <conditionalFormatting sqref="D37">
    <cfRule type="notContainsBlanks" dxfId="0" priority="75">
      <formula>LEN(TRIM(D37))&gt;0</formula>
    </cfRule>
  </conditionalFormatting>
  <conditionalFormatting sqref="D38">
    <cfRule type="notContainsBlanks" dxfId="0" priority="76">
      <formula>LEN(TRIM(D38))&gt;0</formula>
    </cfRule>
  </conditionalFormatting>
  <conditionalFormatting sqref="D39">
    <cfRule type="notContainsBlanks" dxfId="0" priority="77">
      <formula>LEN(TRIM(D39))&gt;0</formula>
    </cfRule>
  </conditionalFormatting>
  <conditionalFormatting sqref="D4">
    <cfRule type="notContainsBlanks" dxfId="0" priority="78">
      <formula>LEN(TRIM(D4))&gt;0</formula>
    </cfRule>
  </conditionalFormatting>
  <conditionalFormatting sqref="D40">
    <cfRule type="notContainsBlanks" dxfId="0" priority="79">
      <formula>LEN(TRIM(D40))&gt;0</formula>
    </cfRule>
  </conditionalFormatting>
  <conditionalFormatting sqref="D41">
    <cfRule type="notContainsBlanks" dxfId="0" priority="80">
      <formula>LEN(TRIM(D41))&gt;0</formula>
    </cfRule>
  </conditionalFormatting>
  <conditionalFormatting sqref="D42">
    <cfRule type="notContainsBlanks" dxfId="0" priority="81">
      <formula>LEN(TRIM(D42))&gt;0</formula>
    </cfRule>
  </conditionalFormatting>
  <conditionalFormatting sqref="D43">
    <cfRule type="notContainsBlanks" dxfId="0" priority="82">
      <formula>LEN(TRIM(D43))&gt;0</formula>
    </cfRule>
  </conditionalFormatting>
  <conditionalFormatting sqref="D44">
    <cfRule type="notContainsBlanks" dxfId="0" priority="83">
      <formula>LEN(TRIM(D44))&gt;0</formula>
    </cfRule>
  </conditionalFormatting>
  <conditionalFormatting sqref="D45">
    <cfRule type="notContainsBlanks" dxfId="0" priority="84">
      <formula>LEN(TRIM(D45))&gt;0</formula>
    </cfRule>
  </conditionalFormatting>
  <conditionalFormatting sqref="D46">
    <cfRule type="notContainsBlanks" dxfId="0" priority="85">
      <formula>LEN(TRIM(D46))&gt;0</formula>
    </cfRule>
  </conditionalFormatting>
  <conditionalFormatting sqref="D47">
    <cfRule type="notContainsBlanks" dxfId="0" priority="86">
      <formula>LEN(TRIM(D47))&gt;0</formula>
    </cfRule>
  </conditionalFormatting>
  <conditionalFormatting sqref="D48">
    <cfRule type="notContainsBlanks" dxfId="0" priority="87">
      <formula>LEN(TRIM(D48))&gt;0</formula>
    </cfRule>
  </conditionalFormatting>
  <conditionalFormatting sqref="D49">
    <cfRule type="notContainsBlanks" dxfId="0" priority="88">
      <formula>LEN(TRIM(D49))&gt;0</formula>
    </cfRule>
  </conditionalFormatting>
  <conditionalFormatting sqref="D5">
    <cfRule type="notContainsBlanks" dxfId="0" priority="89">
      <formula>LEN(TRIM(D5))&gt;0</formula>
    </cfRule>
  </conditionalFormatting>
  <conditionalFormatting sqref="D50">
    <cfRule type="notContainsBlanks" dxfId="0" priority="90">
      <formula>LEN(TRIM(D50))&gt;0</formula>
    </cfRule>
  </conditionalFormatting>
  <conditionalFormatting sqref="D6">
    <cfRule type="notContainsBlanks" dxfId="0" priority="91">
      <formula>LEN(TRIM(D6))&gt;0</formula>
    </cfRule>
  </conditionalFormatting>
  <conditionalFormatting sqref="D7">
    <cfRule type="notContainsBlanks" dxfId="0" priority="92">
      <formula>LEN(TRIM(D7))&gt;0</formula>
    </cfRule>
  </conditionalFormatting>
  <conditionalFormatting sqref="D8">
    <cfRule type="notContainsBlanks" dxfId="0" priority="93">
      <formula>LEN(TRIM(D8))&gt;0</formula>
    </cfRule>
  </conditionalFormatting>
  <conditionalFormatting sqref="D9">
    <cfRule type="notContainsBlanks" dxfId="0" priority="94">
      <formula>LEN(TRIM(D9))&gt;0</formula>
    </cfRule>
  </conditionalFormatting>
  <conditionalFormatting sqref="E10">
    <cfRule type="notContainsBlanks" dxfId="0" priority="95">
      <formula>LEN(TRIM(E10))&gt;0</formula>
    </cfRule>
  </conditionalFormatting>
  <conditionalFormatting sqref="E11">
    <cfRule type="notContainsBlanks" dxfId="0" priority="96">
      <formula>LEN(TRIM(E11))&gt;0</formula>
    </cfRule>
  </conditionalFormatting>
  <conditionalFormatting sqref="E12">
    <cfRule type="notContainsBlanks" dxfId="0" priority="97">
      <formula>LEN(TRIM(E12))&gt;0</formula>
    </cfRule>
  </conditionalFormatting>
  <conditionalFormatting sqref="E13">
    <cfRule type="notContainsBlanks" dxfId="0" priority="98">
      <formula>LEN(TRIM(E13))&gt;0</formula>
    </cfRule>
  </conditionalFormatting>
  <conditionalFormatting sqref="E14">
    <cfRule type="notContainsBlanks" dxfId="0" priority="99">
      <formula>LEN(TRIM(E14))&gt;0</formula>
    </cfRule>
  </conditionalFormatting>
  <conditionalFormatting sqref="E15">
    <cfRule type="notContainsBlanks" dxfId="0" priority="100">
      <formula>LEN(TRIM(E15))&gt;0</formula>
    </cfRule>
  </conditionalFormatting>
  <conditionalFormatting sqref="E16">
    <cfRule type="notContainsBlanks" dxfId="0" priority="101">
      <formula>LEN(TRIM(E16))&gt;0</formula>
    </cfRule>
  </conditionalFormatting>
  <conditionalFormatting sqref="E17">
    <cfRule type="notContainsBlanks" dxfId="0" priority="102">
      <formula>LEN(TRIM(E17))&gt;0</formula>
    </cfRule>
  </conditionalFormatting>
  <conditionalFormatting sqref="E18">
    <cfRule type="notContainsBlanks" dxfId="0" priority="103">
      <formula>LEN(TRIM(E18))&gt;0</formula>
    </cfRule>
  </conditionalFormatting>
  <conditionalFormatting sqref="E19">
    <cfRule type="notContainsBlanks" dxfId="0" priority="104">
      <formula>LEN(TRIM(E19))&gt;0</formula>
    </cfRule>
  </conditionalFormatting>
  <conditionalFormatting sqref="E20">
    <cfRule type="notContainsBlanks" dxfId="0" priority="105">
      <formula>LEN(TRIM(E20))&gt;0</formula>
    </cfRule>
  </conditionalFormatting>
  <conditionalFormatting sqref="E21">
    <cfRule type="notContainsBlanks" dxfId="0" priority="106">
      <formula>LEN(TRIM(E21))&gt;0</formula>
    </cfRule>
  </conditionalFormatting>
  <conditionalFormatting sqref="E22">
    <cfRule type="notContainsBlanks" dxfId="0" priority="107">
      <formula>LEN(TRIM(E22))&gt;0</formula>
    </cfRule>
  </conditionalFormatting>
  <conditionalFormatting sqref="E23">
    <cfRule type="notContainsBlanks" dxfId="0" priority="108">
      <formula>LEN(TRIM(E23))&gt;0</formula>
    </cfRule>
  </conditionalFormatting>
  <conditionalFormatting sqref="E24">
    <cfRule type="notContainsBlanks" dxfId="0" priority="109">
      <formula>LEN(TRIM(E24))&gt;0</formula>
    </cfRule>
  </conditionalFormatting>
  <conditionalFormatting sqref="E25">
    <cfRule type="notContainsBlanks" dxfId="0" priority="110">
      <formula>LEN(TRIM(E25))&gt;0</formula>
    </cfRule>
  </conditionalFormatting>
  <conditionalFormatting sqref="E26">
    <cfRule type="notContainsBlanks" dxfId="0" priority="111">
      <formula>LEN(TRIM(E26))&gt;0</formula>
    </cfRule>
  </conditionalFormatting>
  <conditionalFormatting sqref="E27">
    <cfRule type="notContainsBlanks" dxfId="0" priority="112">
      <formula>LEN(TRIM(E27))&gt;0</formula>
    </cfRule>
  </conditionalFormatting>
  <conditionalFormatting sqref="E28">
    <cfRule type="notContainsBlanks" dxfId="0" priority="113">
      <formula>LEN(TRIM(E28))&gt;0</formula>
    </cfRule>
  </conditionalFormatting>
  <conditionalFormatting sqref="E29">
    <cfRule type="notContainsBlanks" dxfId="0" priority="114">
      <formula>LEN(TRIM(E29))&gt;0</formula>
    </cfRule>
  </conditionalFormatting>
  <conditionalFormatting sqref="E30">
    <cfRule type="notContainsBlanks" dxfId="0" priority="115">
      <formula>LEN(TRIM(E30))&gt;0</formula>
    </cfRule>
  </conditionalFormatting>
  <conditionalFormatting sqref="E31">
    <cfRule type="notContainsBlanks" dxfId="0" priority="116">
      <formula>LEN(TRIM(E31))&gt;0</formula>
    </cfRule>
  </conditionalFormatting>
  <conditionalFormatting sqref="E32">
    <cfRule type="notContainsBlanks" dxfId="0" priority="117">
      <formula>LEN(TRIM(E32))&gt;0</formula>
    </cfRule>
  </conditionalFormatting>
  <conditionalFormatting sqref="E33">
    <cfRule type="notContainsBlanks" dxfId="0" priority="118">
      <formula>LEN(TRIM(E33))&gt;0</formula>
    </cfRule>
  </conditionalFormatting>
  <conditionalFormatting sqref="E34">
    <cfRule type="notContainsBlanks" dxfId="0" priority="119">
      <formula>LEN(TRIM(E34))&gt;0</formula>
    </cfRule>
  </conditionalFormatting>
  <conditionalFormatting sqref="E35">
    <cfRule type="notContainsBlanks" dxfId="0" priority="120">
      <formula>LEN(TRIM(E35))&gt;0</formula>
    </cfRule>
  </conditionalFormatting>
  <conditionalFormatting sqref="E36">
    <cfRule type="notContainsBlanks" dxfId="0" priority="121">
      <formula>LEN(TRIM(E36))&gt;0</formula>
    </cfRule>
  </conditionalFormatting>
  <conditionalFormatting sqref="E37">
    <cfRule type="notContainsBlanks" dxfId="0" priority="122">
      <formula>LEN(TRIM(E37))&gt;0</formula>
    </cfRule>
  </conditionalFormatting>
  <conditionalFormatting sqref="E38">
    <cfRule type="notContainsBlanks" dxfId="0" priority="123">
      <formula>LEN(TRIM(E38))&gt;0</formula>
    </cfRule>
  </conditionalFormatting>
  <conditionalFormatting sqref="E39">
    <cfRule type="notContainsBlanks" dxfId="0" priority="124">
      <formula>LEN(TRIM(E39))&gt;0</formula>
    </cfRule>
  </conditionalFormatting>
  <conditionalFormatting sqref="E4">
    <cfRule type="notContainsBlanks" dxfId="0" priority="125">
      <formula>LEN(TRIM(E4))&gt;0</formula>
    </cfRule>
  </conditionalFormatting>
  <conditionalFormatting sqref="E40">
    <cfRule type="notContainsBlanks" dxfId="0" priority="126">
      <formula>LEN(TRIM(E40))&gt;0</formula>
    </cfRule>
  </conditionalFormatting>
  <conditionalFormatting sqref="E41">
    <cfRule type="notContainsBlanks" dxfId="0" priority="127">
      <formula>LEN(TRIM(E41))&gt;0</formula>
    </cfRule>
  </conditionalFormatting>
  <conditionalFormatting sqref="E42">
    <cfRule type="notContainsBlanks" dxfId="0" priority="128">
      <formula>LEN(TRIM(E42))&gt;0</formula>
    </cfRule>
  </conditionalFormatting>
  <conditionalFormatting sqref="E43">
    <cfRule type="notContainsBlanks" dxfId="0" priority="129">
      <formula>LEN(TRIM(E43))&gt;0</formula>
    </cfRule>
  </conditionalFormatting>
  <conditionalFormatting sqref="E44">
    <cfRule type="notContainsBlanks" dxfId="0" priority="130">
      <formula>LEN(TRIM(E44))&gt;0</formula>
    </cfRule>
  </conditionalFormatting>
  <conditionalFormatting sqref="E45">
    <cfRule type="notContainsBlanks" dxfId="0" priority="131">
      <formula>LEN(TRIM(E45))&gt;0</formula>
    </cfRule>
  </conditionalFormatting>
  <conditionalFormatting sqref="E46">
    <cfRule type="notContainsBlanks" dxfId="0" priority="132">
      <formula>LEN(TRIM(E46))&gt;0</formula>
    </cfRule>
  </conditionalFormatting>
  <conditionalFormatting sqref="E47">
    <cfRule type="notContainsBlanks" dxfId="0" priority="133">
      <formula>LEN(TRIM(E47))&gt;0</formula>
    </cfRule>
  </conditionalFormatting>
  <conditionalFormatting sqref="E48">
    <cfRule type="notContainsBlanks" dxfId="0" priority="134">
      <formula>LEN(TRIM(E48))&gt;0</formula>
    </cfRule>
  </conditionalFormatting>
  <conditionalFormatting sqref="E49">
    <cfRule type="notContainsBlanks" dxfId="0" priority="135">
      <formula>LEN(TRIM(E49))&gt;0</formula>
    </cfRule>
  </conditionalFormatting>
  <conditionalFormatting sqref="E5">
    <cfRule type="notContainsBlanks" dxfId="0" priority="136">
      <formula>LEN(TRIM(E5))&gt;0</formula>
    </cfRule>
  </conditionalFormatting>
  <conditionalFormatting sqref="E50">
    <cfRule type="notContainsBlanks" dxfId="0" priority="137">
      <formula>LEN(TRIM(E50))&gt;0</formula>
    </cfRule>
  </conditionalFormatting>
  <conditionalFormatting sqref="E6">
    <cfRule type="notContainsBlanks" dxfId="0" priority="138">
      <formula>LEN(TRIM(E6))&gt;0</formula>
    </cfRule>
  </conditionalFormatting>
  <conditionalFormatting sqref="E7">
    <cfRule type="notContainsBlanks" dxfId="0" priority="139">
      <formula>LEN(TRIM(E7))&gt;0</formula>
    </cfRule>
  </conditionalFormatting>
  <conditionalFormatting sqref="E8">
    <cfRule type="notContainsBlanks" dxfId="0" priority="140">
      <formula>LEN(TRIM(E8))&gt;0</formula>
    </cfRule>
  </conditionalFormatting>
  <conditionalFormatting sqref="E9">
    <cfRule type="notContainsBlanks" dxfId="0" priority="141">
      <formula>LEN(TRIM(E9))&gt;0</formula>
    </cfRule>
  </conditionalFormatting>
  <conditionalFormatting sqref="F10">
    <cfRule type="notContainsBlanks" dxfId="0" priority="142">
      <formula>LEN(TRIM(F10))&gt;0</formula>
    </cfRule>
  </conditionalFormatting>
  <conditionalFormatting sqref="F11">
    <cfRule type="notContainsBlanks" dxfId="0" priority="143">
      <formula>LEN(TRIM(F11))&gt;0</formula>
    </cfRule>
  </conditionalFormatting>
  <conditionalFormatting sqref="F12">
    <cfRule type="notContainsBlanks" dxfId="0" priority="144">
      <formula>LEN(TRIM(F12))&gt;0</formula>
    </cfRule>
  </conditionalFormatting>
  <conditionalFormatting sqref="F13">
    <cfRule type="notContainsBlanks" dxfId="0" priority="145">
      <formula>LEN(TRIM(F13))&gt;0</formula>
    </cfRule>
  </conditionalFormatting>
  <conditionalFormatting sqref="F14">
    <cfRule type="notContainsBlanks" dxfId="0" priority="146">
      <formula>LEN(TRIM(F14))&gt;0</formula>
    </cfRule>
  </conditionalFormatting>
  <conditionalFormatting sqref="F15">
    <cfRule type="notContainsBlanks" dxfId="0" priority="147">
      <formula>LEN(TRIM(F15))&gt;0</formula>
    </cfRule>
  </conditionalFormatting>
  <conditionalFormatting sqref="F16">
    <cfRule type="notContainsBlanks" dxfId="0" priority="148">
      <formula>LEN(TRIM(F16))&gt;0</formula>
    </cfRule>
  </conditionalFormatting>
  <conditionalFormatting sqref="F17">
    <cfRule type="notContainsBlanks" dxfId="0" priority="149">
      <formula>LEN(TRIM(F17))&gt;0</formula>
    </cfRule>
  </conditionalFormatting>
  <conditionalFormatting sqref="F18">
    <cfRule type="notContainsBlanks" dxfId="0" priority="150">
      <formula>LEN(TRIM(F18))&gt;0</formula>
    </cfRule>
  </conditionalFormatting>
  <conditionalFormatting sqref="F19">
    <cfRule type="notContainsBlanks" dxfId="0" priority="151">
      <formula>LEN(TRIM(F19))&gt;0</formula>
    </cfRule>
  </conditionalFormatting>
  <conditionalFormatting sqref="F20">
    <cfRule type="notContainsBlanks" dxfId="0" priority="152">
      <formula>LEN(TRIM(F20))&gt;0</formula>
    </cfRule>
  </conditionalFormatting>
  <conditionalFormatting sqref="F21">
    <cfRule type="notContainsBlanks" dxfId="0" priority="153">
      <formula>LEN(TRIM(F21))&gt;0</formula>
    </cfRule>
  </conditionalFormatting>
  <conditionalFormatting sqref="F22">
    <cfRule type="notContainsBlanks" dxfId="0" priority="154">
      <formula>LEN(TRIM(F22))&gt;0</formula>
    </cfRule>
  </conditionalFormatting>
  <conditionalFormatting sqref="F23">
    <cfRule type="notContainsBlanks" dxfId="0" priority="155">
      <formula>LEN(TRIM(F23))&gt;0</formula>
    </cfRule>
  </conditionalFormatting>
  <conditionalFormatting sqref="F24">
    <cfRule type="notContainsBlanks" dxfId="0" priority="156">
      <formula>LEN(TRIM(F24))&gt;0</formula>
    </cfRule>
  </conditionalFormatting>
  <conditionalFormatting sqref="F25">
    <cfRule type="notContainsBlanks" dxfId="0" priority="157">
      <formula>LEN(TRIM(F25))&gt;0</formula>
    </cfRule>
  </conditionalFormatting>
  <conditionalFormatting sqref="F26">
    <cfRule type="notContainsBlanks" dxfId="0" priority="158">
      <formula>LEN(TRIM(F26))&gt;0</formula>
    </cfRule>
  </conditionalFormatting>
  <conditionalFormatting sqref="F27">
    <cfRule type="notContainsBlanks" dxfId="0" priority="159">
      <formula>LEN(TRIM(F27))&gt;0</formula>
    </cfRule>
  </conditionalFormatting>
  <conditionalFormatting sqref="F28">
    <cfRule type="notContainsBlanks" dxfId="0" priority="160">
      <formula>LEN(TRIM(F28))&gt;0</formula>
    </cfRule>
  </conditionalFormatting>
  <conditionalFormatting sqref="F29">
    <cfRule type="notContainsBlanks" dxfId="0" priority="161">
      <formula>LEN(TRIM(F29))&gt;0</formula>
    </cfRule>
  </conditionalFormatting>
  <conditionalFormatting sqref="F30">
    <cfRule type="notContainsBlanks" dxfId="0" priority="162">
      <formula>LEN(TRIM(F30))&gt;0</formula>
    </cfRule>
  </conditionalFormatting>
  <conditionalFormatting sqref="F31">
    <cfRule type="notContainsBlanks" dxfId="0" priority="163">
      <formula>LEN(TRIM(F31))&gt;0</formula>
    </cfRule>
  </conditionalFormatting>
  <conditionalFormatting sqref="F32">
    <cfRule type="notContainsBlanks" dxfId="0" priority="164">
      <formula>LEN(TRIM(F32))&gt;0</formula>
    </cfRule>
  </conditionalFormatting>
  <conditionalFormatting sqref="F33">
    <cfRule type="notContainsBlanks" dxfId="0" priority="165">
      <formula>LEN(TRIM(F33))&gt;0</formula>
    </cfRule>
  </conditionalFormatting>
  <conditionalFormatting sqref="F34">
    <cfRule type="notContainsBlanks" dxfId="0" priority="166">
      <formula>LEN(TRIM(F34))&gt;0</formula>
    </cfRule>
  </conditionalFormatting>
  <conditionalFormatting sqref="F35">
    <cfRule type="notContainsBlanks" dxfId="0" priority="167">
      <formula>LEN(TRIM(F35))&gt;0</formula>
    </cfRule>
  </conditionalFormatting>
  <conditionalFormatting sqref="F36">
    <cfRule type="notContainsBlanks" dxfId="0" priority="168">
      <formula>LEN(TRIM(F36))&gt;0</formula>
    </cfRule>
  </conditionalFormatting>
  <conditionalFormatting sqref="F37">
    <cfRule type="notContainsBlanks" dxfId="0" priority="169">
      <formula>LEN(TRIM(F37))&gt;0</formula>
    </cfRule>
  </conditionalFormatting>
  <conditionalFormatting sqref="F38">
    <cfRule type="notContainsBlanks" dxfId="0" priority="170">
      <formula>LEN(TRIM(F38))&gt;0</formula>
    </cfRule>
  </conditionalFormatting>
  <conditionalFormatting sqref="F39">
    <cfRule type="notContainsBlanks" dxfId="0" priority="171">
      <formula>LEN(TRIM(F39))&gt;0</formula>
    </cfRule>
  </conditionalFormatting>
  <conditionalFormatting sqref="F4">
    <cfRule type="notContainsBlanks" dxfId="0" priority="172">
      <formula>LEN(TRIM(F4))&gt;0</formula>
    </cfRule>
  </conditionalFormatting>
  <conditionalFormatting sqref="F40">
    <cfRule type="notContainsBlanks" dxfId="0" priority="173">
      <formula>LEN(TRIM(F40))&gt;0</formula>
    </cfRule>
  </conditionalFormatting>
  <conditionalFormatting sqref="F41">
    <cfRule type="notContainsBlanks" dxfId="0" priority="174">
      <formula>LEN(TRIM(F41))&gt;0</formula>
    </cfRule>
  </conditionalFormatting>
  <conditionalFormatting sqref="F42">
    <cfRule type="notContainsBlanks" dxfId="0" priority="175">
      <formula>LEN(TRIM(F42))&gt;0</formula>
    </cfRule>
  </conditionalFormatting>
  <conditionalFormatting sqref="F43">
    <cfRule type="notContainsBlanks" dxfId="0" priority="176">
      <formula>LEN(TRIM(F43))&gt;0</formula>
    </cfRule>
  </conditionalFormatting>
  <conditionalFormatting sqref="F44">
    <cfRule type="notContainsBlanks" dxfId="0" priority="177">
      <formula>LEN(TRIM(F44))&gt;0</formula>
    </cfRule>
  </conditionalFormatting>
  <conditionalFormatting sqref="F45">
    <cfRule type="notContainsBlanks" dxfId="0" priority="178">
      <formula>LEN(TRIM(F45))&gt;0</formula>
    </cfRule>
  </conditionalFormatting>
  <conditionalFormatting sqref="F46">
    <cfRule type="notContainsBlanks" dxfId="0" priority="179">
      <formula>LEN(TRIM(F46))&gt;0</formula>
    </cfRule>
  </conditionalFormatting>
  <conditionalFormatting sqref="F47">
    <cfRule type="notContainsBlanks" dxfId="0" priority="180">
      <formula>LEN(TRIM(F47))&gt;0</formula>
    </cfRule>
  </conditionalFormatting>
  <conditionalFormatting sqref="F48">
    <cfRule type="notContainsBlanks" dxfId="0" priority="181">
      <formula>LEN(TRIM(F48))&gt;0</formula>
    </cfRule>
  </conditionalFormatting>
  <conditionalFormatting sqref="F49">
    <cfRule type="notContainsBlanks" dxfId="0" priority="182">
      <formula>LEN(TRIM(F49))&gt;0</formula>
    </cfRule>
  </conditionalFormatting>
  <conditionalFormatting sqref="F5">
    <cfRule type="notContainsBlanks" dxfId="0" priority="183">
      <formula>LEN(TRIM(F5))&gt;0</formula>
    </cfRule>
  </conditionalFormatting>
  <conditionalFormatting sqref="F50">
    <cfRule type="notContainsBlanks" dxfId="0" priority="184">
      <formula>LEN(TRIM(F50))&gt;0</formula>
    </cfRule>
  </conditionalFormatting>
  <conditionalFormatting sqref="F6">
    <cfRule type="notContainsBlanks" dxfId="0" priority="185">
      <formula>LEN(TRIM(F6))&gt;0</formula>
    </cfRule>
  </conditionalFormatting>
  <conditionalFormatting sqref="F7">
    <cfRule type="notContainsBlanks" dxfId="0" priority="186">
      <formula>LEN(TRIM(F7))&gt;0</formula>
    </cfRule>
  </conditionalFormatting>
  <conditionalFormatting sqref="F8">
    <cfRule type="notContainsBlanks" dxfId="0" priority="187">
      <formula>LEN(TRIM(F8))&gt;0</formula>
    </cfRule>
  </conditionalFormatting>
  <conditionalFormatting sqref="F9">
    <cfRule type="notContainsBlanks" dxfId="0" priority="188">
      <formula>LEN(TRIM(F9))&gt;0</formula>
    </cfRule>
  </conditionalFormatting>
  <conditionalFormatting sqref="G10">
    <cfRule type="notContainsBlanks" dxfId="0" priority="189">
      <formula>LEN(TRIM(G10))&gt;0</formula>
    </cfRule>
  </conditionalFormatting>
  <conditionalFormatting sqref="G11">
    <cfRule type="notContainsBlanks" dxfId="0" priority="190">
      <formula>LEN(TRIM(G11))&gt;0</formula>
    </cfRule>
  </conditionalFormatting>
  <conditionalFormatting sqref="G12">
    <cfRule type="notContainsBlanks" dxfId="0" priority="191">
      <formula>LEN(TRIM(G12))&gt;0</formula>
    </cfRule>
  </conditionalFormatting>
  <conditionalFormatting sqref="G13">
    <cfRule type="notContainsBlanks" dxfId="0" priority="192">
      <formula>LEN(TRIM(G13))&gt;0</formula>
    </cfRule>
  </conditionalFormatting>
  <conditionalFormatting sqref="G14">
    <cfRule type="notContainsBlanks" dxfId="0" priority="193">
      <formula>LEN(TRIM(G14))&gt;0</formula>
    </cfRule>
  </conditionalFormatting>
  <conditionalFormatting sqref="G15">
    <cfRule type="notContainsBlanks" dxfId="0" priority="194">
      <formula>LEN(TRIM(G15))&gt;0</formula>
    </cfRule>
  </conditionalFormatting>
  <conditionalFormatting sqref="G16">
    <cfRule type="notContainsBlanks" dxfId="0" priority="195">
      <formula>LEN(TRIM(G16))&gt;0</formula>
    </cfRule>
  </conditionalFormatting>
  <conditionalFormatting sqref="G17">
    <cfRule type="notContainsBlanks" dxfId="0" priority="196">
      <formula>LEN(TRIM(G17))&gt;0</formula>
    </cfRule>
  </conditionalFormatting>
  <conditionalFormatting sqref="G18">
    <cfRule type="notContainsBlanks" dxfId="0" priority="197">
      <formula>LEN(TRIM(G18))&gt;0</formula>
    </cfRule>
  </conditionalFormatting>
  <conditionalFormatting sqref="G19">
    <cfRule type="notContainsBlanks" dxfId="0" priority="198">
      <formula>LEN(TRIM(G19))&gt;0</formula>
    </cfRule>
  </conditionalFormatting>
  <conditionalFormatting sqref="G20">
    <cfRule type="notContainsBlanks" dxfId="0" priority="199">
      <formula>LEN(TRIM(G20))&gt;0</formula>
    </cfRule>
  </conditionalFormatting>
  <conditionalFormatting sqref="G21">
    <cfRule type="notContainsBlanks" dxfId="0" priority="200">
      <formula>LEN(TRIM(G21))&gt;0</formula>
    </cfRule>
  </conditionalFormatting>
  <conditionalFormatting sqref="G22">
    <cfRule type="notContainsBlanks" dxfId="0" priority="201">
      <formula>LEN(TRIM(G22))&gt;0</formula>
    </cfRule>
  </conditionalFormatting>
  <conditionalFormatting sqref="G23">
    <cfRule type="notContainsBlanks" dxfId="0" priority="202">
      <formula>LEN(TRIM(G23))&gt;0</formula>
    </cfRule>
  </conditionalFormatting>
  <conditionalFormatting sqref="G24">
    <cfRule type="notContainsBlanks" dxfId="0" priority="203">
      <formula>LEN(TRIM(G24))&gt;0</formula>
    </cfRule>
  </conditionalFormatting>
  <conditionalFormatting sqref="G25">
    <cfRule type="notContainsBlanks" dxfId="0" priority="204">
      <formula>LEN(TRIM(G25))&gt;0</formula>
    </cfRule>
  </conditionalFormatting>
  <conditionalFormatting sqref="G26">
    <cfRule type="notContainsBlanks" dxfId="0" priority="205">
      <formula>LEN(TRIM(G26))&gt;0</formula>
    </cfRule>
  </conditionalFormatting>
  <conditionalFormatting sqref="G27">
    <cfRule type="notContainsBlanks" dxfId="0" priority="206">
      <formula>LEN(TRIM(G27))&gt;0</formula>
    </cfRule>
  </conditionalFormatting>
  <conditionalFormatting sqref="G28">
    <cfRule type="notContainsBlanks" dxfId="0" priority="207">
      <formula>LEN(TRIM(G28))&gt;0</formula>
    </cfRule>
  </conditionalFormatting>
  <conditionalFormatting sqref="G29">
    <cfRule type="notContainsBlanks" dxfId="0" priority="208">
      <formula>LEN(TRIM(G29))&gt;0</formula>
    </cfRule>
  </conditionalFormatting>
  <conditionalFormatting sqref="G30">
    <cfRule type="notContainsBlanks" dxfId="0" priority="209">
      <formula>LEN(TRIM(G30))&gt;0</formula>
    </cfRule>
  </conditionalFormatting>
  <conditionalFormatting sqref="G31">
    <cfRule type="notContainsBlanks" dxfId="0" priority="210">
      <formula>LEN(TRIM(G31))&gt;0</formula>
    </cfRule>
  </conditionalFormatting>
  <conditionalFormatting sqref="G32">
    <cfRule type="notContainsBlanks" dxfId="0" priority="211">
      <formula>LEN(TRIM(G32))&gt;0</formula>
    </cfRule>
  </conditionalFormatting>
  <conditionalFormatting sqref="G33">
    <cfRule type="notContainsBlanks" dxfId="0" priority="212">
      <formula>LEN(TRIM(G33))&gt;0</formula>
    </cfRule>
  </conditionalFormatting>
  <conditionalFormatting sqref="G34">
    <cfRule type="notContainsBlanks" dxfId="0" priority="213">
      <formula>LEN(TRIM(G34))&gt;0</formula>
    </cfRule>
  </conditionalFormatting>
  <conditionalFormatting sqref="G35">
    <cfRule type="notContainsBlanks" dxfId="0" priority="214">
      <formula>LEN(TRIM(G35))&gt;0</formula>
    </cfRule>
  </conditionalFormatting>
  <conditionalFormatting sqref="G36">
    <cfRule type="notContainsBlanks" dxfId="0" priority="215">
      <formula>LEN(TRIM(G36))&gt;0</formula>
    </cfRule>
  </conditionalFormatting>
  <conditionalFormatting sqref="G37">
    <cfRule type="notContainsBlanks" dxfId="0" priority="216">
      <formula>LEN(TRIM(G37))&gt;0</formula>
    </cfRule>
  </conditionalFormatting>
  <conditionalFormatting sqref="G38">
    <cfRule type="notContainsBlanks" dxfId="0" priority="217">
      <formula>LEN(TRIM(G38))&gt;0</formula>
    </cfRule>
  </conditionalFormatting>
  <conditionalFormatting sqref="G39">
    <cfRule type="notContainsBlanks" dxfId="0" priority="218">
      <formula>LEN(TRIM(G39))&gt;0</formula>
    </cfRule>
  </conditionalFormatting>
  <conditionalFormatting sqref="G4">
    <cfRule type="notContainsBlanks" dxfId="0" priority="219">
      <formula>LEN(TRIM(G4))&gt;0</formula>
    </cfRule>
  </conditionalFormatting>
  <conditionalFormatting sqref="G40">
    <cfRule type="notContainsBlanks" dxfId="0" priority="220">
      <formula>LEN(TRIM(G40))&gt;0</formula>
    </cfRule>
  </conditionalFormatting>
  <conditionalFormatting sqref="G41">
    <cfRule type="notContainsBlanks" dxfId="0" priority="221">
      <formula>LEN(TRIM(G41))&gt;0</formula>
    </cfRule>
  </conditionalFormatting>
  <conditionalFormatting sqref="G42">
    <cfRule type="notContainsBlanks" dxfId="0" priority="222">
      <formula>LEN(TRIM(G42))&gt;0</formula>
    </cfRule>
  </conditionalFormatting>
  <conditionalFormatting sqref="G43">
    <cfRule type="notContainsBlanks" dxfId="0" priority="223">
      <formula>LEN(TRIM(G43))&gt;0</formula>
    </cfRule>
  </conditionalFormatting>
  <conditionalFormatting sqref="G44">
    <cfRule type="notContainsBlanks" dxfId="0" priority="224">
      <formula>LEN(TRIM(G44))&gt;0</formula>
    </cfRule>
  </conditionalFormatting>
  <conditionalFormatting sqref="G45">
    <cfRule type="notContainsBlanks" dxfId="0" priority="225">
      <formula>LEN(TRIM(G45))&gt;0</formula>
    </cfRule>
  </conditionalFormatting>
  <conditionalFormatting sqref="G46">
    <cfRule type="notContainsBlanks" dxfId="0" priority="226">
      <formula>LEN(TRIM(G46))&gt;0</formula>
    </cfRule>
  </conditionalFormatting>
  <conditionalFormatting sqref="G47">
    <cfRule type="notContainsBlanks" dxfId="0" priority="227">
      <formula>LEN(TRIM(G47))&gt;0</formula>
    </cfRule>
  </conditionalFormatting>
  <conditionalFormatting sqref="G48">
    <cfRule type="notContainsBlanks" dxfId="0" priority="228">
      <formula>LEN(TRIM(G48))&gt;0</formula>
    </cfRule>
  </conditionalFormatting>
  <conditionalFormatting sqref="G49">
    <cfRule type="notContainsBlanks" dxfId="0" priority="229">
      <formula>LEN(TRIM(G49))&gt;0</formula>
    </cfRule>
  </conditionalFormatting>
  <conditionalFormatting sqref="G5">
    <cfRule type="notContainsBlanks" dxfId="0" priority="230">
      <formula>LEN(TRIM(G5))&gt;0</formula>
    </cfRule>
  </conditionalFormatting>
  <conditionalFormatting sqref="G50">
    <cfRule type="notContainsBlanks" dxfId="0" priority="231">
      <formula>LEN(TRIM(G50))&gt;0</formula>
    </cfRule>
  </conditionalFormatting>
  <conditionalFormatting sqref="G6">
    <cfRule type="notContainsBlanks" dxfId="0" priority="232">
      <formula>LEN(TRIM(G6))&gt;0</formula>
    </cfRule>
  </conditionalFormatting>
  <conditionalFormatting sqref="G7">
    <cfRule type="notContainsBlanks" dxfId="0" priority="233">
      <formula>LEN(TRIM(G7))&gt;0</formula>
    </cfRule>
  </conditionalFormatting>
  <conditionalFormatting sqref="G8">
    <cfRule type="notContainsBlanks" dxfId="0" priority="234">
      <formula>LEN(TRIM(G8))&gt;0</formula>
    </cfRule>
  </conditionalFormatting>
  <conditionalFormatting sqref="G9">
    <cfRule type="notContainsBlanks" dxfId="0" priority="235">
      <formula>LEN(TRIM(G9))&gt;0</formula>
    </cfRule>
  </conditionalFormatting>
  <conditionalFormatting sqref="H10">
    <cfRule type="notContainsBlanks" dxfId="1" priority="236">
      <formula>LEN(TRIM(H10))&gt;0</formula>
    </cfRule>
  </conditionalFormatting>
  <conditionalFormatting sqref="H11">
    <cfRule type="notContainsBlanks" dxfId="1" priority="237">
      <formula>LEN(TRIM(H11))&gt;0</formula>
    </cfRule>
  </conditionalFormatting>
  <conditionalFormatting sqref="H12">
    <cfRule type="notContainsBlanks" dxfId="1" priority="238">
      <formula>LEN(TRIM(H12))&gt;0</formula>
    </cfRule>
  </conditionalFormatting>
  <conditionalFormatting sqref="H13">
    <cfRule type="notContainsBlanks" dxfId="1" priority="239">
      <formula>LEN(TRIM(H13))&gt;0</formula>
    </cfRule>
  </conditionalFormatting>
  <conditionalFormatting sqref="H14">
    <cfRule type="notContainsBlanks" dxfId="1" priority="240">
      <formula>LEN(TRIM(H14))&gt;0</formula>
    </cfRule>
  </conditionalFormatting>
  <conditionalFormatting sqref="H15">
    <cfRule type="notContainsBlanks" dxfId="1" priority="241">
      <formula>LEN(TRIM(H15))&gt;0</formula>
    </cfRule>
  </conditionalFormatting>
  <conditionalFormatting sqref="H16">
    <cfRule type="notContainsBlanks" dxfId="1" priority="242">
      <formula>LEN(TRIM(H16))&gt;0</formula>
    </cfRule>
  </conditionalFormatting>
  <conditionalFormatting sqref="H17">
    <cfRule type="notContainsBlanks" dxfId="1" priority="243">
      <formula>LEN(TRIM(H17))&gt;0</formula>
    </cfRule>
  </conditionalFormatting>
  <conditionalFormatting sqref="H18">
    <cfRule type="notContainsBlanks" dxfId="1" priority="244">
      <formula>LEN(TRIM(H18))&gt;0</formula>
    </cfRule>
  </conditionalFormatting>
  <conditionalFormatting sqref="H19">
    <cfRule type="notContainsBlanks" dxfId="1" priority="245">
      <formula>LEN(TRIM(H19))&gt;0</formula>
    </cfRule>
  </conditionalFormatting>
  <conditionalFormatting sqref="H20">
    <cfRule type="notContainsBlanks" dxfId="1" priority="246">
      <formula>LEN(TRIM(H20))&gt;0</formula>
    </cfRule>
  </conditionalFormatting>
  <conditionalFormatting sqref="H21">
    <cfRule type="notContainsBlanks" dxfId="1" priority="247">
      <formula>LEN(TRIM(H21))&gt;0</formula>
    </cfRule>
  </conditionalFormatting>
  <conditionalFormatting sqref="H22">
    <cfRule type="notContainsBlanks" dxfId="1" priority="248">
      <formula>LEN(TRIM(H22))&gt;0</formula>
    </cfRule>
  </conditionalFormatting>
  <conditionalFormatting sqref="H23">
    <cfRule type="notContainsBlanks" dxfId="1" priority="249">
      <formula>LEN(TRIM(H23))&gt;0</formula>
    </cfRule>
  </conditionalFormatting>
  <conditionalFormatting sqref="H24">
    <cfRule type="notContainsBlanks" dxfId="1" priority="250">
      <formula>LEN(TRIM(H24))&gt;0</formula>
    </cfRule>
  </conditionalFormatting>
  <conditionalFormatting sqref="H25">
    <cfRule type="notContainsBlanks" dxfId="1" priority="251">
      <formula>LEN(TRIM(H25))&gt;0</formula>
    </cfRule>
  </conditionalFormatting>
  <conditionalFormatting sqref="H26">
    <cfRule type="notContainsBlanks" dxfId="1" priority="252">
      <formula>LEN(TRIM(H26))&gt;0</formula>
    </cfRule>
  </conditionalFormatting>
  <conditionalFormatting sqref="H27">
    <cfRule type="notContainsBlanks" dxfId="1" priority="253">
      <formula>LEN(TRIM(H27))&gt;0</formula>
    </cfRule>
  </conditionalFormatting>
  <conditionalFormatting sqref="H28">
    <cfRule type="notContainsBlanks" dxfId="1" priority="254">
      <formula>LEN(TRIM(H28))&gt;0</formula>
    </cfRule>
  </conditionalFormatting>
  <conditionalFormatting sqref="H29">
    <cfRule type="notContainsBlanks" dxfId="1" priority="255">
      <formula>LEN(TRIM(H29))&gt;0</formula>
    </cfRule>
  </conditionalFormatting>
  <conditionalFormatting sqref="H30">
    <cfRule type="notContainsBlanks" dxfId="1" priority="256">
      <formula>LEN(TRIM(H30))&gt;0</formula>
    </cfRule>
  </conditionalFormatting>
  <conditionalFormatting sqref="H31">
    <cfRule type="notContainsBlanks" dxfId="1" priority="257">
      <formula>LEN(TRIM(H31))&gt;0</formula>
    </cfRule>
  </conditionalFormatting>
  <conditionalFormatting sqref="H32">
    <cfRule type="notContainsBlanks" dxfId="1" priority="258">
      <formula>LEN(TRIM(H32))&gt;0</formula>
    </cfRule>
  </conditionalFormatting>
  <conditionalFormatting sqref="H33">
    <cfRule type="notContainsBlanks" dxfId="1" priority="259">
      <formula>LEN(TRIM(H33))&gt;0</formula>
    </cfRule>
  </conditionalFormatting>
  <conditionalFormatting sqref="H34">
    <cfRule type="notContainsBlanks" dxfId="1" priority="260">
      <formula>LEN(TRIM(H34))&gt;0</formula>
    </cfRule>
  </conditionalFormatting>
  <conditionalFormatting sqref="H35">
    <cfRule type="notContainsBlanks" dxfId="1" priority="261">
      <formula>LEN(TRIM(H35))&gt;0</formula>
    </cfRule>
  </conditionalFormatting>
  <conditionalFormatting sqref="H36">
    <cfRule type="notContainsBlanks" dxfId="1" priority="262">
      <formula>LEN(TRIM(H36))&gt;0</formula>
    </cfRule>
  </conditionalFormatting>
  <conditionalFormatting sqref="H37">
    <cfRule type="notContainsBlanks" dxfId="1" priority="263">
      <formula>LEN(TRIM(H37))&gt;0</formula>
    </cfRule>
  </conditionalFormatting>
  <conditionalFormatting sqref="H38">
    <cfRule type="notContainsBlanks" dxfId="1" priority="264">
      <formula>LEN(TRIM(H38))&gt;0</formula>
    </cfRule>
  </conditionalFormatting>
  <conditionalFormatting sqref="H39">
    <cfRule type="notContainsBlanks" dxfId="1" priority="265">
      <formula>LEN(TRIM(H39))&gt;0</formula>
    </cfRule>
  </conditionalFormatting>
  <conditionalFormatting sqref="H4">
    <cfRule type="notContainsBlanks" dxfId="1" priority="266">
      <formula>LEN(TRIM(H4))&gt;0</formula>
    </cfRule>
  </conditionalFormatting>
  <conditionalFormatting sqref="H40">
    <cfRule type="notContainsBlanks" dxfId="1" priority="267">
      <formula>LEN(TRIM(H40))&gt;0</formula>
    </cfRule>
  </conditionalFormatting>
  <conditionalFormatting sqref="H41">
    <cfRule type="notContainsBlanks" dxfId="1" priority="268">
      <formula>LEN(TRIM(H41))&gt;0</formula>
    </cfRule>
  </conditionalFormatting>
  <conditionalFormatting sqref="H42">
    <cfRule type="notContainsBlanks" dxfId="1" priority="269">
      <formula>LEN(TRIM(H42))&gt;0</formula>
    </cfRule>
  </conditionalFormatting>
  <conditionalFormatting sqref="H43">
    <cfRule type="notContainsBlanks" dxfId="1" priority="270">
      <formula>LEN(TRIM(H43))&gt;0</formula>
    </cfRule>
  </conditionalFormatting>
  <conditionalFormatting sqref="H44">
    <cfRule type="notContainsBlanks" dxfId="1" priority="271">
      <formula>LEN(TRIM(H44))&gt;0</formula>
    </cfRule>
  </conditionalFormatting>
  <conditionalFormatting sqref="H45">
    <cfRule type="notContainsBlanks" dxfId="1" priority="272">
      <formula>LEN(TRIM(H45))&gt;0</formula>
    </cfRule>
  </conditionalFormatting>
  <conditionalFormatting sqref="H46">
    <cfRule type="notContainsBlanks" dxfId="1" priority="273">
      <formula>LEN(TRIM(H46))&gt;0</formula>
    </cfRule>
  </conditionalFormatting>
  <conditionalFormatting sqref="H47">
    <cfRule type="notContainsBlanks" dxfId="1" priority="274">
      <formula>LEN(TRIM(H47))&gt;0</formula>
    </cfRule>
  </conditionalFormatting>
  <conditionalFormatting sqref="H48">
    <cfRule type="notContainsBlanks" dxfId="1" priority="275">
      <formula>LEN(TRIM(H48))&gt;0</formula>
    </cfRule>
  </conditionalFormatting>
  <conditionalFormatting sqref="H49">
    <cfRule type="notContainsBlanks" dxfId="1" priority="276">
      <formula>LEN(TRIM(H49))&gt;0</formula>
    </cfRule>
  </conditionalFormatting>
  <conditionalFormatting sqref="H5">
    <cfRule type="notContainsBlanks" dxfId="1" priority="277">
      <formula>LEN(TRIM(H5))&gt;0</formula>
    </cfRule>
  </conditionalFormatting>
  <conditionalFormatting sqref="H50">
    <cfRule type="notContainsBlanks" dxfId="1" priority="278">
      <formula>LEN(TRIM(H50))&gt;0</formula>
    </cfRule>
  </conditionalFormatting>
  <conditionalFormatting sqref="H6">
    <cfRule type="notContainsBlanks" dxfId="1" priority="279">
      <formula>LEN(TRIM(H6))&gt;0</formula>
    </cfRule>
  </conditionalFormatting>
  <conditionalFormatting sqref="H7">
    <cfRule type="notContainsBlanks" dxfId="1" priority="280">
      <formula>LEN(TRIM(H7))&gt;0</formula>
    </cfRule>
  </conditionalFormatting>
  <conditionalFormatting sqref="H8">
    <cfRule type="notContainsBlanks" dxfId="1" priority="281">
      <formula>LEN(TRIM(H8))&gt;0</formula>
    </cfRule>
  </conditionalFormatting>
  <conditionalFormatting sqref="H9">
    <cfRule type="notContainsBlanks" dxfId="1" priority="282">
      <formula>LEN(TRIM(H9))&gt;0</formula>
    </cfRule>
  </conditionalFormatting>
  <conditionalFormatting sqref="I10">
    <cfRule type="notContainsBlanks" dxfId="1" priority="283">
      <formula>LEN(TRIM(I10))&gt;0</formula>
    </cfRule>
  </conditionalFormatting>
  <conditionalFormatting sqref="I11">
    <cfRule type="notContainsBlanks" dxfId="1" priority="284">
      <formula>LEN(TRIM(I11))&gt;0</formula>
    </cfRule>
  </conditionalFormatting>
  <conditionalFormatting sqref="I12">
    <cfRule type="notContainsBlanks" dxfId="1" priority="285">
      <formula>LEN(TRIM(I12))&gt;0</formula>
    </cfRule>
  </conditionalFormatting>
  <conditionalFormatting sqref="I13">
    <cfRule type="notContainsBlanks" dxfId="1" priority="286">
      <formula>LEN(TRIM(I13))&gt;0</formula>
    </cfRule>
  </conditionalFormatting>
  <conditionalFormatting sqref="I14">
    <cfRule type="notContainsBlanks" dxfId="1" priority="287">
      <formula>LEN(TRIM(I14))&gt;0</formula>
    </cfRule>
  </conditionalFormatting>
  <conditionalFormatting sqref="I15">
    <cfRule type="notContainsBlanks" dxfId="1" priority="288">
      <formula>LEN(TRIM(I15))&gt;0</formula>
    </cfRule>
  </conditionalFormatting>
  <conditionalFormatting sqref="I16">
    <cfRule type="notContainsBlanks" dxfId="1" priority="289">
      <formula>LEN(TRIM(I16))&gt;0</formula>
    </cfRule>
  </conditionalFormatting>
  <conditionalFormatting sqref="I17">
    <cfRule type="notContainsBlanks" dxfId="1" priority="290">
      <formula>LEN(TRIM(I17))&gt;0</formula>
    </cfRule>
  </conditionalFormatting>
  <conditionalFormatting sqref="I18">
    <cfRule type="notContainsBlanks" dxfId="1" priority="291">
      <formula>LEN(TRIM(I18))&gt;0</formula>
    </cfRule>
  </conditionalFormatting>
  <conditionalFormatting sqref="I19">
    <cfRule type="notContainsBlanks" dxfId="1" priority="292">
      <formula>LEN(TRIM(I19))&gt;0</formula>
    </cfRule>
  </conditionalFormatting>
  <conditionalFormatting sqref="I20">
    <cfRule type="notContainsBlanks" dxfId="1" priority="293">
      <formula>LEN(TRIM(I20))&gt;0</formula>
    </cfRule>
  </conditionalFormatting>
  <conditionalFormatting sqref="I21">
    <cfRule type="notContainsBlanks" dxfId="1" priority="294">
      <formula>LEN(TRIM(I21))&gt;0</formula>
    </cfRule>
  </conditionalFormatting>
  <conditionalFormatting sqref="I22">
    <cfRule type="notContainsBlanks" dxfId="1" priority="295">
      <formula>LEN(TRIM(I22))&gt;0</formula>
    </cfRule>
  </conditionalFormatting>
  <conditionalFormatting sqref="I23">
    <cfRule type="notContainsBlanks" dxfId="1" priority="296">
      <formula>LEN(TRIM(I23))&gt;0</formula>
    </cfRule>
  </conditionalFormatting>
  <conditionalFormatting sqref="I24">
    <cfRule type="notContainsBlanks" dxfId="1" priority="297">
      <formula>LEN(TRIM(I24))&gt;0</formula>
    </cfRule>
  </conditionalFormatting>
  <conditionalFormatting sqref="I25">
    <cfRule type="notContainsBlanks" dxfId="1" priority="298">
      <formula>LEN(TRIM(I25))&gt;0</formula>
    </cfRule>
  </conditionalFormatting>
  <conditionalFormatting sqref="I26">
    <cfRule type="notContainsBlanks" dxfId="1" priority="299">
      <formula>LEN(TRIM(I26))&gt;0</formula>
    </cfRule>
  </conditionalFormatting>
  <conditionalFormatting sqref="I27">
    <cfRule type="notContainsBlanks" dxfId="1" priority="300">
      <formula>LEN(TRIM(I27))&gt;0</formula>
    </cfRule>
  </conditionalFormatting>
  <conditionalFormatting sqref="I28">
    <cfRule type="notContainsBlanks" dxfId="1" priority="301">
      <formula>LEN(TRIM(I28))&gt;0</formula>
    </cfRule>
  </conditionalFormatting>
  <conditionalFormatting sqref="I29">
    <cfRule type="notContainsBlanks" dxfId="1" priority="302">
      <formula>LEN(TRIM(I29))&gt;0</formula>
    </cfRule>
  </conditionalFormatting>
  <conditionalFormatting sqref="I30">
    <cfRule type="notContainsBlanks" dxfId="1" priority="303">
      <formula>LEN(TRIM(I30))&gt;0</formula>
    </cfRule>
  </conditionalFormatting>
  <conditionalFormatting sqref="I31">
    <cfRule type="notContainsBlanks" dxfId="1" priority="304">
      <formula>LEN(TRIM(I31))&gt;0</formula>
    </cfRule>
  </conditionalFormatting>
  <conditionalFormatting sqref="I32">
    <cfRule type="notContainsBlanks" dxfId="1" priority="305">
      <formula>LEN(TRIM(I32))&gt;0</formula>
    </cfRule>
  </conditionalFormatting>
  <conditionalFormatting sqref="I33">
    <cfRule type="notContainsBlanks" dxfId="1" priority="306">
      <formula>LEN(TRIM(I33))&gt;0</formula>
    </cfRule>
  </conditionalFormatting>
  <conditionalFormatting sqref="I34">
    <cfRule type="notContainsBlanks" dxfId="1" priority="307">
      <formula>LEN(TRIM(I34))&gt;0</formula>
    </cfRule>
  </conditionalFormatting>
  <conditionalFormatting sqref="I35">
    <cfRule type="notContainsBlanks" dxfId="1" priority="308">
      <formula>LEN(TRIM(I35))&gt;0</formula>
    </cfRule>
  </conditionalFormatting>
  <conditionalFormatting sqref="I36">
    <cfRule type="notContainsBlanks" dxfId="1" priority="309">
      <formula>LEN(TRIM(I36))&gt;0</formula>
    </cfRule>
  </conditionalFormatting>
  <conditionalFormatting sqref="I37">
    <cfRule type="notContainsBlanks" dxfId="1" priority="310">
      <formula>LEN(TRIM(I37))&gt;0</formula>
    </cfRule>
  </conditionalFormatting>
  <conditionalFormatting sqref="I38">
    <cfRule type="notContainsBlanks" dxfId="1" priority="311">
      <formula>LEN(TRIM(I38))&gt;0</formula>
    </cfRule>
  </conditionalFormatting>
  <conditionalFormatting sqref="I39">
    <cfRule type="notContainsBlanks" dxfId="1" priority="312">
      <formula>LEN(TRIM(I39))&gt;0</formula>
    </cfRule>
  </conditionalFormatting>
  <conditionalFormatting sqref="I4">
    <cfRule type="notContainsBlanks" dxfId="1" priority="313">
      <formula>LEN(TRIM(I4))&gt;0</formula>
    </cfRule>
  </conditionalFormatting>
  <conditionalFormatting sqref="I40">
    <cfRule type="notContainsBlanks" dxfId="1" priority="314">
      <formula>LEN(TRIM(I40))&gt;0</formula>
    </cfRule>
  </conditionalFormatting>
  <conditionalFormatting sqref="I41">
    <cfRule type="notContainsBlanks" dxfId="1" priority="315">
      <formula>LEN(TRIM(I41))&gt;0</formula>
    </cfRule>
  </conditionalFormatting>
  <conditionalFormatting sqref="I42">
    <cfRule type="notContainsBlanks" dxfId="1" priority="316">
      <formula>LEN(TRIM(I42))&gt;0</formula>
    </cfRule>
  </conditionalFormatting>
  <conditionalFormatting sqref="I43">
    <cfRule type="notContainsBlanks" dxfId="1" priority="317">
      <formula>LEN(TRIM(I43))&gt;0</formula>
    </cfRule>
  </conditionalFormatting>
  <conditionalFormatting sqref="I44">
    <cfRule type="notContainsBlanks" dxfId="1" priority="318">
      <formula>LEN(TRIM(I44))&gt;0</formula>
    </cfRule>
  </conditionalFormatting>
  <conditionalFormatting sqref="I45">
    <cfRule type="notContainsBlanks" dxfId="1" priority="319">
      <formula>LEN(TRIM(I45))&gt;0</formula>
    </cfRule>
  </conditionalFormatting>
  <conditionalFormatting sqref="I46">
    <cfRule type="notContainsBlanks" dxfId="1" priority="320">
      <formula>LEN(TRIM(I46))&gt;0</formula>
    </cfRule>
  </conditionalFormatting>
  <conditionalFormatting sqref="I47">
    <cfRule type="notContainsBlanks" dxfId="1" priority="321">
      <formula>LEN(TRIM(I47))&gt;0</formula>
    </cfRule>
  </conditionalFormatting>
  <conditionalFormatting sqref="I48">
    <cfRule type="notContainsBlanks" dxfId="1" priority="322">
      <formula>LEN(TRIM(I48))&gt;0</formula>
    </cfRule>
  </conditionalFormatting>
  <conditionalFormatting sqref="I49">
    <cfRule type="notContainsBlanks" dxfId="1" priority="323">
      <formula>LEN(TRIM(I49))&gt;0</formula>
    </cfRule>
  </conditionalFormatting>
  <conditionalFormatting sqref="I5">
    <cfRule type="notContainsBlanks" dxfId="1" priority="324">
      <formula>LEN(TRIM(I5))&gt;0</formula>
    </cfRule>
  </conditionalFormatting>
  <conditionalFormatting sqref="I50">
    <cfRule type="notContainsBlanks" dxfId="1" priority="325">
      <formula>LEN(TRIM(I50))&gt;0</formula>
    </cfRule>
  </conditionalFormatting>
  <conditionalFormatting sqref="I6">
    <cfRule type="notContainsBlanks" dxfId="1" priority="326">
      <formula>LEN(TRIM(I6))&gt;0</formula>
    </cfRule>
  </conditionalFormatting>
  <conditionalFormatting sqref="I7">
    <cfRule type="notContainsBlanks" dxfId="1" priority="327">
      <formula>LEN(TRIM(I7))&gt;0</formula>
    </cfRule>
  </conditionalFormatting>
  <conditionalFormatting sqref="I8">
    <cfRule type="notContainsBlanks" dxfId="1" priority="328">
      <formula>LEN(TRIM(I8))&gt;0</formula>
    </cfRule>
  </conditionalFormatting>
  <conditionalFormatting sqref="I9">
    <cfRule type="notContainsBlanks" dxfId="1" priority="329">
      <formula>LEN(TRIM(I9))&gt;0</formula>
    </cfRule>
  </conditionalFormatting>
  <conditionalFormatting sqref="J10">
    <cfRule type="notContainsBlanks" dxfId="1" priority="330">
      <formula>LEN(TRIM(J10))&gt;0</formula>
    </cfRule>
  </conditionalFormatting>
  <conditionalFormatting sqref="J11">
    <cfRule type="notContainsBlanks" dxfId="1" priority="331">
      <formula>LEN(TRIM(J11))&gt;0</formula>
    </cfRule>
  </conditionalFormatting>
  <conditionalFormatting sqref="J12">
    <cfRule type="notContainsBlanks" dxfId="1" priority="332">
      <formula>LEN(TRIM(J12))&gt;0</formula>
    </cfRule>
  </conditionalFormatting>
  <conditionalFormatting sqref="J13">
    <cfRule type="notContainsBlanks" dxfId="1" priority="333">
      <formula>LEN(TRIM(J13))&gt;0</formula>
    </cfRule>
  </conditionalFormatting>
  <conditionalFormatting sqref="J14">
    <cfRule type="notContainsBlanks" dxfId="1" priority="334">
      <formula>LEN(TRIM(J14))&gt;0</formula>
    </cfRule>
  </conditionalFormatting>
  <conditionalFormatting sqref="J15">
    <cfRule type="notContainsBlanks" dxfId="1" priority="335">
      <formula>LEN(TRIM(J15))&gt;0</formula>
    </cfRule>
  </conditionalFormatting>
  <conditionalFormatting sqref="J16">
    <cfRule type="notContainsBlanks" dxfId="1" priority="336">
      <formula>LEN(TRIM(J16))&gt;0</formula>
    </cfRule>
  </conditionalFormatting>
  <conditionalFormatting sqref="J17">
    <cfRule type="notContainsBlanks" dxfId="1" priority="337">
      <formula>LEN(TRIM(J17))&gt;0</formula>
    </cfRule>
  </conditionalFormatting>
  <conditionalFormatting sqref="J18">
    <cfRule type="notContainsBlanks" dxfId="1" priority="338">
      <formula>LEN(TRIM(J18))&gt;0</formula>
    </cfRule>
  </conditionalFormatting>
  <conditionalFormatting sqref="J19">
    <cfRule type="notContainsBlanks" dxfId="1" priority="339">
      <formula>LEN(TRIM(J19))&gt;0</formula>
    </cfRule>
  </conditionalFormatting>
  <conditionalFormatting sqref="J20">
    <cfRule type="notContainsBlanks" dxfId="1" priority="340">
      <formula>LEN(TRIM(J20))&gt;0</formula>
    </cfRule>
  </conditionalFormatting>
  <conditionalFormatting sqref="J21">
    <cfRule type="notContainsBlanks" dxfId="1" priority="341">
      <formula>LEN(TRIM(J21))&gt;0</formula>
    </cfRule>
  </conditionalFormatting>
  <conditionalFormatting sqref="J22">
    <cfRule type="notContainsBlanks" dxfId="1" priority="342">
      <formula>LEN(TRIM(J22))&gt;0</formula>
    </cfRule>
  </conditionalFormatting>
  <conditionalFormatting sqref="J23">
    <cfRule type="notContainsBlanks" dxfId="1" priority="343">
      <formula>LEN(TRIM(J23))&gt;0</formula>
    </cfRule>
  </conditionalFormatting>
  <conditionalFormatting sqref="J24">
    <cfRule type="notContainsBlanks" dxfId="1" priority="344">
      <formula>LEN(TRIM(J24))&gt;0</formula>
    </cfRule>
  </conditionalFormatting>
  <conditionalFormatting sqref="J25">
    <cfRule type="notContainsBlanks" dxfId="1" priority="345">
      <formula>LEN(TRIM(J25))&gt;0</formula>
    </cfRule>
  </conditionalFormatting>
  <conditionalFormatting sqref="J26">
    <cfRule type="notContainsBlanks" dxfId="1" priority="346">
      <formula>LEN(TRIM(J26))&gt;0</formula>
    </cfRule>
  </conditionalFormatting>
  <conditionalFormatting sqref="J27">
    <cfRule type="notContainsBlanks" dxfId="1" priority="347">
      <formula>LEN(TRIM(J27))&gt;0</formula>
    </cfRule>
  </conditionalFormatting>
  <conditionalFormatting sqref="J28">
    <cfRule type="notContainsBlanks" dxfId="1" priority="348">
      <formula>LEN(TRIM(J28))&gt;0</formula>
    </cfRule>
  </conditionalFormatting>
  <conditionalFormatting sqref="J29">
    <cfRule type="notContainsBlanks" dxfId="1" priority="349">
      <formula>LEN(TRIM(J29))&gt;0</formula>
    </cfRule>
  </conditionalFormatting>
  <conditionalFormatting sqref="J30">
    <cfRule type="notContainsBlanks" dxfId="1" priority="350">
      <formula>LEN(TRIM(J30))&gt;0</formula>
    </cfRule>
  </conditionalFormatting>
  <conditionalFormatting sqref="J31">
    <cfRule type="notContainsBlanks" dxfId="1" priority="351">
      <formula>LEN(TRIM(J31))&gt;0</formula>
    </cfRule>
  </conditionalFormatting>
  <conditionalFormatting sqref="J32">
    <cfRule type="notContainsBlanks" dxfId="1" priority="352">
      <formula>LEN(TRIM(J32))&gt;0</formula>
    </cfRule>
  </conditionalFormatting>
  <conditionalFormatting sqref="J33">
    <cfRule type="notContainsBlanks" dxfId="1" priority="353">
      <formula>LEN(TRIM(J33))&gt;0</formula>
    </cfRule>
  </conditionalFormatting>
  <conditionalFormatting sqref="J34">
    <cfRule type="notContainsBlanks" dxfId="1" priority="354">
      <formula>LEN(TRIM(J34))&gt;0</formula>
    </cfRule>
  </conditionalFormatting>
  <conditionalFormatting sqref="J35">
    <cfRule type="notContainsBlanks" dxfId="1" priority="355">
      <formula>LEN(TRIM(J35))&gt;0</formula>
    </cfRule>
  </conditionalFormatting>
  <conditionalFormatting sqref="J36">
    <cfRule type="notContainsBlanks" dxfId="1" priority="356">
      <formula>LEN(TRIM(J36))&gt;0</formula>
    </cfRule>
  </conditionalFormatting>
  <conditionalFormatting sqref="J37">
    <cfRule type="notContainsBlanks" dxfId="1" priority="357">
      <formula>LEN(TRIM(J37))&gt;0</formula>
    </cfRule>
  </conditionalFormatting>
  <conditionalFormatting sqref="J38">
    <cfRule type="notContainsBlanks" dxfId="1" priority="358">
      <formula>LEN(TRIM(J38))&gt;0</formula>
    </cfRule>
  </conditionalFormatting>
  <conditionalFormatting sqref="J39">
    <cfRule type="notContainsBlanks" dxfId="1" priority="359">
      <formula>LEN(TRIM(J39))&gt;0</formula>
    </cfRule>
  </conditionalFormatting>
  <conditionalFormatting sqref="J4">
    <cfRule type="notContainsBlanks" dxfId="1" priority="360">
      <formula>LEN(TRIM(J4))&gt;0</formula>
    </cfRule>
  </conditionalFormatting>
  <conditionalFormatting sqref="J40">
    <cfRule type="notContainsBlanks" dxfId="1" priority="361">
      <formula>LEN(TRIM(J40))&gt;0</formula>
    </cfRule>
  </conditionalFormatting>
  <conditionalFormatting sqref="J41">
    <cfRule type="notContainsBlanks" dxfId="1" priority="362">
      <formula>LEN(TRIM(J41))&gt;0</formula>
    </cfRule>
  </conditionalFormatting>
  <conditionalFormatting sqref="J42">
    <cfRule type="notContainsBlanks" dxfId="1" priority="363">
      <formula>LEN(TRIM(J42))&gt;0</formula>
    </cfRule>
  </conditionalFormatting>
  <conditionalFormatting sqref="J43">
    <cfRule type="notContainsBlanks" dxfId="1" priority="364">
      <formula>LEN(TRIM(J43))&gt;0</formula>
    </cfRule>
  </conditionalFormatting>
  <conditionalFormatting sqref="J44">
    <cfRule type="notContainsBlanks" dxfId="1" priority="365">
      <formula>LEN(TRIM(J44))&gt;0</formula>
    </cfRule>
  </conditionalFormatting>
  <conditionalFormatting sqref="J45">
    <cfRule type="notContainsBlanks" dxfId="1" priority="366">
      <formula>LEN(TRIM(J45))&gt;0</formula>
    </cfRule>
  </conditionalFormatting>
  <conditionalFormatting sqref="J46">
    <cfRule type="notContainsBlanks" dxfId="1" priority="367">
      <formula>LEN(TRIM(J46))&gt;0</formula>
    </cfRule>
  </conditionalFormatting>
  <conditionalFormatting sqref="J47">
    <cfRule type="notContainsBlanks" dxfId="1" priority="368">
      <formula>LEN(TRIM(J47))&gt;0</formula>
    </cfRule>
  </conditionalFormatting>
  <conditionalFormatting sqref="J48">
    <cfRule type="notContainsBlanks" dxfId="1" priority="369">
      <formula>LEN(TRIM(J48))&gt;0</formula>
    </cfRule>
  </conditionalFormatting>
  <conditionalFormatting sqref="J49">
    <cfRule type="notContainsBlanks" dxfId="1" priority="370">
      <formula>LEN(TRIM(J49))&gt;0</formula>
    </cfRule>
  </conditionalFormatting>
  <conditionalFormatting sqref="J5">
    <cfRule type="notContainsBlanks" dxfId="1" priority="371">
      <formula>LEN(TRIM(J5))&gt;0</formula>
    </cfRule>
  </conditionalFormatting>
  <conditionalFormatting sqref="J50">
    <cfRule type="notContainsBlanks" dxfId="1" priority="372">
      <formula>LEN(TRIM(J50))&gt;0</formula>
    </cfRule>
  </conditionalFormatting>
  <conditionalFormatting sqref="J6">
    <cfRule type="notContainsBlanks" dxfId="1" priority="373">
      <formula>LEN(TRIM(J6))&gt;0</formula>
    </cfRule>
  </conditionalFormatting>
  <conditionalFormatting sqref="J7">
    <cfRule type="notContainsBlanks" dxfId="1" priority="374">
      <formula>LEN(TRIM(J7))&gt;0</formula>
    </cfRule>
  </conditionalFormatting>
  <conditionalFormatting sqref="J8">
    <cfRule type="notContainsBlanks" dxfId="1" priority="375">
      <formula>LEN(TRIM(J8))&gt;0</formula>
    </cfRule>
  </conditionalFormatting>
  <conditionalFormatting sqref="J9">
    <cfRule type="notContainsBlanks" dxfId="1" priority="376">
      <formula>LEN(TRIM(J9))&gt;0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1" width="15.71"/>
    <col customWidth="1" min="12" max="27" width="8.71"/>
  </cols>
  <sheetData>
    <row r="1">
      <c r="A1" s="2" t="s">
        <v>1</v>
      </c>
      <c r="B1" s="4">
        <v>2.1729167E7</v>
      </c>
    </row>
    <row r="2">
      <c r="C2" s="5" t="s">
        <v>6</v>
      </c>
      <c r="D2" s="6"/>
      <c r="E2" s="6"/>
      <c r="F2" s="6"/>
      <c r="G2" s="7"/>
      <c r="H2" s="9"/>
      <c r="I2" s="5" t="s">
        <v>13</v>
      </c>
      <c r="J2" s="6"/>
      <c r="K2" s="7"/>
    </row>
    <row r="3">
      <c r="A3" s="2" t="s">
        <v>17</v>
      </c>
      <c r="B3" s="2" t="s">
        <v>18</v>
      </c>
      <c r="C3" s="2" t="s">
        <v>20</v>
      </c>
      <c r="D3" s="2" t="s">
        <v>21</v>
      </c>
      <c r="E3" s="2" t="s">
        <v>23</v>
      </c>
      <c r="F3" s="2" t="s">
        <v>25</v>
      </c>
      <c r="G3" s="2" t="s">
        <v>26</v>
      </c>
      <c r="H3" s="2"/>
      <c r="I3" s="2" t="s">
        <v>27</v>
      </c>
      <c r="J3" s="2" t="s">
        <v>29</v>
      </c>
      <c r="K3" s="2" t="s">
        <v>30</v>
      </c>
      <c r="L3" s="8" t="s">
        <v>32</v>
      </c>
    </row>
    <row r="4">
      <c r="A4" s="14" t="s">
        <v>37</v>
      </c>
      <c r="B4" s="14">
        <v>0.02711419948036875</v>
      </c>
      <c r="C4" s="14">
        <v>391.0</v>
      </c>
      <c r="D4" s="14">
        <v>2041.0</v>
      </c>
      <c r="E4" s="14">
        <f t="shared" ref="E4:E47" si="1">ROUND($B$1 * B4 / C4, 0)</f>
        <v>1507</v>
      </c>
      <c r="F4" s="14" t="str">
        <f t="shared" ref="F4:F47" si="2">IF(G4&gt;0, "BUY", IF(G4&lt;0, "SELL", "FLAT"))</f>
        <v>SELL</v>
      </c>
      <c r="G4" s="14">
        <f t="shared" ref="G4:G47" si="3">E4-D4</f>
        <v>-534</v>
      </c>
      <c r="H4" s="14">
        <f t="shared" ref="H4:H47" si="4">C4*G4</f>
        <v>-208794</v>
      </c>
      <c r="I4" s="14">
        <v>-534.0</v>
      </c>
      <c r="J4" s="8">
        <v>390.45</v>
      </c>
      <c r="K4" s="14">
        <f t="shared" ref="K4:K47" si="5">J4 * I4</f>
        <v>-208500.3</v>
      </c>
      <c r="L4" s="14">
        <f>D4+I4</f>
        <v>1507</v>
      </c>
    </row>
    <row r="5">
      <c r="A5" s="14" t="s">
        <v>49</v>
      </c>
      <c r="B5" s="14">
        <v>0.0</v>
      </c>
      <c r="C5" s="14">
        <v>7448.5</v>
      </c>
      <c r="D5" s="14">
        <v>126.0</v>
      </c>
      <c r="E5" s="14">
        <f t="shared" si="1"/>
        <v>0</v>
      </c>
      <c r="F5" s="14" t="str">
        <f t="shared" si="2"/>
        <v>SELL</v>
      </c>
      <c r="G5" s="14">
        <f t="shared" si="3"/>
        <v>-126</v>
      </c>
      <c r="H5" s="14">
        <f t="shared" si="4"/>
        <v>-938511</v>
      </c>
      <c r="I5" s="14">
        <v>-126.0</v>
      </c>
      <c r="J5" s="8">
        <v>7446.5</v>
      </c>
      <c r="K5" s="14">
        <f t="shared" si="5"/>
        <v>-938259</v>
      </c>
    </row>
    <row r="6">
      <c r="A6" s="14" t="s">
        <v>51</v>
      </c>
      <c r="B6" s="14">
        <v>0.02810454111153519</v>
      </c>
      <c r="C6" s="14">
        <v>164.1</v>
      </c>
      <c r="D6" s="14">
        <v>3792.0</v>
      </c>
      <c r="E6" s="14">
        <f t="shared" si="1"/>
        <v>3721</v>
      </c>
      <c r="F6" s="14" t="str">
        <f t="shared" si="2"/>
        <v>SELL</v>
      </c>
      <c r="G6" s="14">
        <f t="shared" si="3"/>
        <v>-71</v>
      </c>
      <c r="H6" s="14">
        <f t="shared" si="4"/>
        <v>-11651.1</v>
      </c>
      <c r="I6" s="14">
        <v>-71.0</v>
      </c>
      <c r="J6" s="8">
        <v>165.2</v>
      </c>
      <c r="K6" s="14">
        <f t="shared" si="5"/>
        <v>-11729.2</v>
      </c>
      <c r="L6" s="14">
        <f>D6+I6</f>
        <v>3721</v>
      </c>
    </row>
    <row r="7">
      <c r="A7" s="14" t="s">
        <v>54</v>
      </c>
      <c r="B7" s="14">
        <v>0.0</v>
      </c>
      <c r="C7" s="14">
        <v>1065.0</v>
      </c>
      <c r="D7" s="14">
        <v>736.0</v>
      </c>
      <c r="E7" s="14">
        <f t="shared" si="1"/>
        <v>0</v>
      </c>
      <c r="F7" s="14" t="str">
        <f t="shared" si="2"/>
        <v>SELL</v>
      </c>
      <c r="G7" s="14">
        <f t="shared" si="3"/>
        <v>-736</v>
      </c>
      <c r="H7" s="14">
        <f t="shared" si="4"/>
        <v>-783840</v>
      </c>
      <c r="I7" s="14">
        <v>-736.0</v>
      </c>
      <c r="J7" s="8">
        <v>1058.1</v>
      </c>
      <c r="K7" s="14">
        <f t="shared" si="5"/>
        <v>-778761.6</v>
      </c>
    </row>
    <row r="8">
      <c r="A8" s="14" t="s">
        <v>57</v>
      </c>
      <c r="B8" s="14">
        <v>0.0</v>
      </c>
      <c r="C8" s="14">
        <v>414.8</v>
      </c>
      <c r="D8" s="14">
        <v>974.0</v>
      </c>
      <c r="E8" s="14">
        <f t="shared" si="1"/>
        <v>0</v>
      </c>
      <c r="F8" s="14" t="str">
        <f t="shared" si="2"/>
        <v>SELL</v>
      </c>
      <c r="G8" s="14">
        <f t="shared" si="3"/>
        <v>-974</v>
      </c>
      <c r="H8" s="14">
        <f t="shared" si="4"/>
        <v>-404015.2</v>
      </c>
      <c r="I8" s="14">
        <v>-974.0</v>
      </c>
      <c r="J8" s="8">
        <v>413.25</v>
      </c>
      <c r="K8" s="14">
        <f t="shared" si="5"/>
        <v>-402505.5</v>
      </c>
    </row>
    <row r="9">
      <c r="A9" s="14" t="s">
        <v>46</v>
      </c>
      <c r="B9" s="14">
        <v>0.03198469026984772</v>
      </c>
      <c r="C9" s="14">
        <v>3937.0</v>
      </c>
      <c r="D9" s="14">
        <v>225.0</v>
      </c>
      <c r="E9" s="14">
        <f t="shared" si="1"/>
        <v>177</v>
      </c>
      <c r="F9" s="14" t="str">
        <f t="shared" si="2"/>
        <v>SELL</v>
      </c>
      <c r="G9" s="14">
        <f t="shared" si="3"/>
        <v>-48</v>
      </c>
      <c r="H9" s="14">
        <f t="shared" si="4"/>
        <v>-188976</v>
      </c>
      <c r="I9" s="14">
        <v>-48.0</v>
      </c>
      <c r="J9" s="8">
        <v>3938.7</v>
      </c>
      <c r="K9" s="14">
        <f t="shared" si="5"/>
        <v>-189057.6</v>
      </c>
      <c r="L9" s="14">
        <f>D9+I9</f>
        <v>177</v>
      </c>
    </row>
    <row r="10">
      <c r="A10" s="14" t="s">
        <v>62</v>
      </c>
      <c r="B10" s="14">
        <v>0.0</v>
      </c>
      <c r="C10" s="14">
        <v>127.55</v>
      </c>
      <c r="D10" s="14">
        <v>3466.0</v>
      </c>
      <c r="E10" s="14">
        <f t="shared" si="1"/>
        <v>0</v>
      </c>
      <c r="F10" s="14" t="str">
        <f t="shared" si="2"/>
        <v>SELL</v>
      </c>
      <c r="G10" s="14">
        <f t="shared" si="3"/>
        <v>-3466</v>
      </c>
      <c r="H10" s="14">
        <f t="shared" si="4"/>
        <v>-442088.3</v>
      </c>
      <c r="I10" s="14">
        <v>-3466.0</v>
      </c>
      <c r="J10" s="8">
        <v>127.03</v>
      </c>
      <c r="K10" s="14">
        <f t="shared" si="5"/>
        <v>-440285.98</v>
      </c>
    </row>
    <row r="11">
      <c r="A11" s="14" t="s">
        <v>65</v>
      </c>
      <c r="B11" s="14">
        <v>0.0</v>
      </c>
      <c r="C11" s="14">
        <v>510.3</v>
      </c>
      <c r="D11" s="14">
        <v>1412.0</v>
      </c>
      <c r="E11" s="14">
        <f t="shared" si="1"/>
        <v>0</v>
      </c>
      <c r="F11" s="14" t="str">
        <f t="shared" si="2"/>
        <v>SELL</v>
      </c>
      <c r="G11" s="14">
        <f t="shared" si="3"/>
        <v>-1412</v>
      </c>
      <c r="H11" s="14">
        <f t="shared" si="4"/>
        <v>-720543.6</v>
      </c>
      <c r="I11" s="14">
        <v>-1412.0</v>
      </c>
      <c r="J11" s="8">
        <v>507.95</v>
      </c>
      <c r="K11" s="14">
        <f t="shared" si="5"/>
        <v>-717225.4</v>
      </c>
    </row>
    <row r="12">
      <c r="A12" s="14" t="s">
        <v>67</v>
      </c>
      <c r="B12" s="14">
        <v>0.03090108597188039</v>
      </c>
      <c r="C12" s="14">
        <v>18795.0</v>
      </c>
      <c r="D12" s="14">
        <v>60.0</v>
      </c>
      <c r="E12" s="14">
        <f t="shared" si="1"/>
        <v>36</v>
      </c>
      <c r="F12" s="14" t="str">
        <f t="shared" si="2"/>
        <v>SELL</v>
      </c>
      <c r="G12" s="14">
        <f t="shared" si="3"/>
        <v>-24</v>
      </c>
      <c r="H12" s="14">
        <f t="shared" si="4"/>
        <v>-451080</v>
      </c>
      <c r="I12" s="14">
        <v>-24.0</v>
      </c>
      <c r="J12" s="8">
        <v>18841.0</v>
      </c>
      <c r="K12" s="14">
        <f t="shared" si="5"/>
        <v>-452184</v>
      </c>
      <c r="L12" s="14">
        <f>D12+I12</f>
        <v>36</v>
      </c>
    </row>
    <row r="13">
      <c r="A13" s="14" t="s">
        <v>71</v>
      </c>
      <c r="B13" s="14">
        <v>0.0</v>
      </c>
      <c r="C13" s="14">
        <v>2207.6</v>
      </c>
      <c r="D13" s="14">
        <v>219.0</v>
      </c>
      <c r="E13" s="14">
        <f t="shared" si="1"/>
        <v>0</v>
      </c>
      <c r="F13" s="14" t="str">
        <f t="shared" si="2"/>
        <v>SELL</v>
      </c>
      <c r="G13" s="14">
        <f t="shared" si="3"/>
        <v>-219</v>
      </c>
      <c r="H13" s="14">
        <f t="shared" si="4"/>
        <v>-483464.4</v>
      </c>
      <c r="I13" s="14">
        <v>-219.0</v>
      </c>
      <c r="J13" s="8">
        <v>2193.5</v>
      </c>
      <c r="K13" s="14">
        <f t="shared" si="5"/>
        <v>-480376.5</v>
      </c>
    </row>
    <row r="14">
      <c r="A14" s="14" t="s">
        <v>73</v>
      </c>
      <c r="B14" s="14">
        <v>0.0</v>
      </c>
      <c r="C14" s="14">
        <v>4808.9</v>
      </c>
      <c r="D14" s="14">
        <v>86.0</v>
      </c>
      <c r="E14" s="14">
        <f t="shared" si="1"/>
        <v>0</v>
      </c>
      <c r="F14" s="14" t="str">
        <f t="shared" si="2"/>
        <v>SELL</v>
      </c>
      <c r="G14" s="14">
        <f t="shared" si="3"/>
        <v>-86</v>
      </c>
      <c r="H14" s="14">
        <f t="shared" si="4"/>
        <v>-413565.4</v>
      </c>
      <c r="I14" s="14">
        <v>-86.0</v>
      </c>
      <c r="J14" s="8">
        <v>4814.3</v>
      </c>
      <c r="K14" s="14">
        <f t="shared" si="5"/>
        <v>-414029.8</v>
      </c>
    </row>
    <row r="15">
      <c r="A15" s="14" t="s">
        <v>76</v>
      </c>
      <c r="B15" s="14">
        <v>0.0</v>
      </c>
      <c r="C15" s="14">
        <v>815.6</v>
      </c>
      <c r="D15" s="14">
        <v>693.0</v>
      </c>
      <c r="E15" s="14">
        <f t="shared" si="1"/>
        <v>0</v>
      </c>
      <c r="F15" s="14" t="str">
        <f t="shared" si="2"/>
        <v>SELL</v>
      </c>
      <c r="G15" s="14">
        <f t="shared" si="3"/>
        <v>-693</v>
      </c>
      <c r="H15" s="14">
        <f t="shared" si="4"/>
        <v>-565210.8</v>
      </c>
      <c r="I15" s="14">
        <v>-693.0</v>
      </c>
      <c r="J15" s="8">
        <v>815.7</v>
      </c>
      <c r="K15" s="14">
        <f t="shared" si="5"/>
        <v>-565280.1</v>
      </c>
    </row>
    <row r="16">
      <c r="A16" s="14" t="s">
        <v>79</v>
      </c>
      <c r="B16" s="14">
        <v>0.02630606441186615</v>
      </c>
      <c r="C16" s="14">
        <v>5244.0</v>
      </c>
      <c r="D16" s="14">
        <v>125.0</v>
      </c>
      <c r="E16" s="14">
        <f t="shared" si="1"/>
        <v>109</v>
      </c>
      <c r="F16" s="14" t="str">
        <f t="shared" si="2"/>
        <v>SELL</v>
      </c>
      <c r="G16" s="14">
        <f t="shared" si="3"/>
        <v>-16</v>
      </c>
      <c r="H16" s="14">
        <f t="shared" si="4"/>
        <v>-83904</v>
      </c>
      <c r="I16" s="14">
        <v>-16.0</v>
      </c>
      <c r="J16" s="8">
        <v>5273.0</v>
      </c>
      <c r="K16" s="14">
        <f t="shared" si="5"/>
        <v>-84368</v>
      </c>
      <c r="L16" s="14">
        <f t="shared" ref="L16:L19" si="6">D16+I16</f>
        <v>109</v>
      </c>
    </row>
    <row r="17">
      <c r="A17" s="14" t="s">
        <v>81</v>
      </c>
      <c r="B17" s="14">
        <v>0.04486982609331563</v>
      </c>
      <c r="C17" s="14">
        <v>1506.1</v>
      </c>
      <c r="D17" s="14">
        <v>650.0</v>
      </c>
      <c r="E17" s="14">
        <f t="shared" si="1"/>
        <v>647</v>
      </c>
      <c r="F17" s="14" t="str">
        <f t="shared" si="2"/>
        <v>SELL</v>
      </c>
      <c r="G17" s="14">
        <f t="shared" si="3"/>
        <v>-3</v>
      </c>
      <c r="H17" s="14">
        <f t="shared" si="4"/>
        <v>-4518.3</v>
      </c>
      <c r="I17" s="14">
        <v>-3.0</v>
      </c>
      <c r="J17" s="8">
        <v>1509.9</v>
      </c>
      <c r="K17" s="14">
        <f t="shared" si="5"/>
        <v>-4529.7</v>
      </c>
      <c r="L17" s="14">
        <f t="shared" si="6"/>
        <v>647</v>
      </c>
    </row>
    <row r="18">
      <c r="A18" s="14" t="s">
        <v>82</v>
      </c>
      <c r="B18" s="14">
        <v>0.03198108095818381</v>
      </c>
      <c r="C18" s="14">
        <v>314.7</v>
      </c>
      <c r="D18" s="14">
        <v>2568.0</v>
      </c>
      <c r="E18" s="14">
        <f t="shared" si="1"/>
        <v>2208</v>
      </c>
      <c r="F18" s="14" t="str">
        <f t="shared" si="2"/>
        <v>SELL</v>
      </c>
      <c r="G18" s="14">
        <f t="shared" si="3"/>
        <v>-360</v>
      </c>
      <c r="H18" s="14">
        <f t="shared" si="4"/>
        <v>-113292</v>
      </c>
      <c r="I18" s="14">
        <v>-360.0</v>
      </c>
      <c r="J18" s="8">
        <v>313.45</v>
      </c>
      <c r="K18" s="14">
        <f t="shared" si="5"/>
        <v>-112842</v>
      </c>
      <c r="L18" s="14">
        <f t="shared" si="6"/>
        <v>2208</v>
      </c>
    </row>
    <row r="19">
      <c r="A19" s="14" t="s">
        <v>86</v>
      </c>
      <c r="B19" s="14">
        <v>0.03875904346718496</v>
      </c>
      <c r="C19" s="14">
        <v>3009.5</v>
      </c>
      <c r="D19" s="14">
        <v>466.0</v>
      </c>
      <c r="E19" s="14">
        <f t="shared" si="1"/>
        <v>280</v>
      </c>
      <c r="F19" s="14" t="str">
        <f t="shared" si="2"/>
        <v>SELL</v>
      </c>
      <c r="G19" s="14">
        <f t="shared" si="3"/>
        <v>-186</v>
      </c>
      <c r="H19" s="14">
        <f t="shared" si="4"/>
        <v>-559767</v>
      </c>
      <c r="I19" s="14">
        <v>-186.0</v>
      </c>
      <c r="J19" s="8">
        <v>3011.0</v>
      </c>
      <c r="K19" s="14">
        <f t="shared" si="5"/>
        <v>-560046</v>
      </c>
      <c r="L19" s="14">
        <f t="shared" si="6"/>
        <v>280</v>
      </c>
    </row>
    <row r="20">
      <c r="A20" s="14" t="s">
        <v>84</v>
      </c>
      <c r="B20" s="14">
        <v>0.0</v>
      </c>
      <c r="C20" s="14">
        <v>2971.8</v>
      </c>
      <c r="D20" s="14">
        <v>135.0</v>
      </c>
      <c r="E20" s="14">
        <f t="shared" si="1"/>
        <v>0</v>
      </c>
      <c r="F20" s="14" t="str">
        <f t="shared" si="2"/>
        <v>SELL</v>
      </c>
      <c r="G20" s="14">
        <f t="shared" si="3"/>
        <v>-135</v>
      </c>
      <c r="H20" s="14">
        <f t="shared" si="4"/>
        <v>-401193</v>
      </c>
      <c r="I20" s="14">
        <v>-135.0</v>
      </c>
      <c r="J20" s="8">
        <v>2957.59</v>
      </c>
      <c r="K20" s="14">
        <f t="shared" si="5"/>
        <v>-399274.65</v>
      </c>
    </row>
    <row r="21">
      <c r="A21" s="14" t="s">
        <v>90</v>
      </c>
      <c r="B21" s="14">
        <v>0.03638784924794843</v>
      </c>
      <c r="C21" s="14">
        <v>1212.1</v>
      </c>
      <c r="D21" s="14">
        <v>701.0</v>
      </c>
      <c r="E21" s="14">
        <f t="shared" si="1"/>
        <v>652</v>
      </c>
      <c r="F21" s="14" t="str">
        <f t="shared" si="2"/>
        <v>SELL</v>
      </c>
      <c r="G21" s="14">
        <f t="shared" si="3"/>
        <v>-49</v>
      </c>
      <c r="H21" s="14">
        <f t="shared" si="4"/>
        <v>-59392.9</v>
      </c>
      <c r="I21" s="14">
        <v>-49.0</v>
      </c>
      <c r="J21" s="8">
        <v>1220.5</v>
      </c>
      <c r="K21" s="14">
        <f t="shared" si="5"/>
        <v>-59804.5</v>
      </c>
      <c r="L21" s="14">
        <f t="shared" ref="L21:L24" si="7">D21+I21</f>
        <v>652</v>
      </c>
    </row>
    <row r="22">
      <c r="A22" s="14" t="s">
        <v>28</v>
      </c>
      <c r="B22" s="14">
        <v>0.03788621306202836</v>
      </c>
      <c r="C22" s="14">
        <v>336.6</v>
      </c>
      <c r="D22" s="14">
        <v>2557.0</v>
      </c>
      <c r="E22" s="14">
        <f t="shared" si="1"/>
        <v>2446</v>
      </c>
      <c r="F22" s="14" t="str">
        <f t="shared" si="2"/>
        <v>SELL</v>
      </c>
      <c r="G22" s="14">
        <f t="shared" si="3"/>
        <v>-111</v>
      </c>
      <c r="H22" s="14">
        <f t="shared" si="4"/>
        <v>-37362.6</v>
      </c>
      <c r="I22" s="14">
        <v>-111.0</v>
      </c>
      <c r="J22" s="8">
        <v>334.95</v>
      </c>
      <c r="K22" s="14">
        <f t="shared" si="5"/>
        <v>-37179.45</v>
      </c>
      <c r="L22" s="14">
        <f t="shared" si="7"/>
        <v>2446</v>
      </c>
    </row>
    <row r="23">
      <c r="A23" s="14" t="s">
        <v>15</v>
      </c>
      <c r="B23" s="14">
        <v>0.0447714378749364</v>
      </c>
      <c r="C23" s="14">
        <v>34240.0</v>
      </c>
      <c r="D23" s="14">
        <v>40.0</v>
      </c>
      <c r="E23" s="14">
        <f t="shared" si="1"/>
        <v>28</v>
      </c>
      <c r="F23" s="14" t="str">
        <f t="shared" si="2"/>
        <v>SELL</v>
      </c>
      <c r="G23" s="14">
        <f t="shared" si="3"/>
        <v>-12</v>
      </c>
      <c r="H23" s="14">
        <f t="shared" si="4"/>
        <v>-410880</v>
      </c>
      <c r="I23" s="14">
        <v>-12.0</v>
      </c>
      <c r="J23" s="8">
        <v>34085.0</v>
      </c>
      <c r="K23" s="14">
        <f t="shared" si="5"/>
        <v>-409020</v>
      </c>
      <c r="L23" s="14">
        <f t="shared" si="7"/>
        <v>28</v>
      </c>
    </row>
    <row r="24">
      <c r="A24" s="14" t="s">
        <v>88</v>
      </c>
      <c r="B24" s="14">
        <v>0.02510963449729023</v>
      </c>
      <c r="C24" s="14">
        <v>359.3</v>
      </c>
      <c r="D24" s="14">
        <v>2228.0</v>
      </c>
      <c r="E24" s="14">
        <f t="shared" si="1"/>
        <v>1519</v>
      </c>
      <c r="F24" s="14" t="str">
        <f t="shared" si="2"/>
        <v>SELL</v>
      </c>
      <c r="G24" s="14">
        <f t="shared" si="3"/>
        <v>-709</v>
      </c>
      <c r="H24" s="14">
        <f t="shared" si="4"/>
        <v>-254743.7</v>
      </c>
      <c r="I24" s="14">
        <v>-709.0</v>
      </c>
      <c r="J24" s="8">
        <v>356.55</v>
      </c>
      <c r="K24" s="14">
        <f t="shared" si="5"/>
        <v>-252793.95</v>
      </c>
      <c r="L24" s="14">
        <f t="shared" si="7"/>
        <v>1519</v>
      </c>
    </row>
    <row r="25">
      <c r="A25" s="14" t="s">
        <v>95</v>
      </c>
      <c r="B25" s="14">
        <v>0.0</v>
      </c>
      <c r="C25" s="14">
        <v>169.0</v>
      </c>
      <c r="D25" s="14">
        <v>2653.0</v>
      </c>
      <c r="E25" s="14">
        <f t="shared" si="1"/>
        <v>0</v>
      </c>
      <c r="F25" s="14" t="str">
        <f t="shared" si="2"/>
        <v>SELL</v>
      </c>
      <c r="G25" s="14">
        <f t="shared" si="3"/>
        <v>-2653</v>
      </c>
      <c r="H25" s="14">
        <f t="shared" si="4"/>
        <v>-448357</v>
      </c>
      <c r="I25" s="14">
        <v>-2653.0</v>
      </c>
      <c r="J25" s="8">
        <v>166.71</v>
      </c>
      <c r="K25" s="14">
        <f t="shared" si="5"/>
        <v>-442281.63</v>
      </c>
    </row>
    <row r="26">
      <c r="A26" s="14" t="s">
        <v>96</v>
      </c>
      <c r="B26" s="14">
        <v>0.0</v>
      </c>
      <c r="C26" s="14">
        <v>3565.0</v>
      </c>
      <c r="D26" s="14">
        <v>132.0</v>
      </c>
      <c r="E26" s="14">
        <f t="shared" si="1"/>
        <v>0</v>
      </c>
      <c r="F26" s="14" t="str">
        <f t="shared" si="2"/>
        <v>SELL</v>
      </c>
      <c r="G26" s="14">
        <f t="shared" si="3"/>
        <v>-132</v>
      </c>
      <c r="H26" s="14">
        <f t="shared" si="4"/>
        <v>-470580</v>
      </c>
      <c r="I26" s="14">
        <v>-132.0</v>
      </c>
      <c r="J26" s="8">
        <v>3585.6</v>
      </c>
      <c r="K26" s="14">
        <f t="shared" si="5"/>
        <v>-473299.2</v>
      </c>
    </row>
    <row r="27">
      <c r="A27" s="14" t="s">
        <v>98</v>
      </c>
      <c r="B27" s="14">
        <v>0.0</v>
      </c>
      <c r="C27" s="14">
        <v>174.15</v>
      </c>
      <c r="D27" s="14">
        <v>2580.0</v>
      </c>
      <c r="E27" s="14">
        <f t="shared" si="1"/>
        <v>0</v>
      </c>
      <c r="F27" s="14" t="str">
        <f t="shared" si="2"/>
        <v>SELL</v>
      </c>
      <c r="G27" s="14">
        <f t="shared" si="3"/>
        <v>-2580</v>
      </c>
      <c r="H27" s="14">
        <f t="shared" si="4"/>
        <v>-449307</v>
      </c>
      <c r="I27" s="14">
        <v>-2580.0</v>
      </c>
      <c r="J27" s="8">
        <v>174.03</v>
      </c>
      <c r="K27" s="14">
        <f t="shared" si="5"/>
        <v>-448997.4</v>
      </c>
    </row>
    <row r="28">
      <c r="A28" s="14" t="s">
        <v>77</v>
      </c>
      <c r="B28" s="14">
        <v>0.0</v>
      </c>
      <c r="C28" s="14">
        <v>277.5</v>
      </c>
      <c r="D28" s="14">
        <v>821.0</v>
      </c>
      <c r="E28" s="14">
        <f t="shared" si="1"/>
        <v>0</v>
      </c>
      <c r="F28" s="14" t="str">
        <f t="shared" si="2"/>
        <v>SELL</v>
      </c>
      <c r="G28" s="14">
        <f t="shared" si="3"/>
        <v>-821</v>
      </c>
      <c r="H28" s="14">
        <f t="shared" si="4"/>
        <v>-227827.5</v>
      </c>
      <c r="I28" s="14">
        <v>-821.0</v>
      </c>
      <c r="J28" s="8">
        <v>278.15</v>
      </c>
      <c r="K28" s="14">
        <f t="shared" si="5"/>
        <v>-228361.15</v>
      </c>
    </row>
    <row r="29">
      <c r="A29" s="14" t="s">
        <v>102</v>
      </c>
      <c r="B29" s="14">
        <v>0.0</v>
      </c>
      <c r="C29" s="14">
        <v>2900.0</v>
      </c>
      <c r="D29" s="14">
        <v>145.0</v>
      </c>
      <c r="E29" s="14">
        <f t="shared" si="1"/>
        <v>0</v>
      </c>
      <c r="F29" s="14" t="str">
        <f t="shared" si="2"/>
        <v>SELL</v>
      </c>
      <c r="G29" s="14">
        <f t="shared" si="3"/>
        <v>-145</v>
      </c>
      <c r="H29" s="14">
        <f t="shared" si="4"/>
        <v>-420500</v>
      </c>
      <c r="I29" s="14">
        <v>-145.0</v>
      </c>
      <c r="J29" s="8">
        <v>2904.29</v>
      </c>
      <c r="K29" s="14">
        <f t="shared" si="5"/>
        <v>-421122.05</v>
      </c>
    </row>
    <row r="30">
      <c r="A30" s="14" t="s">
        <v>103</v>
      </c>
      <c r="B30" s="14">
        <v>0.0438516337821046</v>
      </c>
      <c r="C30" s="14">
        <v>1543.2</v>
      </c>
      <c r="D30" s="14">
        <v>0.0</v>
      </c>
      <c r="E30" s="14">
        <f t="shared" si="1"/>
        <v>617</v>
      </c>
      <c r="F30" s="14" t="str">
        <f t="shared" si="2"/>
        <v>BUY</v>
      </c>
      <c r="G30" s="14">
        <f t="shared" si="3"/>
        <v>617</v>
      </c>
      <c r="H30" s="14">
        <f t="shared" si="4"/>
        <v>952154.4</v>
      </c>
      <c r="I30" s="14">
        <v>617.0</v>
      </c>
      <c r="J30" s="8">
        <v>1551.9</v>
      </c>
      <c r="K30" s="14">
        <f t="shared" si="5"/>
        <v>957522.3</v>
      </c>
      <c r="L30" s="14">
        <f t="shared" ref="L30:L47" si="8">D30+I30</f>
        <v>617</v>
      </c>
    </row>
    <row r="31">
      <c r="A31" s="14" t="s">
        <v>104</v>
      </c>
      <c r="B31" s="14">
        <v>0.02216197468816281</v>
      </c>
      <c r="C31" s="14">
        <v>3199.9</v>
      </c>
      <c r="D31" s="14">
        <v>0.0</v>
      </c>
      <c r="E31" s="14">
        <f t="shared" si="1"/>
        <v>150</v>
      </c>
      <c r="F31" s="14" t="str">
        <f t="shared" si="2"/>
        <v>BUY</v>
      </c>
      <c r="G31" s="14">
        <f t="shared" si="3"/>
        <v>150</v>
      </c>
      <c r="H31" s="14">
        <f t="shared" si="4"/>
        <v>479985</v>
      </c>
      <c r="I31" s="14">
        <v>150.0</v>
      </c>
      <c r="J31" s="8">
        <v>3149.9</v>
      </c>
      <c r="K31" s="14">
        <f t="shared" si="5"/>
        <v>472485</v>
      </c>
      <c r="L31" s="14">
        <f t="shared" si="8"/>
        <v>150</v>
      </c>
    </row>
    <row r="32">
      <c r="A32" s="14" t="s">
        <v>105</v>
      </c>
      <c r="B32" s="14">
        <v>0.03825510564929618</v>
      </c>
      <c r="C32" s="14">
        <v>1547.1</v>
      </c>
      <c r="D32" s="14">
        <v>0.0</v>
      </c>
      <c r="E32" s="14">
        <f t="shared" si="1"/>
        <v>537</v>
      </c>
      <c r="F32" s="14" t="str">
        <f t="shared" si="2"/>
        <v>BUY</v>
      </c>
      <c r="G32" s="14">
        <f t="shared" si="3"/>
        <v>537</v>
      </c>
      <c r="H32" s="14">
        <f t="shared" si="4"/>
        <v>830792.7</v>
      </c>
      <c r="I32" s="14">
        <v>537.0</v>
      </c>
      <c r="J32" s="8">
        <v>1543.4</v>
      </c>
      <c r="K32" s="14">
        <f t="shared" si="5"/>
        <v>828805.8</v>
      </c>
      <c r="L32" s="14">
        <f t="shared" si="8"/>
        <v>537</v>
      </c>
    </row>
    <row r="33">
      <c r="A33" s="14" t="s">
        <v>108</v>
      </c>
      <c r="B33" s="14">
        <v>0.04791259742458579</v>
      </c>
      <c r="C33" s="14">
        <v>227.6</v>
      </c>
      <c r="D33" s="14">
        <v>3996.0</v>
      </c>
      <c r="E33" s="14">
        <f t="shared" si="1"/>
        <v>4574</v>
      </c>
      <c r="F33" s="14" t="str">
        <f t="shared" si="2"/>
        <v>BUY</v>
      </c>
      <c r="G33" s="14">
        <f t="shared" si="3"/>
        <v>578</v>
      </c>
      <c r="H33" s="14">
        <f t="shared" si="4"/>
        <v>131552.8</v>
      </c>
      <c r="I33" s="14">
        <v>578.0</v>
      </c>
      <c r="J33" s="8">
        <v>226.61</v>
      </c>
      <c r="K33" s="14">
        <f t="shared" si="5"/>
        <v>130980.58</v>
      </c>
      <c r="L33" s="14">
        <f t="shared" si="8"/>
        <v>4574</v>
      </c>
    </row>
    <row r="34">
      <c r="A34" s="14" t="s">
        <v>110</v>
      </c>
      <c r="B34" s="14">
        <v>0.03548621995964477</v>
      </c>
      <c r="C34" s="14">
        <v>2127.1</v>
      </c>
      <c r="D34" s="14">
        <v>318.0</v>
      </c>
      <c r="E34" s="14">
        <f t="shared" si="1"/>
        <v>363</v>
      </c>
      <c r="F34" s="14" t="str">
        <f t="shared" si="2"/>
        <v>BUY</v>
      </c>
      <c r="G34" s="14">
        <f t="shared" si="3"/>
        <v>45</v>
      </c>
      <c r="H34" s="14">
        <f t="shared" si="4"/>
        <v>95719.5</v>
      </c>
      <c r="I34" s="14">
        <v>45.0</v>
      </c>
      <c r="J34" s="8">
        <v>2129.0</v>
      </c>
      <c r="K34" s="14">
        <f t="shared" si="5"/>
        <v>95805</v>
      </c>
      <c r="L34" s="14">
        <f t="shared" si="8"/>
        <v>363</v>
      </c>
    </row>
    <row r="35">
      <c r="A35" s="14" t="s">
        <v>114</v>
      </c>
      <c r="B35" s="14">
        <v>0.03306641969176746</v>
      </c>
      <c r="C35" s="14">
        <v>408.25</v>
      </c>
      <c r="D35" s="14">
        <v>0.0</v>
      </c>
      <c r="E35" s="14">
        <f t="shared" si="1"/>
        <v>1760</v>
      </c>
      <c r="F35" s="14" t="str">
        <f t="shared" si="2"/>
        <v>BUY</v>
      </c>
      <c r="G35" s="14">
        <f t="shared" si="3"/>
        <v>1760</v>
      </c>
      <c r="H35" s="14">
        <f t="shared" si="4"/>
        <v>718520</v>
      </c>
      <c r="I35" s="14">
        <v>1760.0</v>
      </c>
      <c r="J35" s="8">
        <v>403.13</v>
      </c>
      <c r="K35" s="14">
        <f t="shared" si="5"/>
        <v>709508.8</v>
      </c>
      <c r="L35" s="14">
        <f t="shared" si="8"/>
        <v>1760</v>
      </c>
    </row>
    <row r="36">
      <c r="A36" s="14" t="s">
        <v>117</v>
      </c>
      <c r="B36" s="14">
        <v>0.02814794461056495</v>
      </c>
      <c r="C36" s="14">
        <v>969.95</v>
      </c>
      <c r="D36" s="14">
        <v>0.0</v>
      </c>
      <c r="E36" s="14">
        <f t="shared" si="1"/>
        <v>631</v>
      </c>
      <c r="F36" s="14" t="str">
        <f t="shared" si="2"/>
        <v>BUY</v>
      </c>
      <c r="G36" s="14">
        <f t="shared" si="3"/>
        <v>631</v>
      </c>
      <c r="H36" s="14">
        <f t="shared" si="4"/>
        <v>612038.45</v>
      </c>
      <c r="I36" s="14">
        <v>631.0</v>
      </c>
      <c r="J36" s="8">
        <v>965.23</v>
      </c>
      <c r="K36" s="14">
        <f t="shared" si="5"/>
        <v>609060.13</v>
      </c>
      <c r="L36" s="14">
        <f t="shared" si="8"/>
        <v>631</v>
      </c>
    </row>
    <row r="37">
      <c r="A37" s="14" t="s">
        <v>118</v>
      </c>
      <c r="B37" s="14">
        <v>0.0371329361984938</v>
      </c>
      <c r="C37" s="14">
        <v>5652.0</v>
      </c>
      <c r="D37" s="14">
        <v>125.0</v>
      </c>
      <c r="E37" s="14">
        <f t="shared" si="1"/>
        <v>143</v>
      </c>
      <c r="F37" s="14" t="str">
        <f t="shared" si="2"/>
        <v>BUY</v>
      </c>
      <c r="G37" s="14">
        <f t="shared" si="3"/>
        <v>18</v>
      </c>
      <c r="H37" s="14">
        <f t="shared" si="4"/>
        <v>101736</v>
      </c>
      <c r="I37" s="14">
        <v>18.0</v>
      </c>
      <c r="J37" s="8">
        <v>5591.0</v>
      </c>
      <c r="K37" s="14">
        <f t="shared" si="5"/>
        <v>100638</v>
      </c>
      <c r="L37" s="14">
        <f t="shared" si="8"/>
        <v>143</v>
      </c>
    </row>
    <row r="38">
      <c r="A38" s="14" t="s">
        <v>122</v>
      </c>
      <c r="B38" s="14">
        <v>0.02889058476610495</v>
      </c>
      <c r="C38" s="14">
        <v>331.6</v>
      </c>
      <c r="D38" s="14">
        <v>0.0</v>
      </c>
      <c r="E38" s="14">
        <f t="shared" si="1"/>
        <v>1893</v>
      </c>
      <c r="F38" s="14" t="str">
        <f t="shared" si="2"/>
        <v>BUY</v>
      </c>
      <c r="G38" s="14">
        <f t="shared" si="3"/>
        <v>1893</v>
      </c>
      <c r="H38" s="14">
        <f t="shared" si="4"/>
        <v>627718.8</v>
      </c>
      <c r="I38" s="14">
        <v>1893.0</v>
      </c>
      <c r="J38" s="8">
        <v>330.05</v>
      </c>
      <c r="K38" s="14">
        <f t="shared" si="5"/>
        <v>624784.65</v>
      </c>
      <c r="L38" s="14">
        <f t="shared" si="8"/>
        <v>1893</v>
      </c>
    </row>
    <row r="39">
      <c r="A39" s="14" t="s">
        <v>123</v>
      </c>
      <c r="B39" s="14">
        <v>0.02468225338036547</v>
      </c>
      <c r="C39" s="14">
        <v>113.22</v>
      </c>
      <c r="D39" s="14">
        <v>0.0</v>
      </c>
      <c r="E39" s="14">
        <f t="shared" si="1"/>
        <v>4737</v>
      </c>
      <c r="F39" s="14" t="str">
        <f t="shared" si="2"/>
        <v>BUY</v>
      </c>
      <c r="G39" s="14">
        <f t="shared" si="3"/>
        <v>4737</v>
      </c>
      <c r="H39" s="14">
        <f t="shared" si="4"/>
        <v>536323.14</v>
      </c>
      <c r="I39" s="14">
        <v>4737.0</v>
      </c>
      <c r="J39" s="8">
        <v>111.48</v>
      </c>
      <c r="K39" s="14">
        <f t="shared" si="5"/>
        <v>528080.76</v>
      </c>
      <c r="L39" s="14">
        <f t="shared" si="8"/>
        <v>4737</v>
      </c>
    </row>
    <row r="40">
      <c r="A40" s="14" t="s">
        <v>9</v>
      </c>
      <c r="B40" s="14">
        <v>0.05096997002700995</v>
      </c>
      <c r="C40" s="14">
        <v>4869.7</v>
      </c>
      <c r="D40" s="14">
        <v>0.0</v>
      </c>
      <c r="E40" s="14">
        <f t="shared" si="1"/>
        <v>227</v>
      </c>
      <c r="F40" s="14" t="str">
        <f t="shared" si="2"/>
        <v>BUY</v>
      </c>
      <c r="G40" s="14">
        <f t="shared" si="3"/>
        <v>227</v>
      </c>
      <c r="H40" s="14">
        <f t="shared" si="4"/>
        <v>1105421.9</v>
      </c>
      <c r="I40" s="14">
        <v>227.0</v>
      </c>
      <c r="J40" s="8">
        <v>4848.98</v>
      </c>
      <c r="K40" s="14">
        <f t="shared" si="5"/>
        <v>1100718.46</v>
      </c>
      <c r="L40" s="14">
        <f t="shared" si="8"/>
        <v>227</v>
      </c>
    </row>
    <row r="41">
      <c r="A41" s="14" t="s">
        <v>131</v>
      </c>
      <c r="B41" s="14">
        <v>0.03294679925069062</v>
      </c>
      <c r="C41" s="14">
        <v>146.92</v>
      </c>
      <c r="D41" s="14">
        <v>0.0</v>
      </c>
      <c r="E41" s="14">
        <f t="shared" si="1"/>
        <v>4873</v>
      </c>
      <c r="F41" s="14" t="str">
        <f t="shared" si="2"/>
        <v>BUY</v>
      </c>
      <c r="G41" s="14">
        <f t="shared" si="3"/>
        <v>4873</v>
      </c>
      <c r="H41" s="14">
        <f t="shared" si="4"/>
        <v>715941.16</v>
      </c>
      <c r="I41" s="14">
        <v>4873.0</v>
      </c>
      <c r="J41" s="8">
        <v>147.09</v>
      </c>
      <c r="K41" s="14">
        <f t="shared" si="5"/>
        <v>716769.57</v>
      </c>
      <c r="L41" s="14">
        <f t="shared" si="8"/>
        <v>4873</v>
      </c>
    </row>
    <row r="42">
      <c r="A42" s="14" t="s">
        <v>138</v>
      </c>
      <c r="B42" s="14">
        <v>0.0291453212129579</v>
      </c>
      <c r="C42" s="14">
        <v>310.95</v>
      </c>
      <c r="D42" s="14">
        <v>0.0</v>
      </c>
      <c r="E42" s="14">
        <f t="shared" si="1"/>
        <v>2037</v>
      </c>
      <c r="F42" s="14" t="str">
        <f t="shared" si="2"/>
        <v>BUY</v>
      </c>
      <c r="G42" s="14">
        <f t="shared" si="3"/>
        <v>2037</v>
      </c>
      <c r="H42" s="14">
        <f t="shared" si="4"/>
        <v>633405.15</v>
      </c>
      <c r="I42" s="14">
        <v>2037.0</v>
      </c>
      <c r="J42" s="8">
        <v>311.4</v>
      </c>
      <c r="K42" s="14">
        <f t="shared" si="5"/>
        <v>634321.8</v>
      </c>
      <c r="L42" s="14">
        <f t="shared" si="8"/>
        <v>2037</v>
      </c>
    </row>
    <row r="43">
      <c r="A43" s="14" t="s">
        <v>75</v>
      </c>
      <c r="B43" s="14">
        <v>0.02570174997556309</v>
      </c>
      <c r="C43" s="14">
        <v>1211.3</v>
      </c>
      <c r="D43" s="14">
        <v>0.0</v>
      </c>
      <c r="E43" s="14">
        <f t="shared" si="1"/>
        <v>461</v>
      </c>
      <c r="F43" s="14" t="str">
        <f t="shared" si="2"/>
        <v>BUY</v>
      </c>
      <c r="G43" s="14">
        <f t="shared" si="3"/>
        <v>461</v>
      </c>
      <c r="H43" s="14">
        <f t="shared" si="4"/>
        <v>558409.3</v>
      </c>
      <c r="I43" s="14">
        <v>461.0</v>
      </c>
      <c r="J43" s="8">
        <v>1214.75</v>
      </c>
      <c r="K43" s="14">
        <f t="shared" si="5"/>
        <v>559999.75</v>
      </c>
      <c r="L43" s="14">
        <f t="shared" si="8"/>
        <v>461</v>
      </c>
    </row>
    <row r="44">
      <c r="A44" s="14" t="s">
        <v>148</v>
      </c>
      <c r="B44" s="14">
        <v>0.02913225661250479</v>
      </c>
      <c r="C44" s="14">
        <v>9599.0</v>
      </c>
      <c r="D44" s="14">
        <v>63.0</v>
      </c>
      <c r="E44" s="14">
        <f t="shared" si="1"/>
        <v>66</v>
      </c>
      <c r="F44" s="14" t="str">
        <f t="shared" si="2"/>
        <v>BUY</v>
      </c>
      <c r="G44" s="14">
        <f t="shared" si="3"/>
        <v>3</v>
      </c>
      <c r="H44" s="14">
        <f t="shared" si="4"/>
        <v>28797</v>
      </c>
      <c r="I44" s="14">
        <v>3.0</v>
      </c>
      <c r="J44" s="8">
        <v>9606.0</v>
      </c>
      <c r="K44" s="14">
        <f t="shared" si="5"/>
        <v>28818</v>
      </c>
      <c r="L44" s="14">
        <f t="shared" si="8"/>
        <v>66</v>
      </c>
    </row>
    <row r="45">
      <c r="A45" s="14" t="s">
        <v>152</v>
      </c>
      <c r="B45" s="14">
        <v>0.02953645660885984</v>
      </c>
      <c r="C45" s="14">
        <v>3943.6</v>
      </c>
      <c r="D45" s="14">
        <v>0.0</v>
      </c>
      <c r="E45" s="14">
        <f t="shared" si="1"/>
        <v>163</v>
      </c>
      <c r="F45" s="14" t="str">
        <f t="shared" si="2"/>
        <v>BUY</v>
      </c>
      <c r="G45" s="14">
        <f t="shared" si="3"/>
        <v>163</v>
      </c>
      <c r="H45" s="14">
        <f t="shared" si="4"/>
        <v>642806.8</v>
      </c>
      <c r="I45" s="14">
        <v>163.0</v>
      </c>
      <c r="J45" s="8">
        <v>3953.0</v>
      </c>
      <c r="K45" s="14">
        <f t="shared" si="5"/>
        <v>644339</v>
      </c>
      <c r="L45" s="14">
        <f t="shared" si="8"/>
        <v>163</v>
      </c>
    </row>
    <row r="46">
      <c r="A46" s="14" t="s">
        <v>121</v>
      </c>
      <c r="B46" s="14">
        <v>0.03620172160792069</v>
      </c>
      <c r="C46" s="14">
        <v>1058.0</v>
      </c>
      <c r="D46" s="14">
        <v>592.0</v>
      </c>
      <c r="E46" s="14">
        <f t="shared" si="1"/>
        <v>744</v>
      </c>
      <c r="F46" s="14" t="str">
        <f t="shared" si="2"/>
        <v>BUY</v>
      </c>
      <c r="G46" s="14">
        <f t="shared" si="3"/>
        <v>152</v>
      </c>
      <c r="H46" s="14">
        <f t="shared" si="4"/>
        <v>160816</v>
      </c>
      <c r="I46" s="14">
        <v>152.0</v>
      </c>
      <c r="J46" s="8">
        <v>1067.3</v>
      </c>
      <c r="K46" s="14">
        <f t="shared" si="5"/>
        <v>162229.6</v>
      </c>
      <c r="L46" s="14">
        <f t="shared" si="8"/>
        <v>744</v>
      </c>
    </row>
    <row r="47">
      <c r="A47" s="14" t="s">
        <v>160</v>
      </c>
      <c r="B47" s="14">
        <v>0.02260238810701651</v>
      </c>
      <c r="C47" s="14">
        <v>646.0</v>
      </c>
      <c r="D47" s="14">
        <v>0.0</v>
      </c>
      <c r="E47" s="14">
        <f t="shared" si="1"/>
        <v>760</v>
      </c>
      <c r="F47" s="14" t="str">
        <f t="shared" si="2"/>
        <v>BUY</v>
      </c>
      <c r="G47" s="14">
        <f t="shared" si="3"/>
        <v>760</v>
      </c>
      <c r="H47" s="14">
        <f t="shared" si="4"/>
        <v>490960</v>
      </c>
      <c r="I47" s="14">
        <v>760.0</v>
      </c>
      <c r="J47" s="8">
        <v>652.0</v>
      </c>
      <c r="K47" s="14">
        <f t="shared" si="5"/>
        <v>495520</v>
      </c>
      <c r="L47" s="14">
        <f t="shared" si="8"/>
        <v>760</v>
      </c>
    </row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autoFilter ref="$A$3:$K$47">
    <sortState ref="A3:K47">
      <sortCondition descending="1" ref="F3:F47"/>
    </sortState>
  </autoFilter>
  <mergeCells count="2">
    <mergeCell ref="C2:G2"/>
    <mergeCell ref="I2:K2"/>
  </mergeCells>
  <conditionalFormatting sqref="C10 C45">
    <cfRule type="notContainsBlanks" dxfId="0" priority="1">
      <formula>LEN(TRIM(C10))&gt;0</formula>
    </cfRule>
  </conditionalFormatting>
  <conditionalFormatting sqref="C11 C46">
    <cfRule type="notContainsBlanks" dxfId="0" priority="2">
      <formula>LEN(TRIM(C11))&gt;0</formula>
    </cfRule>
  </conditionalFormatting>
  <conditionalFormatting sqref="C12 C47">
    <cfRule type="notContainsBlanks" dxfId="0" priority="3">
      <formula>LEN(TRIM(C12))&gt;0</formula>
    </cfRule>
  </conditionalFormatting>
  <conditionalFormatting sqref="C13">
    <cfRule type="notContainsBlanks" dxfId="0" priority="4">
      <formula>LEN(TRIM(C13))&gt;0</formula>
    </cfRule>
  </conditionalFormatting>
  <conditionalFormatting sqref="C14">
    <cfRule type="notContainsBlanks" dxfId="0" priority="5">
      <formula>LEN(TRIM(C14))&gt;0</formula>
    </cfRule>
  </conditionalFormatting>
  <conditionalFormatting sqref="C15">
    <cfRule type="notContainsBlanks" dxfId="0" priority="6">
      <formula>LEN(TRIM(C15))&gt;0</formula>
    </cfRule>
  </conditionalFormatting>
  <conditionalFormatting sqref="C16">
    <cfRule type="notContainsBlanks" dxfId="0" priority="7">
      <formula>LEN(TRIM(C16))&gt;0</formula>
    </cfRule>
  </conditionalFormatting>
  <conditionalFormatting sqref="C17">
    <cfRule type="notContainsBlanks" dxfId="0" priority="8">
      <formula>LEN(TRIM(C17))&gt;0</formula>
    </cfRule>
  </conditionalFormatting>
  <conditionalFormatting sqref="C18">
    <cfRule type="notContainsBlanks" dxfId="0" priority="9">
      <formula>LEN(TRIM(C18))&gt;0</formula>
    </cfRule>
  </conditionalFormatting>
  <conditionalFormatting sqref="C19">
    <cfRule type="notContainsBlanks" dxfId="0" priority="10">
      <formula>LEN(TRIM(C19))&gt;0</formula>
    </cfRule>
  </conditionalFormatting>
  <conditionalFormatting sqref="C20">
    <cfRule type="notContainsBlanks" dxfId="0" priority="11">
      <formula>LEN(TRIM(C20))&gt;0</formula>
    </cfRule>
  </conditionalFormatting>
  <conditionalFormatting sqref="C21">
    <cfRule type="notContainsBlanks" dxfId="0" priority="12">
      <formula>LEN(TRIM(C21))&gt;0</formula>
    </cfRule>
  </conditionalFormatting>
  <conditionalFormatting sqref="C22">
    <cfRule type="notContainsBlanks" dxfId="0" priority="13">
      <formula>LEN(TRIM(C22))&gt;0</formula>
    </cfRule>
  </conditionalFormatting>
  <conditionalFormatting sqref="C23">
    <cfRule type="notContainsBlanks" dxfId="0" priority="14">
      <formula>LEN(TRIM(C23))&gt;0</formula>
    </cfRule>
  </conditionalFormatting>
  <conditionalFormatting sqref="C24">
    <cfRule type="notContainsBlanks" dxfId="0" priority="15">
      <formula>LEN(TRIM(C24))&gt;0</formula>
    </cfRule>
  </conditionalFormatting>
  <conditionalFormatting sqref="C25">
    <cfRule type="notContainsBlanks" dxfId="0" priority="16">
      <formula>LEN(TRIM(C25))&gt;0</formula>
    </cfRule>
  </conditionalFormatting>
  <conditionalFormatting sqref="C26">
    <cfRule type="notContainsBlanks" dxfId="0" priority="17">
      <formula>LEN(TRIM(C26))&gt;0</formula>
    </cfRule>
  </conditionalFormatting>
  <conditionalFormatting sqref="C27">
    <cfRule type="notContainsBlanks" dxfId="0" priority="18">
      <formula>LEN(TRIM(C27))&gt;0</formula>
    </cfRule>
  </conditionalFormatting>
  <conditionalFormatting sqref="C28">
    <cfRule type="notContainsBlanks" dxfId="0" priority="19">
      <formula>LEN(TRIM(C28))&gt;0</formula>
    </cfRule>
  </conditionalFormatting>
  <conditionalFormatting sqref="C29">
    <cfRule type="notContainsBlanks" dxfId="0" priority="20">
      <formula>LEN(TRIM(C29))&gt;0</formula>
    </cfRule>
  </conditionalFormatting>
  <conditionalFormatting sqref="C30">
    <cfRule type="notContainsBlanks" dxfId="0" priority="21">
      <formula>LEN(TRIM(C30))&gt;0</formula>
    </cfRule>
  </conditionalFormatting>
  <conditionalFormatting sqref="C31">
    <cfRule type="notContainsBlanks" dxfId="0" priority="22">
      <formula>LEN(TRIM(C31))&gt;0</formula>
    </cfRule>
  </conditionalFormatting>
  <conditionalFormatting sqref="C32">
    <cfRule type="notContainsBlanks" dxfId="0" priority="23">
      <formula>LEN(TRIM(C32))&gt;0</formula>
    </cfRule>
  </conditionalFormatting>
  <conditionalFormatting sqref="C33">
    <cfRule type="notContainsBlanks" dxfId="0" priority="24">
      <formula>LEN(TRIM(C33))&gt;0</formula>
    </cfRule>
  </conditionalFormatting>
  <conditionalFormatting sqref="C34">
    <cfRule type="notContainsBlanks" dxfId="0" priority="25">
      <formula>LEN(TRIM(C34))&gt;0</formula>
    </cfRule>
  </conditionalFormatting>
  <conditionalFormatting sqref="C35">
    <cfRule type="notContainsBlanks" dxfId="0" priority="26">
      <formula>LEN(TRIM(C35))&gt;0</formula>
    </cfRule>
  </conditionalFormatting>
  <conditionalFormatting sqref="C36">
    <cfRule type="notContainsBlanks" dxfId="0" priority="27">
      <formula>LEN(TRIM(C36))&gt;0</formula>
    </cfRule>
  </conditionalFormatting>
  <conditionalFormatting sqref="C37">
    <cfRule type="notContainsBlanks" dxfId="0" priority="28">
      <formula>LEN(TRIM(C37))&gt;0</formula>
    </cfRule>
  </conditionalFormatting>
  <conditionalFormatting sqref="C38">
    <cfRule type="notContainsBlanks" dxfId="0" priority="29">
      <formula>LEN(TRIM(C38))&gt;0</formula>
    </cfRule>
  </conditionalFormatting>
  <conditionalFormatting sqref="C39">
    <cfRule type="notContainsBlanks" dxfId="0" priority="30">
      <formula>LEN(TRIM(C39))&gt;0</formula>
    </cfRule>
  </conditionalFormatting>
  <conditionalFormatting sqref="C4:C47">
    <cfRule type="notContainsBlanks" dxfId="0" priority="31">
      <formula>LEN(TRIM(C4))&gt;0</formula>
    </cfRule>
  </conditionalFormatting>
  <conditionalFormatting sqref="C40">
    <cfRule type="notContainsBlanks" dxfId="0" priority="32">
      <formula>LEN(TRIM(C40))&gt;0</formula>
    </cfRule>
  </conditionalFormatting>
  <conditionalFormatting sqref="C41">
    <cfRule type="notContainsBlanks" dxfId="0" priority="33">
      <formula>LEN(TRIM(C41))&gt;0</formula>
    </cfRule>
  </conditionalFormatting>
  <conditionalFormatting sqref="C42">
    <cfRule type="notContainsBlanks" dxfId="0" priority="34">
      <formula>LEN(TRIM(C42))&gt;0</formula>
    </cfRule>
  </conditionalFormatting>
  <conditionalFormatting sqref="C43">
    <cfRule type="notContainsBlanks" dxfId="0" priority="35">
      <formula>LEN(TRIM(C43))&gt;0</formula>
    </cfRule>
  </conditionalFormatting>
  <conditionalFormatting sqref="C44">
    <cfRule type="notContainsBlanks" dxfId="0" priority="36">
      <formula>LEN(TRIM(C44))&gt;0</formula>
    </cfRule>
  </conditionalFormatting>
  <conditionalFormatting sqref="C45">
    <cfRule type="notContainsBlanks" dxfId="0" priority="37">
      <formula>LEN(TRIM(C45))&gt;0</formula>
    </cfRule>
  </conditionalFormatting>
  <conditionalFormatting sqref="C46">
    <cfRule type="notContainsBlanks" dxfId="0" priority="38">
      <formula>LEN(TRIM(C46))&gt;0</formula>
    </cfRule>
  </conditionalFormatting>
  <conditionalFormatting sqref="C47">
    <cfRule type="notContainsBlanks" dxfId="0" priority="39">
      <formula>LEN(TRIM(C47))&gt;0</formula>
    </cfRule>
  </conditionalFormatting>
  <conditionalFormatting sqref="C5 C40">
    <cfRule type="notContainsBlanks" dxfId="0" priority="40">
      <formula>LEN(TRIM(C5))&gt;0</formula>
    </cfRule>
  </conditionalFormatting>
  <conditionalFormatting sqref="C6 C41">
    <cfRule type="notContainsBlanks" dxfId="0" priority="41">
      <formula>LEN(TRIM(C6))&gt;0</formula>
    </cfRule>
  </conditionalFormatting>
  <conditionalFormatting sqref="C7 C42">
    <cfRule type="notContainsBlanks" dxfId="0" priority="42">
      <formula>LEN(TRIM(C7))&gt;0</formula>
    </cfRule>
  </conditionalFormatting>
  <conditionalFormatting sqref="C8 C43">
    <cfRule type="notContainsBlanks" dxfId="0" priority="43">
      <formula>LEN(TRIM(C8))&gt;0</formula>
    </cfRule>
  </conditionalFormatting>
  <conditionalFormatting sqref="C9 C44">
    <cfRule type="notContainsBlanks" dxfId="0" priority="44">
      <formula>LEN(TRIM(C9))&gt;0</formula>
    </cfRule>
  </conditionalFormatting>
  <conditionalFormatting sqref="D10">
    <cfRule type="notContainsBlanks" dxfId="0" priority="45">
      <formula>LEN(TRIM(D10))&gt;0</formula>
    </cfRule>
  </conditionalFormatting>
  <conditionalFormatting sqref="D11">
    <cfRule type="notContainsBlanks" dxfId="0" priority="46">
      <formula>LEN(TRIM(D11))&gt;0</formula>
    </cfRule>
  </conditionalFormatting>
  <conditionalFormatting sqref="D12">
    <cfRule type="notContainsBlanks" dxfId="0" priority="47">
      <formula>LEN(TRIM(D12))&gt;0</formula>
    </cfRule>
  </conditionalFormatting>
  <conditionalFormatting sqref="D13">
    <cfRule type="notContainsBlanks" dxfId="0" priority="48">
      <formula>LEN(TRIM(D13))&gt;0</formula>
    </cfRule>
  </conditionalFormatting>
  <conditionalFormatting sqref="D14">
    <cfRule type="notContainsBlanks" dxfId="0" priority="49">
      <formula>LEN(TRIM(D14))&gt;0</formula>
    </cfRule>
  </conditionalFormatting>
  <conditionalFormatting sqref="D15">
    <cfRule type="notContainsBlanks" dxfId="0" priority="50">
      <formula>LEN(TRIM(D15))&gt;0</formula>
    </cfRule>
  </conditionalFormatting>
  <conditionalFormatting sqref="D16">
    <cfRule type="notContainsBlanks" dxfId="0" priority="51">
      <formula>LEN(TRIM(D16))&gt;0</formula>
    </cfRule>
  </conditionalFormatting>
  <conditionalFormatting sqref="D17">
    <cfRule type="notContainsBlanks" dxfId="0" priority="52">
      <formula>LEN(TRIM(D17))&gt;0</formula>
    </cfRule>
  </conditionalFormatting>
  <conditionalFormatting sqref="D18">
    <cfRule type="notContainsBlanks" dxfId="0" priority="53">
      <formula>LEN(TRIM(D18))&gt;0</formula>
    </cfRule>
  </conditionalFormatting>
  <conditionalFormatting sqref="D19">
    <cfRule type="notContainsBlanks" dxfId="0" priority="54">
      <formula>LEN(TRIM(D19))&gt;0</formula>
    </cfRule>
  </conditionalFormatting>
  <conditionalFormatting sqref="D20">
    <cfRule type="notContainsBlanks" dxfId="0" priority="55">
      <formula>LEN(TRIM(D20))&gt;0</formula>
    </cfRule>
  </conditionalFormatting>
  <conditionalFormatting sqref="D21">
    <cfRule type="notContainsBlanks" dxfId="0" priority="56">
      <formula>LEN(TRIM(D21))&gt;0</formula>
    </cfRule>
  </conditionalFormatting>
  <conditionalFormatting sqref="D22">
    <cfRule type="notContainsBlanks" dxfId="0" priority="57">
      <formula>LEN(TRIM(D22))&gt;0</formula>
    </cfRule>
  </conditionalFormatting>
  <conditionalFormatting sqref="D23">
    <cfRule type="notContainsBlanks" dxfId="0" priority="58">
      <formula>LEN(TRIM(D23))&gt;0</formula>
    </cfRule>
  </conditionalFormatting>
  <conditionalFormatting sqref="D24">
    <cfRule type="notContainsBlanks" dxfId="0" priority="59">
      <formula>LEN(TRIM(D24))&gt;0</formula>
    </cfRule>
  </conditionalFormatting>
  <conditionalFormatting sqref="D25">
    <cfRule type="notContainsBlanks" dxfId="0" priority="60">
      <formula>LEN(TRIM(D25))&gt;0</formula>
    </cfRule>
  </conditionalFormatting>
  <conditionalFormatting sqref="D26">
    <cfRule type="notContainsBlanks" dxfId="0" priority="61">
      <formula>LEN(TRIM(D26))&gt;0</formula>
    </cfRule>
  </conditionalFormatting>
  <conditionalFormatting sqref="D27">
    <cfRule type="notContainsBlanks" dxfId="0" priority="62">
      <formula>LEN(TRIM(D27))&gt;0</formula>
    </cfRule>
  </conditionalFormatting>
  <conditionalFormatting sqref="D28">
    <cfRule type="notContainsBlanks" dxfId="0" priority="63">
      <formula>LEN(TRIM(D28))&gt;0</formula>
    </cfRule>
  </conditionalFormatting>
  <conditionalFormatting sqref="D29">
    <cfRule type="notContainsBlanks" dxfId="0" priority="64">
      <formula>LEN(TRIM(D29))&gt;0</formula>
    </cfRule>
  </conditionalFormatting>
  <conditionalFormatting sqref="D30">
    <cfRule type="notContainsBlanks" dxfId="0" priority="65">
      <formula>LEN(TRIM(D30))&gt;0</formula>
    </cfRule>
  </conditionalFormatting>
  <conditionalFormatting sqref="D31">
    <cfRule type="notContainsBlanks" dxfId="0" priority="66">
      <formula>LEN(TRIM(D31))&gt;0</formula>
    </cfRule>
  </conditionalFormatting>
  <conditionalFormatting sqref="D32">
    <cfRule type="notContainsBlanks" dxfId="0" priority="67">
      <formula>LEN(TRIM(D32))&gt;0</formula>
    </cfRule>
  </conditionalFormatting>
  <conditionalFormatting sqref="D33">
    <cfRule type="notContainsBlanks" dxfId="0" priority="68">
      <formula>LEN(TRIM(D33))&gt;0</formula>
    </cfRule>
  </conditionalFormatting>
  <conditionalFormatting sqref="D34">
    <cfRule type="notContainsBlanks" dxfId="0" priority="69">
      <formula>LEN(TRIM(D34))&gt;0</formula>
    </cfRule>
  </conditionalFormatting>
  <conditionalFormatting sqref="D35">
    <cfRule type="notContainsBlanks" dxfId="0" priority="70">
      <formula>LEN(TRIM(D35))&gt;0</formula>
    </cfRule>
  </conditionalFormatting>
  <conditionalFormatting sqref="D36">
    <cfRule type="notContainsBlanks" dxfId="0" priority="71">
      <formula>LEN(TRIM(D36))&gt;0</formula>
    </cfRule>
  </conditionalFormatting>
  <conditionalFormatting sqref="D37">
    <cfRule type="notContainsBlanks" dxfId="0" priority="72">
      <formula>LEN(TRIM(D37))&gt;0</formula>
    </cfRule>
  </conditionalFormatting>
  <conditionalFormatting sqref="D38">
    <cfRule type="notContainsBlanks" dxfId="0" priority="73">
      <formula>LEN(TRIM(D38))&gt;0</formula>
    </cfRule>
  </conditionalFormatting>
  <conditionalFormatting sqref="D39">
    <cfRule type="notContainsBlanks" dxfId="0" priority="74">
      <formula>LEN(TRIM(D39))&gt;0</formula>
    </cfRule>
  </conditionalFormatting>
  <conditionalFormatting sqref="D4">
    <cfRule type="notContainsBlanks" dxfId="0" priority="75">
      <formula>LEN(TRIM(D4))&gt;0</formula>
    </cfRule>
  </conditionalFormatting>
  <conditionalFormatting sqref="D40">
    <cfRule type="notContainsBlanks" dxfId="0" priority="76">
      <formula>LEN(TRIM(D40))&gt;0</formula>
    </cfRule>
  </conditionalFormatting>
  <conditionalFormatting sqref="D41">
    <cfRule type="notContainsBlanks" dxfId="0" priority="77">
      <formula>LEN(TRIM(D41))&gt;0</formula>
    </cfRule>
  </conditionalFormatting>
  <conditionalFormatting sqref="D42">
    <cfRule type="notContainsBlanks" dxfId="0" priority="78">
      <formula>LEN(TRIM(D42))&gt;0</formula>
    </cfRule>
  </conditionalFormatting>
  <conditionalFormatting sqref="D43">
    <cfRule type="notContainsBlanks" dxfId="0" priority="79">
      <formula>LEN(TRIM(D43))&gt;0</formula>
    </cfRule>
  </conditionalFormatting>
  <conditionalFormatting sqref="D44">
    <cfRule type="notContainsBlanks" dxfId="0" priority="80">
      <formula>LEN(TRIM(D44))&gt;0</formula>
    </cfRule>
  </conditionalFormatting>
  <conditionalFormatting sqref="D45">
    <cfRule type="notContainsBlanks" dxfId="0" priority="81">
      <formula>LEN(TRIM(D45))&gt;0</formula>
    </cfRule>
  </conditionalFormatting>
  <conditionalFormatting sqref="D46">
    <cfRule type="notContainsBlanks" dxfId="0" priority="82">
      <formula>LEN(TRIM(D46))&gt;0</formula>
    </cfRule>
  </conditionalFormatting>
  <conditionalFormatting sqref="D47">
    <cfRule type="notContainsBlanks" dxfId="0" priority="83">
      <formula>LEN(TRIM(D47))&gt;0</formula>
    </cfRule>
  </conditionalFormatting>
  <conditionalFormatting sqref="D5">
    <cfRule type="notContainsBlanks" dxfId="0" priority="84">
      <formula>LEN(TRIM(D5))&gt;0</formula>
    </cfRule>
  </conditionalFormatting>
  <conditionalFormatting sqref="D6">
    <cfRule type="notContainsBlanks" dxfId="0" priority="85">
      <formula>LEN(TRIM(D6))&gt;0</formula>
    </cfRule>
  </conditionalFormatting>
  <conditionalFormatting sqref="D7">
    <cfRule type="notContainsBlanks" dxfId="0" priority="86">
      <formula>LEN(TRIM(D7))&gt;0</formula>
    </cfRule>
  </conditionalFormatting>
  <conditionalFormatting sqref="D8">
    <cfRule type="notContainsBlanks" dxfId="0" priority="87">
      <formula>LEN(TRIM(D8))&gt;0</formula>
    </cfRule>
  </conditionalFormatting>
  <conditionalFormatting sqref="D9">
    <cfRule type="notContainsBlanks" dxfId="0" priority="88">
      <formula>LEN(TRIM(D9))&gt;0</formula>
    </cfRule>
  </conditionalFormatting>
  <conditionalFormatting sqref="E10">
    <cfRule type="notContainsBlanks" dxfId="0" priority="89">
      <formula>LEN(TRIM(E10))&gt;0</formula>
    </cfRule>
  </conditionalFormatting>
  <conditionalFormatting sqref="E11">
    <cfRule type="notContainsBlanks" dxfId="0" priority="90">
      <formula>LEN(TRIM(E11))&gt;0</formula>
    </cfRule>
  </conditionalFormatting>
  <conditionalFormatting sqref="E12">
    <cfRule type="notContainsBlanks" dxfId="0" priority="91">
      <formula>LEN(TRIM(E12))&gt;0</formula>
    </cfRule>
  </conditionalFormatting>
  <conditionalFormatting sqref="E13">
    <cfRule type="notContainsBlanks" dxfId="0" priority="92">
      <formula>LEN(TRIM(E13))&gt;0</formula>
    </cfRule>
  </conditionalFormatting>
  <conditionalFormatting sqref="E14">
    <cfRule type="notContainsBlanks" dxfId="0" priority="93">
      <formula>LEN(TRIM(E14))&gt;0</formula>
    </cfRule>
  </conditionalFormatting>
  <conditionalFormatting sqref="E15">
    <cfRule type="notContainsBlanks" dxfId="0" priority="94">
      <formula>LEN(TRIM(E15))&gt;0</formula>
    </cfRule>
  </conditionalFormatting>
  <conditionalFormatting sqref="E16">
    <cfRule type="notContainsBlanks" dxfId="0" priority="95">
      <formula>LEN(TRIM(E16))&gt;0</formula>
    </cfRule>
  </conditionalFormatting>
  <conditionalFormatting sqref="E17">
    <cfRule type="notContainsBlanks" dxfId="0" priority="96">
      <formula>LEN(TRIM(E17))&gt;0</formula>
    </cfRule>
  </conditionalFormatting>
  <conditionalFormatting sqref="E18">
    <cfRule type="notContainsBlanks" dxfId="0" priority="97">
      <formula>LEN(TRIM(E18))&gt;0</formula>
    </cfRule>
  </conditionalFormatting>
  <conditionalFormatting sqref="E19">
    <cfRule type="notContainsBlanks" dxfId="0" priority="98">
      <formula>LEN(TRIM(E19))&gt;0</formula>
    </cfRule>
  </conditionalFormatting>
  <conditionalFormatting sqref="E20">
    <cfRule type="notContainsBlanks" dxfId="0" priority="99">
      <formula>LEN(TRIM(E20))&gt;0</formula>
    </cfRule>
  </conditionalFormatting>
  <conditionalFormatting sqref="E21">
    <cfRule type="notContainsBlanks" dxfId="0" priority="100">
      <formula>LEN(TRIM(E21))&gt;0</formula>
    </cfRule>
  </conditionalFormatting>
  <conditionalFormatting sqref="E22">
    <cfRule type="notContainsBlanks" dxfId="0" priority="101">
      <formula>LEN(TRIM(E22))&gt;0</formula>
    </cfRule>
  </conditionalFormatting>
  <conditionalFormatting sqref="E23">
    <cfRule type="notContainsBlanks" dxfId="0" priority="102">
      <formula>LEN(TRIM(E23))&gt;0</formula>
    </cfRule>
  </conditionalFormatting>
  <conditionalFormatting sqref="E24">
    <cfRule type="notContainsBlanks" dxfId="0" priority="103">
      <formula>LEN(TRIM(E24))&gt;0</formula>
    </cfRule>
  </conditionalFormatting>
  <conditionalFormatting sqref="E25">
    <cfRule type="notContainsBlanks" dxfId="0" priority="104">
      <formula>LEN(TRIM(E25))&gt;0</formula>
    </cfRule>
  </conditionalFormatting>
  <conditionalFormatting sqref="E26">
    <cfRule type="notContainsBlanks" dxfId="0" priority="105">
      <formula>LEN(TRIM(E26))&gt;0</formula>
    </cfRule>
  </conditionalFormatting>
  <conditionalFormatting sqref="E27">
    <cfRule type="notContainsBlanks" dxfId="0" priority="106">
      <formula>LEN(TRIM(E27))&gt;0</formula>
    </cfRule>
  </conditionalFormatting>
  <conditionalFormatting sqref="E28">
    <cfRule type="notContainsBlanks" dxfId="0" priority="107">
      <formula>LEN(TRIM(E28))&gt;0</formula>
    </cfRule>
  </conditionalFormatting>
  <conditionalFormatting sqref="E29">
    <cfRule type="notContainsBlanks" dxfId="0" priority="108">
      <formula>LEN(TRIM(E29))&gt;0</formula>
    </cfRule>
  </conditionalFormatting>
  <conditionalFormatting sqref="E30">
    <cfRule type="notContainsBlanks" dxfId="0" priority="109">
      <formula>LEN(TRIM(E30))&gt;0</formula>
    </cfRule>
  </conditionalFormatting>
  <conditionalFormatting sqref="E31">
    <cfRule type="notContainsBlanks" dxfId="0" priority="110">
      <formula>LEN(TRIM(E31))&gt;0</formula>
    </cfRule>
  </conditionalFormatting>
  <conditionalFormatting sqref="E32">
    <cfRule type="notContainsBlanks" dxfId="0" priority="111">
      <formula>LEN(TRIM(E32))&gt;0</formula>
    </cfRule>
  </conditionalFormatting>
  <conditionalFormatting sqref="E33">
    <cfRule type="notContainsBlanks" dxfId="0" priority="112">
      <formula>LEN(TRIM(E33))&gt;0</formula>
    </cfRule>
  </conditionalFormatting>
  <conditionalFormatting sqref="E34">
    <cfRule type="notContainsBlanks" dxfId="0" priority="113">
      <formula>LEN(TRIM(E34))&gt;0</formula>
    </cfRule>
  </conditionalFormatting>
  <conditionalFormatting sqref="E35">
    <cfRule type="notContainsBlanks" dxfId="0" priority="114">
      <formula>LEN(TRIM(E35))&gt;0</formula>
    </cfRule>
  </conditionalFormatting>
  <conditionalFormatting sqref="E36">
    <cfRule type="notContainsBlanks" dxfId="0" priority="115">
      <formula>LEN(TRIM(E36))&gt;0</formula>
    </cfRule>
  </conditionalFormatting>
  <conditionalFormatting sqref="E37">
    <cfRule type="notContainsBlanks" dxfId="0" priority="116">
      <formula>LEN(TRIM(E37))&gt;0</formula>
    </cfRule>
  </conditionalFormatting>
  <conditionalFormatting sqref="E38">
    <cfRule type="notContainsBlanks" dxfId="0" priority="117">
      <formula>LEN(TRIM(E38))&gt;0</formula>
    </cfRule>
  </conditionalFormatting>
  <conditionalFormatting sqref="E39">
    <cfRule type="notContainsBlanks" dxfId="0" priority="118">
      <formula>LEN(TRIM(E39))&gt;0</formula>
    </cfRule>
  </conditionalFormatting>
  <conditionalFormatting sqref="E4">
    <cfRule type="notContainsBlanks" dxfId="0" priority="119">
      <formula>LEN(TRIM(E4))&gt;0</formula>
    </cfRule>
  </conditionalFormatting>
  <conditionalFormatting sqref="E40">
    <cfRule type="notContainsBlanks" dxfId="0" priority="120">
      <formula>LEN(TRIM(E40))&gt;0</formula>
    </cfRule>
  </conditionalFormatting>
  <conditionalFormatting sqref="E41">
    <cfRule type="notContainsBlanks" dxfId="0" priority="121">
      <formula>LEN(TRIM(E41))&gt;0</formula>
    </cfRule>
  </conditionalFormatting>
  <conditionalFormatting sqref="E42">
    <cfRule type="notContainsBlanks" dxfId="0" priority="122">
      <formula>LEN(TRIM(E42))&gt;0</formula>
    </cfRule>
  </conditionalFormatting>
  <conditionalFormatting sqref="E43">
    <cfRule type="notContainsBlanks" dxfId="0" priority="123">
      <formula>LEN(TRIM(E43))&gt;0</formula>
    </cfRule>
  </conditionalFormatting>
  <conditionalFormatting sqref="E44">
    <cfRule type="notContainsBlanks" dxfId="0" priority="124">
      <formula>LEN(TRIM(E44))&gt;0</formula>
    </cfRule>
  </conditionalFormatting>
  <conditionalFormatting sqref="E45">
    <cfRule type="notContainsBlanks" dxfId="0" priority="125">
      <formula>LEN(TRIM(E45))&gt;0</formula>
    </cfRule>
  </conditionalFormatting>
  <conditionalFormatting sqref="E46">
    <cfRule type="notContainsBlanks" dxfId="0" priority="126">
      <formula>LEN(TRIM(E46))&gt;0</formula>
    </cfRule>
  </conditionalFormatting>
  <conditionalFormatting sqref="E47">
    <cfRule type="notContainsBlanks" dxfId="0" priority="127">
      <formula>LEN(TRIM(E47))&gt;0</formula>
    </cfRule>
  </conditionalFormatting>
  <conditionalFormatting sqref="E5">
    <cfRule type="notContainsBlanks" dxfId="0" priority="128">
      <formula>LEN(TRIM(E5))&gt;0</formula>
    </cfRule>
  </conditionalFormatting>
  <conditionalFormatting sqref="E6">
    <cfRule type="notContainsBlanks" dxfId="0" priority="129">
      <formula>LEN(TRIM(E6))&gt;0</formula>
    </cfRule>
  </conditionalFormatting>
  <conditionalFormatting sqref="E7">
    <cfRule type="notContainsBlanks" dxfId="0" priority="130">
      <formula>LEN(TRIM(E7))&gt;0</formula>
    </cfRule>
  </conditionalFormatting>
  <conditionalFormatting sqref="E8">
    <cfRule type="notContainsBlanks" dxfId="0" priority="131">
      <formula>LEN(TRIM(E8))&gt;0</formula>
    </cfRule>
  </conditionalFormatting>
  <conditionalFormatting sqref="E9">
    <cfRule type="notContainsBlanks" dxfId="0" priority="132">
      <formula>LEN(TRIM(E9))&gt;0</formula>
    </cfRule>
  </conditionalFormatting>
  <conditionalFormatting sqref="F10">
    <cfRule type="notContainsBlanks" dxfId="0" priority="133">
      <formula>LEN(TRIM(F10))&gt;0</formula>
    </cfRule>
  </conditionalFormatting>
  <conditionalFormatting sqref="F11">
    <cfRule type="notContainsBlanks" dxfId="0" priority="134">
      <formula>LEN(TRIM(F11))&gt;0</formula>
    </cfRule>
  </conditionalFormatting>
  <conditionalFormatting sqref="F12">
    <cfRule type="notContainsBlanks" dxfId="0" priority="135">
      <formula>LEN(TRIM(F12))&gt;0</formula>
    </cfRule>
  </conditionalFormatting>
  <conditionalFormatting sqref="F13">
    <cfRule type="notContainsBlanks" dxfId="0" priority="136">
      <formula>LEN(TRIM(F13))&gt;0</formula>
    </cfRule>
  </conditionalFormatting>
  <conditionalFormatting sqref="F14">
    <cfRule type="notContainsBlanks" dxfId="0" priority="137">
      <formula>LEN(TRIM(F14))&gt;0</formula>
    </cfRule>
  </conditionalFormatting>
  <conditionalFormatting sqref="F15">
    <cfRule type="notContainsBlanks" dxfId="0" priority="138">
      <formula>LEN(TRIM(F15))&gt;0</formula>
    </cfRule>
  </conditionalFormatting>
  <conditionalFormatting sqref="F16">
    <cfRule type="notContainsBlanks" dxfId="0" priority="139">
      <formula>LEN(TRIM(F16))&gt;0</formula>
    </cfRule>
  </conditionalFormatting>
  <conditionalFormatting sqref="F17">
    <cfRule type="notContainsBlanks" dxfId="0" priority="140">
      <formula>LEN(TRIM(F17))&gt;0</formula>
    </cfRule>
  </conditionalFormatting>
  <conditionalFormatting sqref="F18">
    <cfRule type="notContainsBlanks" dxfId="0" priority="141">
      <formula>LEN(TRIM(F18))&gt;0</formula>
    </cfRule>
  </conditionalFormatting>
  <conditionalFormatting sqref="F19">
    <cfRule type="notContainsBlanks" dxfId="0" priority="142">
      <formula>LEN(TRIM(F19))&gt;0</formula>
    </cfRule>
  </conditionalFormatting>
  <conditionalFormatting sqref="F20">
    <cfRule type="notContainsBlanks" dxfId="0" priority="143">
      <formula>LEN(TRIM(F20))&gt;0</formula>
    </cfRule>
  </conditionalFormatting>
  <conditionalFormatting sqref="F21">
    <cfRule type="notContainsBlanks" dxfId="0" priority="144">
      <formula>LEN(TRIM(F21))&gt;0</formula>
    </cfRule>
  </conditionalFormatting>
  <conditionalFormatting sqref="F22">
    <cfRule type="notContainsBlanks" dxfId="0" priority="145">
      <formula>LEN(TRIM(F22))&gt;0</formula>
    </cfRule>
  </conditionalFormatting>
  <conditionalFormatting sqref="F23">
    <cfRule type="notContainsBlanks" dxfId="0" priority="146">
      <formula>LEN(TRIM(F23))&gt;0</formula>
    </cfRule>
  </conditionalFormatting>
  <conditionalFormatting sqref="F24">
    <cfRule type="notContainsBlanks" dxfId="0" priority="147">
      <formula>LEN(TRIM(F24))&gt;0</formula>
    </cfRule>
  </conditionalFormatting>
  <conditionalFormatting sqref="F25">
    <cfRule type="notContainsBlanks" dxfId="0" priority="148">
      <formula>LEN(TRIM(F25))&gt;0</formula>
    </cfRule>
  </conditionalFormatting>
  <conditionalFormatting sqref="F26">
    <cfRule type="notContainsBlanks" dxfId="0" priority="149">
      <formula>LEN(TRIM(F26))&gt;0</formula>
    </cfRule>
  </conditionalFormatting>
  <conditionalFormatting sqref="F27">
    <cfRule type="notContainsBlanks" dxfId="0" priority="150">
      <formula>LEN(TRIM(F27))&gt;0</formula>
    </cfRule>
  </conditionalFormatting>
  <conditionalFormatting sqref="F28">
    <cfRule type="notContainsBlanks" dxfId="0" priority="151">
      <formula>LEN(TRIM(F28))&gt;0</formula>
    </cfRule>
  </conditionalFormatting>
  <conditionalFormatting sqref="F29">
    <cfRule type="notContainsBlanks" dxfId="0" priority="152">
      <formula>LEN(TRIM(F29))&gt;0</formula>
    </cfRule>
  </conditionalFormatting>
  <conditionalFormatting sqref="F30">
    <cfRule type="notContainsBlanks" dxfId="0" priority="153">
      <formula>LEN(TRIM(F30))&gt;0</formula>
    </cfRule>
  </conditionalFormatting>
  <conditionalFormatting sqref="F31">
    <cfRule type="notContainsBlanks" dxfId="0" priority="154">
      <formula>LEN(TRIM(F31))&gt;0</formula>
    </cfRule>
  </conditionalFormatting>
  <conditionalFormatting sqref="F32">
    <cfRule type="notContainsBlanks" dxfId="0" priority="155">
      <formula>LEN(TRIM(F32))&gt;0</formula>
    </cfRule>
  </conditionalFormatting>
  <conditionalFormatting sqref="F33">
    <cfRule type="notContainsBlanks" dxfId="0" priority="156">
      <formula>LEN(TRIM(F33))&gt;0</formula>
    </cfRule>
  </conditionalFormatting>
  <conditionalFormatting sqref="F34">
    <cfRule type="notContainsBlanks" dxfId="0" priority="157">
      <formula>LEN(TRIM(F34))&gt;0</formula>
    </cfRule>
  </conditionalFormatting>
  <conditionalFormatting sqref="F35">
    <cfRule type="notContainsBlanks" dxfId="0" priority="158">
      <formula>LEN(TRIM(F35))&gt;0</formula>
    </cfRule>
  </conditionalFormatting>
  <conditionalFormatting sqref="F36">
    <cfRule type="notContainsBlanks" dxfId="0" priority="159">
      <formula>LEN(TRIM(F36))&gt;0</formula>
    </cfRule>
  </conditionalFormatting>
  <conditionalFormatting sqref="F37">
    <cfRule type="notContainsBlanks" dxfId="0" priority="160">
      <formula>LEN(TRIM(F37))&gt;0</formula>
    </cfRule>
  </conditionalFormatting>
  <conditionalFormatting sqref="F38">
    <cfRule type="notContainsBlanks" dxfId="0" priority="161">
      <formula>LEN(TRIM(F38))&gt;0</formula>
    </cfRule>
  </conditionalFormatting>
  <conditionalFormatting sqref="F39">
    <cfRule type="notContainsBlanks" dxfId="0" priority="162">
      <formula>LEN(TRIM(F39))&gt;0</formula>
    </cfRule>
  </conditionalFormatting>
  <conditionalFormatting sqref="F4">
    <cfRule type="notContainsBlanks" dxfId="0" priority="163">
      <formula>LEN(TRIM(F4))&gt;0</formula>
    </cfRule>
  </conditionalFormatting>
  <conditionalFormatting sqref="F40">
    <cfRule type="notContainsBlanks" dxfId="0" priority="164">
      <formula>LEN(TRIM(F40))&gt;0</formula>
    </cfRule>
  </conditionalFormatting>
  <conditionalFormatting sqref="F41">
    <cfRule type="notContainsBlanks" dxfId="0" priority="165">
      <formula>LEN(TRIM(F41))&gt;0</formula>
    </cfRule>
  </conditionalFormatting>
  <conditionalFormatting sqref="F42">
    <cfRule type="notContainsBlanks" dxfId="0" priority="166">
      <formula>LEN(TRIM(F42))&gt;0</formula>
    </cfRule>
  </conditionalFormatting>
  <conditionalFormatting sqref="F43">
    <cfRule type="notContainsBlanks" dxfId="0" priority="167">
      <formula>LEN(TRIM(F43))&gt;0</formula>
    </cfRule>
  </conditionalFormatting>
  <conditionalFormatting sqref="F44">
    <cfRule type="notContainsBlanks" dxfId="0" priority="168">
      <formula>LEN(TRIM(F44))&gt;0</formula>
    </cfRule>
  </conditionalFormatting>
  <conditionalFormatting sqref="F45">
    <cfRule type="notContainsBlanks" dxfId="0" priority="169">
      <formula>LEN(TRIM(F45))&gt;0</formula>
    </cfRule>
  </conditionalFormatting>
  <conditionalFormatting sqref="F46">
    <cfRule type="notContainsBlanks" dxfId="0" priority="170">
      <formula>LEN(TRIM(F46))&gt;0</formula>
    </cfRule>
  </conditionalFormatting>
  <conditionalFormatting sqref="F47">
    <cfRule type="notContainsBlanks" dxfId="0" priority="171">
      <formula>LEN(TRIM(F47))&gt;0</formula>
    </cfRule>
  </conditionalFormatting>
  <conditionalFormatting sqref="F5">
    <cfRule type="notContainsBlanks" dxfId="0" priority="172">
      <formula>LEN(TRIM(F5))&gt;0</formula>
    </cfRule>
  </conditionalFormatting>
  <conditionalFormatting sqref="F6">
    <cfRule type="notContainsBlanks" dxfId="0" priority="173">
      <formula>LEN(TRIM(F6))&gt;0</formula>
    </cfRule>
  </conditionalFormatting>
  <conditionalFormatting sqref="F7">
    <cfRule type="notContainsBlanks" dxfId="0" priority="174">
      <formula>LEN(TRIM(F7))&gt;0</formula>
    </cfRule>
  </conditionalFormatting>
  <conditionalFormatting sqref="F8">
    <cfRule type="notContainsBlanks" dxfId="0" priority="175">
      <formula>LEN(TRIM(F8))&gt;0</formula>
    </cfRule>
  </conditionalFormatting>
  <conditionalFormatting sqref="F9">
    <cfRule type="notContainsBlanks" dxfId="0" priority="176">
      <formula>LEN(TRIM(F9))&gt;0</formula>
    </cfRule>
  </conditionalFormatting>
  <conditionalFormatting sqref="G10">
    <cfRule type="notContainsBlanks" dxfId="0" priority="177">
      <formula>LEN(TRIM(G10))&gt;0</formula>
    </cfRule>
  </conditionalFormatting>
  <conditionalFormatting sqref="G11">
    <cfRule type="notContainsBlanks" dxfId="0" priority="178">
      <formula>LEN(TRIM(G11))&gt;0</formula>
    </cfRule>
  </conditionalFormatting>
  <conditionalFormatting sqref="G12">
    <cfRule type="notContainsBlanks" dxfId="0" priority="179">
      <formula>LEN(TRIM(G12))&gt;0</formula>
    </cfRule>
  </conditionalFormatting>
  <conditionalFormatting sqref="G13">
    <cfRule type="notContainsBlanks" dxfId="0" priority="180">
      <formula>LEN(TRIM(G13))&gt;0</formula>
    </cfRule>
  </conditionalFormatting>
  <conditionalFormatting sqref="G14">
    <cfRule type="notContainsBlanks" dxfId="0" priority="181">
      <formula>LEN(TRIM(G14))&gt;0</formula>
    </cfRule>
  </conditionalFormatting>
  <conditionalFormatting sqref="G15">
    <cfRule type="notContainsBlanks" dxfId="0" priority="182">
      <formula>LEN(TRIM(G15))&gt;0</formula>
    </cfRule>
  </conditionalFormatting>
  <conditionalFormatting sqref="G16">
    <cfRule type="notContainsBlanks" dxfId="0" priority="183">
      <formula>LEN(TRIM(G16))&gt;0</formula>
    </cfRule>
  </conditionalFormatting>
  <conditionalFormatting sqref="G17">
    <cfRule type="notContainsBlanks" dxfId="0" priority="184">
      <formula>LEN(TRIM(G17))&gt;0</formula>
    </cfRule>
  </conditionalFormatting>
  <conditionalFormatting sqref="G18">
    <cfRule type="notContainsBlanks" dxfId="0" priority="185">
      <formula>LEN(TRIM(G18))&gt;0</formula>
    </cfRule>
  </conditionalFormatting>
  <conditionalFormatting sqref="G19">
    <cfRule type="notContainsBlanks" dxfId="0" priority="186">
      <formula>LEN(TRIM(G19))&gt;0</formula>
    </cfRule>
  </conditionalFormatting>
  <conditionalFormatting sqref="G20">
    <cfRule type="notContainsBlanks" dxfId="0" priority="187">
      <formula>LEN(TRIM(G20))&gt;0</formula>
    </cfRule>
  </conditionalFormatting>
  <conditionalFormatting sqref="G21">
    <cfRule type="notContainsBlanks" dxfId="0" priority="188">
      <formula>LEN(TRIM(G21))&gt;0</formula>
    </cfRule>
  </conditionalFormatting>
  <conditionalFormatting sqref="G22">
    <cfRule type="notContainsBlanks" dxfId="0" priority="189">
      <formula>LEN(TRIM(G22))&gt;0</formula>
    </cfRule>
  </conditionalFormatting>
  <conditionalFormatting sqref="G23">
    <cfRule type="notContainsBlanks" dxfId="0" priority="190">
      <formula>LEN(TRIM(G23))&gt;0</formula>
    </cfRule>
  </conditionalFormatting>
  <conditionalFormatting sqref="G24">
    <cfRule type="notContainsBlanks" dxfId="0" priority="191">
      <formula>LEN(TRIM(G24))&gt;0</formula>
    </cfRule>
  </conditionalFormatting>
  <conditionalFormatting sqref="G25">
    <cfRule type="notContainsBlanks" dxfId="0" priority="192">
      <formula>LEN(TRIM(G25))&gt;0</formula>
    </cfRule>
  </conditionalFormatting>
  <conditionalFormatting sqref="G26">
    <cfRule type="notContainsBlanks" dxfId="0" priority="193">
      <formula>LEN(TRIM(G26))&gt;0</formula>
    </cfRule>
  </conditionalFormatting>
  <conditionalFormatting sqref="G27">
    <cfRule type="notContainsBlanks" dxfId="0" priority="194">
      <formula>LEN(TRIM(G27))&gt;0</formula>
    </cfRule>
  </conditionalFormatting>
  <conditionalFormatting sqref="G28">
    <cfRule type="notContainsBlanks" dxfId="0" priority="195">
      <formula>LEN(TRIM(G28))&gt;0</formula>
    </cfRule>
  </conditionalFormatting>
  <conditionalFormatting sqref="G29">
    <cfRule type="notContainsBlanks" dxfId="0" priority="196">
      <formula>LEN(TRIM(G29))&gt;0</formula>
    </cfRule>
  </conditionalFormatting>
  <conditionalFormatting sqref="G30">
    <cfRule type="notContainsBlanks" dxfId="0" priority="197">
      <formula>LEN(TRIM(G30))&gt;0</formula>
    </cfRule>
  </conditionalFormatting>
  <conditionalFormatting sqref="G31">
    <cfRule type="notContainsBlanks" dxfId="0" priority="198">
      <formula>LEN(TRIM(G31))&gt;0</formula>
    </cfRule>
  </conditionalFormatting>
  <conditionalFormatting sqref="G32">
    <cfRule type="notContainsBlanks" dxfId="0" priority="199">
      <formula>LEN(TRIM(G32))&gt;0</formula>
    </cfRule>
  </conditionalFormatting>
  <conditionalFormatting sqref="G33">
    <cfRule type="notContainsBlanks" dxfId="0" priority="200">
      <formula>LEN(TRIM(G33))&gt;0</formula>
    </cfRule>
  </conditionalFormatting>
  <conditionalFormatting sqref="G34">
    <cfRule type="notContainsBlanks" dxfId="0" priority="201">
      <formula>LEN(TRIM(G34))&gt;0</formula>
    </cfRule>
  </conditionalFormatting>
  <conditionalFormatting sqref="G35">
    <cfRule type="notContainsBlanks" dxfId="0" priority="202">
      <formula>LEN(TRIM(G35))&gt;0</formula>
    </cfRule>
  </conditionalFormatting>
  <conditionalFormatting sqref="G36">
    <cfRule type="notContainsBlanks" dxfId="0" priority="203">
      <formula>LEN(TRIM(G36))&gt;0</formula>
    </cfRule>
  </conditionalFormatting>
  <conditionalFormatting sqref="G37">
    <cfRule type="notContainsBlanks" dxfId="0" priority="204">
      <formula>LEN(TRIM(G37))&gt;0</formula>
    </cfRule>
  </conditionalFormatting>
  <conditionalFormatting sqref="G38">
    <cfRule type="notContainsBlanks" dxfId="0" priority="205">
      <formula>LEN(TRIM(G38))&gt;0</formula>
    </cfRule>
  </conditionalFormatting>
  <conditionalFormatting sqref="G39">
    <cfRule type="notContainsBlanks" dxfId="0" priority="206">
      <formula>LEN(TRIM(G39))&gt;0</formula>
    </cfRule>
  </conditionalFormatting>
  <conditionalFormatting sqref="G4">
    <cfRule type="notContainsBlanks" dxfId="0" priority="207">
      <formula>LEN(TRIM(G4))&gt;0</formula>
    </cfRule>
  </conditionalFormatting>
  <conditionalFormatting sqref="G40">
    <cfRule type="notContainsBlanks" dxfId="0" priority="208">
      <formula>LEN(TRIM(G40))&gt;0</formula>
    </cfRule>
  </conditionalFormatting>
  <conditionalFormatting sqref="G41">
    <cfRule type="notContainsBlanks" dxfId="0" priority="209">
      <formula>LEN(TRIM(G41))&gt;0</formula>
    </cfRule>
  </conditionalFormatting>
  <conditionalFormatting sqref="G42">
    <cfRule type="notContainsBlanks" dxfId="0" priority="210">
      <formula>LEN(TRIM(G42))&gt;0</formula>
    </cfRule>
  </conditionalFormatting>
  <conditionalFormatting sqref="G43">
    <cfRule type="notContainsBlanks" dxfId="0" priority="211">
      <formula>LEN(TRIM(G43))&gt;0</formula>
    </cfRule>
  </conditionalFormatting>
  <conditionalFormatting sqref="G44">
    <cfRule type="notContainsBlanks" dxfId="0" priority="212">
      <formula>LEN(TRIM(G44))&gt;0</formula>
    </cfRule>
  </conditionalFormatting>
  <conditionalFormatting sqref="G45">
    <cfRule type="notContainsBlanks" dxfId="0" priority="213">
      <formula>LEN(TRIM(G45))&gt;0</formula>
    </cfRule>
  </conditionalFormatting>
  <conditionalFormatting sqref="G46">
    <cfRule type="notContainsBlanks" dxfId="0" priority="214">
      <formula>LEN(TRIM(G46))&gt;0</formula>
    </cfRule>
  </conditionalFormatting>
  <conditionalFormatting sqref="G47">
    <cfRule type="notContainsBlanks" dxfId="0" priority="215">
      <formula>LEN(TRIM(G47))&gt;0</formula>
    </cfRule>
  </conditionalFormatting>
  <conditionalFormatting sqref="G5">
    <cfRule type="notContainsBlanks" dxfId="0" priority="216">
      <formula>LEN(TRIM(G5))&gt;0</formula>
    </cfRule>
  </conditionalFormatting>
  <conditionalFormatting sqref="G6">
    <cfRule type="notContainsBlanks" dxfId="0" priority="217">
      <formula>LEN(TRIM(G6))&gt;0</formula>
    </cfRule>
  </conditionalFormatting>
  <conditionalFormatting sqref="G7">
    <cfRule type="notContainsBlanks" dxfId="0" priority="218">
      <formula>LEN(TRIM(G7))&gt;0</formula>
    </cfRule>
  </conditionalFormatting>
  <conditionalFormatting sqref="G8">
    <cfRule type="notContainsBlanks" dxfId="0" priority="219">
      <formula>LEN(TRIM(G8))&gt;0</formula>
    </cfRule>
  </conditionalFormatting>
  <conditionalFormatting sqref="G9">
    <cfRule type="notContainsBlanks" dxfId="0" priority="220">
      <formula>LEN(TRIM(G9))&gt;0</formula>
    </cfRule>
  </conditionalFormatting>
  <conditionalFormatting sqref="H10:I10">
    <cfRule type="notContainsBlanks" dxfId="1" priority="221">
      <formula>LEN(TRIM(H10))&gt;0</formula>
    </cfRule>
  </conditionalFormatting>
  <conditionalFormatting sqref="H11:I11">
    <cfRule type="notContainsBlanks" dxfId="1" priority="222">
      <formula>LEN(TRIM(H11))&gt;0</formula>
    </cfRule>
  </conditionalFormatting>
  <conditionalFormatting sqref="H12:I12">
    <cfRule type="notContainsBlanks" dxfId="1" priority="223">
      <formula>LEN(TRIM(H12))&gt;0</formula>
    </cfRule>
  </conditionalFormatting>
  <conditionalFormatting sqref="H13:I13">
    <cfRule type="notContainsBlanks" dxfId="1" priority="224">
      <formula>LEN(TRIM(H13))&gt;0</formula>
    </cfRule>
  </conditionalFormatting>
  <conditionalFormatting sqref="H14:I14">
    <cfRule type="notContainsBlanks" dxfId="1" priority="225">
      <formula>LEN(TRIM(H14))&gt;0</formula>
    </cfRule>
  </conditionalFormatting>
  <conditionalFormatting sqref="H15:I15">
    <cfRule type="notContainsBlanks" dxfId="1" priority="226">
      <formula>LEN(TRIM(H15))&gt;0</formula>
    </cfRule>
  </conditionalFormatting>
  <conditionalFormatting sqref="H16:I16">
    <cfRule type="notContainsBlanks" dxfId="1" priority="227">
      <formula>LEN(TRIM(H16))&gt;0</formula>
    </cfRule>
  </conditionalFormatting>
  <conditionalFormatting sqref="H17:I17">
    <cfRule type="notContainsBlanks" dxfId="1" priority="228">
      <formula>LEN(TRIM(H17))&gt;0</formula>
    </cfRule>
  </conditionalFormatting>
  <conditionalFormatting sqref="H18:I18">
    <cfRule type="notContainsBlanks" dxfId="1" priority="229">
      <formula>LEN(TRIM(H18))&gt;0</formula>
    </cfRule>
  </conditionalFormatting>
  <conditionalFormatting sqref="H19:I19">
    <cfRule type="notContainsBlanks" dxfId="1" priority="230">
      <formula>LEN(TRIM(H19))&gt;0</formula>
    </cfRule>
  </conditionalFormatting>
  <conditionalFormatting sqref="H20:I20">
    <cfRule type="notContainsBlanks" dxfId="1" priority="231">
      <formula>LEN(TRIM(H20))&gt;0</formula>
    </cfRule>
  </conditionalFormatting>
  <conditionalFormatting sqref="H21:I21">
    <cfRule type="notContainsBlanks" dxfId="1" priority="232">
      <formula>LEN(TRIM(H21))&gt;0</formula>
    </cfRule>
  </conditionalFormatting>
  <conditionalFormatting sqref="H22:I22">
    <cfRule type="notContainsBlanks" dxfId="1" priority="233">
      <formula>LEN(TRIM(H22))&gt;0</formula>
    </cfRule>
  </conditionalFormatting>
  <conditionalFormatting sqref="H23:I23">
    <cfRule type="notContainsBlanks" dxfId="1" priority="234">
      <formula>LEN(TRIM(H23))&gt;0</formula>
    </cfRule>
  </conditionalFormatting>
  <conditionalFormatting sqref="H24:I24">
    <cfRule type="notContainsBlanks" dxfId="1" priority="235">
      <formula>LEN(TRIM(H24))&gt;0</formula>
    </cfRule>
  </conditionalFormatting>
  <conditionalFormatting sqref="H25:I25">
    <cfRule type="notContainsBlanks" dxfId="1" priority="236">
      <formula>LEN(TRIM(H25))&gt;0</formula>
    </cfRule>
  </conditionalFormatting>
  <conditionalFormatting sqref="H26:I26">
    <cfRule type="notContainsBlanks" dxfId="1" priority="237">
      <formula>LEN(TRIM(H26))&gt;0</formula>
    </cfRule>
  </conditionalFormatting>
  <conditionalFormatting sqref="H27:I27">
    <cfRule type="notContainsBlanks" dxfId="1" priority="238">
      <formula>LEN(TRIM(H27))&gt;0</formula>
    </cfRule>
  </conditionalFormatting>
  <conditionalFormatting sqref="H28:I28">
    <cfRule type="notContainsBlanks" dxfId="1" priority="239">
      <formula>LEN(TRIM(H28))&gt;0</formula>
    </cfRule>
  </conditionalFormatting>
  <conditionalFormatting sqref="H29:I29">
    <cfRule type="notContainsBlanks" dxfId="1" priority="240">
      <formula>LEN(TRIM(H29))&gt;0</formula>
    </cfRule>
  </conditionalFormatting>
  <conditionalFormatting sqref="H30:I30">
    <cfRule type="notContainsBlanks" dxfId="1" priority="241">
      <formula>LEN(TRIM(H30))&gt;0</formula>
    </cfRule>
  </conditionalFormatting>
  <conditionalFormatting sqref="H31:I31">
    <cfRule type="notContainsBlanks" dxfId="1" priority="242">
      <formula>LEN(TRIM(H31))&gt;0</formula>
    </cfRule>
  </conditionalFormatting>
  <conditionalFormatting sqref="H32:I32">
    <cfRule type="notContainsBlanks" dxfId="1" priority="243">
      <formula>LEN(TRIM(H32))&gt;0</formula>
    </cfRule>
  </conditionalFormatting>
  <conditionalFormatting sqref="H33:I33">
    <cfRule type="notContainsBlanks" dxfId="1" priority="244">
      <formula>LEN(TRIM(H33))&gt;0</formula>
    </cfRule>
  </conditionalFormatting>
  <conditionalFormatting sqref="H34:I34">
    <cfRule type="notContainsBlanks" dxfId="1" priority="245">
      <formula>LEN(TRIM(H34))&gt;0</formula>
    </cfRule>
  </conditionalFormatting>
  <conditionalFormatting sqref="H35:I35">
    <cfRule type="notContainsBlanks" dxfId="1" priority="246">
      <formula>LEN(TRIM(H35))&gt;0</formula>
    </cfRule>
  </conditionalFormatting>
  <conditionalFormatting sqref="H36:I36">
    <cfRule type="notContainsBlanks" dxfId="1" priority="247">
      <formula>LEN(TRIM(H36))&gt;0</formula>
    </cfRule>
  </conditionalFormatting>
  <conditionalFormatting sqref="H37:I37">
    <cfRule type="notContainsBlanks" dxfId="1" priority="248">
      <formula>LEN(TRIM(H37))&gt;0</formula>
    </cfRule>
  </conditionalFormatting>
  <conditionalFormatting sqref="H38:I38">
    <cfRule type="notContainsBlanks" dxfId="1" priority="249">
      <formula>LEN(TRIM(H38))&gt;0</formula>
    </cfRule>
  </conditionalFormatting>
  <conditionalFormatting sqref="H39:I39">
    <cfRule type="notContainsBlanks" dxfId="1" priority="250">
      <formula>LEN(TRIM(H39))&gt;0</formula>
    </cfRule>
  </conditionalFormatting>
  <conditionalFormatting sqref="H4:H47 I4">
    <cfRule type="notContainsBlanks" dxfId="1" priority="251">
      <formula>LEN(TRIM(H4))&gt;0</formula>
    </cfRule>
  </conditionalFormatting>
  <conditionalFormatting sqref="H40:I40">
    <cfRule type="notContainsBlanks" dxfId="1" priority="252">
      <formula>LEN(TRIM(H40))&gt;0</formula>
    </cfRule>
  </conditionalFormatting>
  <conditionalFormatting sqref="H41:I41">
    <cfRule type="notContainsBlanks" dxfId="1" priority="253">
      <formula>LEN(TRIM(H41))&gt;0</formula>
    </cfRule>
  </conditionalFormatting>
  <conditionalFormatting sqref="H42:I42">
    <cfRule type="notContainsBlanks" dxfId="1" priority="254">
      <formula>LEN(TRIM(H42))&gt;0</formula>
    </cfRule>
  </conditionalFormatting>
  <conditionalFormatting sqref="H43:I43">
    <cfRule type="notContainsBlanks" dxfId="1" priority="255">
      <formula>LEN(TRIM(H43))&gt;0</formula>
    </cfRule>
  </conditionalFormatting>
  <conditionalFormatting sqref="H44:I44">
    <cfRule type="notContainsBlanks" dxfId="1" priority="256">
      <formula>LEN(TRIM(H44))&gt;0</formula>
    </cfRule>
  </conditionalFormatting>
  <conditionalFormatting sqref="H45:I45">
    <cfRule type="notContainsBlanks" dxfId="1" priority="257">
      <formula>LEN(TRIM(H45))&gt;0</formula>
    </cfRule>
  </conditionalFormatting>
  <conditionalFormatting sqref="H46:I46">
    <cfRule type="notContainsBlanks" dxfId="1" priority="258">
      <formula>LEN(TRIM(H46))&gt;0</formula>
    </cfRule>
  </conditionalFormatting>
  <conditionalFormatting sqref="H47:I47">
    <cfRule type="notContainsBlanks" dxfId="1" priority="259">
      <formula>LEN(TRIM(H47))&gt;0</formula>
    </cfRule>
  </conditionalFormatting>
  <conditionalFormatting sqref="H5:I5">
    <cfRule type="notContainsBlanks" dxfId="1" priority="260">
      <formula>LEN(TRIM(H5))&gt;0</formula>
    </cfRule>
  </conditionalFormatting>
  <conditionalFormatting sqref="H6:I6">
    <cfRule type="notContainsBlanks" dxfId="1" priority="261">
      <formula>LEN(TRIM(H6))&gt;0</formula>
    </cfRule>
  </conditionalFormatting>
  <conditionalFormatting sqref="H7:I7">
    <cfRule type="notContainsBlanks" dxfId="1" priority="262">
      <formula>LEN(TRIM(H7))&gt;0</formula>
    </cfRule>
  </conditionalFormatting>
  <conditionalFormatting sqref="H8:I8">
    <cfRule type="notContainsBlanks" dxfId="1" priority="263">
      <formula>LEN(TRIM(H8))&gt;0</formula>
    </cfRule>
  </conditionalFormatting>
  <conditionalFormatting sqref="H9:I9">
    <cfRule type="notContainsBlanks" dxfId="1" priority="264">
      <formula>LEN(TRIM(H9))&gt;0</formula>
    </cfRule>
  </conditionalFormatting>
  <conditionalFormatting sqref="J10">
    <cfRule type="notContainsBlanks" dxfId="1" priority="265">
      <formula>LEN(TRIM(J10))&gt;0</formula>
    </cfRule>
  </conditionalFormatting>
  <conditionalFormatting sqref="J11">
    <cfRule type="notContainsBlanks" dxfId="1" priority="266">
      <formula>LEN(TRIM(J11))&gt;0</formula>
    </cfRule>
  </conditionalFormatting>
  <conditionalFormatting sqref="J12">
    <cfRule type="notContainsBlanks" dxfId="1" priority="267">
      <formula>LEN(TRIM(J12))&gt;0</formula>
    </cfRule>
  </conditionalFormatting>
  <conditionalFormatting sqref="J13">
    <cfRule type="notContainsBlanks" dxfId="1" priority="268">
      <formula>LEN(TRIM(J13))&gt;0</formula>
    </cfRule>
  </conditionalFormatting>
  <conditionalFormatting sqref="J14">
    <cfRule type="notContainsBlanks" dxfId="1" priority="269">
      <formula>LEN(TRIM(J14))&gt;0</formula>
    </cfRule>
  </conditionalFormatting>
  <conditionalFormatting sqref="J15">
    <cfRule type="notContainsBlanks" dxfId="1" priority="270">
      <formula>LEN(TRIM(J15))&gt;0</formula>
    </cfRule>
  </conditionalFormatting>
  <conditionalFormatting sqref="J16">
    <cfRule type="notContainsBlanks" dxfId="1" priority="271">
      <formula>LEN(TRIM(J16))&gt;0</formula>
    </cfRule>
  </conditionalFormatting>
  <conditionalFormatting sqref="J17">
    <cfRule type="notContainsBlanks" dxfId="1" priority="272">
      <formula>LEN(TRIM(J17))&gt;0</formula>
    </cfRule>
  </conditionalFormatting>
  <conditionalFormatting sqref="J18">
    <cfRule type="notContainsBlanks" dxfId="1" priority="273">
      <formula>LEN(TRIM(J18))&gt;0</formula>
    </cfRule>
  </conditionalFormatting>
  <conditionalFormatting sqref="J19">
    <cfRule type="notContainsBlanks" dxfId="1" priority="274">
      <formula>LEN(TRIM(J19))&gt;0</formula>
    </cfRule>
  </conditionalFormatting>
  <conditionalFormatting sqref="J20">
    <cfRule type="notContainsBlanks" dxfId="1" priority="275">
      <formula>LEN(TRIM(J20))&gt;0</formula>
    </cfRule>
  </conditionalFormatting>
  <conditionalFormatting sqref="J21">
    <cfRule type="notContainsBlanks" dxfId="1" priority="276">
      <formula>LEN(TRIM(J21))&gt;0</formula>
    </cfRule>
  </conditionalFormatting>
  <conditionalFormatting sqref="J22">
    <cfRule type="notContainsBlanks" dxfId="1" priority="277">
      <formula>LEN(TRIM(J22))&gt;0</formula>
    </cfRule>
  </conditionalFormatting>
  <conditionalFormatting sqref="J23">
    <cfRule type="notContainsBlanks" dxfId="1" priority="278">
      <formula>LEN(TRIM(J23))&gt;0</formula>
    </cfRule>
  </conditionalFormatting>
  <conditionalFormatting sqref="J24">
    <cfRule type="notContainsBlanks" dxfId="1" priority="279">
      <formula>LEN(TRIM(J24))&gt;0</formula>
    </cfRule>
  </conditionalFormatting>
  <conditionalFormatting sqref="J25">
    <cfRule type="notContainsBlanks" dxfId="1" priority="280">
      <formula>LEN(TRIM(J25))&gt;0</formula>
    </cfRule>
  </conditionalFormatting>
  <conditionalFormatting sqref="J26">
    <cfRule type="notContainsBlanks" dxfId="1" priority="281">
      <formula>LEN(TRIM(J26))&gt;0</formula>
    </cfRule>
  </conditionalFormatting>
  <conditionalFormatting sqref="J27">
    <cfRule type="notContainsBlanks" dxfId="1" priority="282">
      <formula>LEN(TRIM(J27))&gt;0</formula>
    </cfRule>
  </conditionalFormatting>
  <conditionalFormatting sqref="J28">
    <cfRule type="notContainsBlanks" dxfId="1" priority="283">
      <formula>LEN(TRIM(J28))&gt;0</formula>
    </cfRule>
  </conditionalFormatting>
  <conditionalFormatting sqref="J29">
    <cfRule type="notContainsBlanks" dxfId="1" priority="284">
      <formula>LEN(TRIM(J29))&gt;0</formula>
    </cfRule>
  </conditionalFormatting>
  <conditionalFormatting sqref="J30">
    <cfRule type="notContainsBlanks" dxfId="1" priority="285">
      <formula>LEN(TRIM(J30))&gt;0</formula>
    </cfRule>
  </conditionalFormatting>
  <conditionalFormatting sqref="J31">
    <cfRule type="notContainsBlanks" dxfId="1" priority="286">
      <formula>LEN(TRIM(J31))&gt;0</formula>
    </cfRule>
  </conditionalFormatting>
  <conditionalFormatting sqref="J32">
    <cfRule type="notContainsBlanks" dxfId="1" priority="287">
      <formula>LEN(TRIM(J32))&gt;0</formula>
    </cfRule>
  </conditionalFormatting>
  <conditionalFormatting sqref="J33">
    <cfRule type="notContainsBlanks" dxfId="1" priority="288">
      <formula>LEN(TRIM(J33))&gt;0</formula>
    </cfRule>
  </conditionalFormatting>
  <conditionalFormatting sqref="J34">
    <cfRule type="notContainsBlanks" dxfId="1" priority="289">
      <formula>LEN(TRIM(J34))&gt;0</formula>
    </cfRule>
  </conditionalFormatting>
  <conditionalFormatting sqref="J35">
    <cfRule type="notContainsBlanks" dxfId="1" priority="290">
      <formula>LEN(TRIM(J35))&gt;0</formula>
    </cfRule>
  </conditionalFormatting>
  <conditionalFormatting sqref="J36">
    <cfRule type="notContainsBlanks" dxfId="1" priority="291">
      <formula>LEN(TRIM(J36))&gt;0</formula>
    </cfRule>
  </conditionalFormatting>
  <conditionalFormatting sqref="J37">
    <cfRule type="notContainsBlanks" dxfId="1" priority="292">
      <formula>LEN(TRIM(J37))&gt;0</formula>
    </cfRule>
  </conditionalFormatting>
  <conditionalFormatting sqref="J38">
    <cfRule type="notContainsBlanks" dxfId="1" priority="293">
      <formula>LEN(TRIM(J38))&gt;0</formula>
    </cfRule>
  </conditionalFormatting>
  <conditionalFormatting sqref="J39">
    <cfRule type="notContainsBlanks" dxfId="1" priority="294">
      <formula>LEN(TRIM(J39))&gt;0</formula>
    </cfRule>
  </conditionalFormatting>
  <conditionalFormatting sqref="J4">
    <cfRule type="notContainsBlanks" dxfId="1" priority="295">
      <formula>LEN(TRIM(J4))&gt;0</formula>
    </cfRule>
  </conditionalFormatting>
  <conditionalFormatting sqref="J40">
    <cfRule type="notContainsBlanks" dxfId="1" priority="296">
      <formula>LEN(TRIM(J40))&gt;0</formula>
    </cfRule>
  </conditionalFormatting>
  <conditionalFormatting sqref="J41">
    <cfRule type="notContainsBlanks" dxfId="1" priority="297">
      <formula>LEN(TRIM(J41))&gt;0</formula>
    </cfRule>
  </conditionalFormatting>
  <conditionalFormatting sqref="J42">
    <cfRule type="notContainsBlanks" dxfId="1" priority="298">
      <formula>LEN(TRIM(J42))&gt;0</formula>
    </cfRule>
  </conditionalFormatting>
  <conditionalFormatting sqref="J43">
    <cfRule type="notContainsBlanks" dxfId="1" priority="299">
      <formula>LEN(TRIM(J43))&gt;0</formula>
    </cfRule>
  </conditionalFormatting>
  <conditionalFormatting sqref="J44">
    <cfRule type="notContainsBlanks" dxfId="1" priority="300">
      <formula>LEN(TRIM(J44))&gt;0</formula>
    </cfRule>
  </conditionalFormatting>
  <conditionalFormatting sqref="J45">
    <cfRule type="notContainsBlanks" dxfId="1" priority="301">
      <formula>LEN(TRIM(J45))&gt;0</formula>
    </cfRule>
  </conditionalFormatting>
  <conditionalFormatting sqref="J46">
    <cfRule type="notContainsBlanks" dxfId="1" priority="302">
      <formula>LEN(TRIM(J46))&gt;0</formula>
    </cfRule>
  </conditionalFormatting>
  <conditionalFormatting sqref="J47">
    <cfRule type="notContainsBlanks" dxfId="1" priority="303">
      <formula>LEN(TRIM(J47))&gt;0</formula>
    </cfRule>
  </conditionalFormatting>
  <conditionalFormatting sqref="J5">
    <cfRule type="notContainsBlanks" dxfId="1" priority="304">
      <formula>LEN(TRIM(J5))&gt;0</formula>
    </cfRule>
  </conditionalFormatting>
  <conditionalFormatting sqref="J6">
    <cfRule type="notContainsBlanks" dxfId="1" priority="305">
      <formula>LEN(TRIM(J6))&gt;0</formula>
    </cfRule>
  </conditionalFormatting>
  <conditionalFormatting sqref="J7">
    <cfRule type="notContainsBlanks" dxfId="1" priority="306">
      <formula>LEN(TRIM(J7))&gt;0</formula>
    </cfRule>
  </conditionalFormatting>
  <conditionalFormatting sqref="J8">
    <cfRule type="notContainsBlanks" dxfId="1" priority="307">
      <formula>LEN(TRIM(J8))&gt;0</formula>
    </cfRule>
  </conditionalFormatting>
  <conditionalFormatting sqref="J9">
    <cfRule type="notContainsBlanks" dxfId="1" priority="308">
      <formula>LEN(TRIM(J9))&gt;0</formula>
    </cfRule>
  </conditionalFormatting>
  <conditionalFormatting sqref="K10">
    <cfRule type="notContainsBlanks" dxfId="1" priority="309">
      <formula>LEN(TRIM(K10))&gt;0</formula>
    </cfRule>
  </conditionalFormatting>
  <conditionalFormatting sqref="K11">
    <cfRule type="notContainsBlanks" dxfId="1" priority="310">
      <formula>LEN(TRIM(K11))&gt;0</formula>
    </cfRule>
  </conditionalFormatting>
  <conditionalFormatting sqref="K12">
    <cfRule type="notContainsBlanks" dxfId="1" priority="311">
      <formula>LEN(TRIM(K12))&gt;0</formula>
    </cfRule>
  </conditionalFormatting>
  <conditionalFormatting sqref="K13">
    <cfRule type="notContainsBlanks" dxfId="1" priority="312">
      <formula>LEN(TRIM(K13))&gt;0</formula>
    </cfRule>
  </conditionalFormatting>
  <conditionalFormatting sqref="K14">
    <cfRule type="notContainsBlanks" dxfId="1" priority="313">
      <formula>LEN(TRIM(K14))&gt;0</formula>
    </cfRule>
  </conditionalFormatting>
  <conditionalFormatting sqref="K15">
    <cfRule type="notContainsBlanks" dxfId="1" priority="314">
      <formula>LEN(TRIM(K15))&gt;0</formula>
    </cfRule>
  </conditionalFormatting>
  <conditionalFormatting sqref="K16">
    <cfRule type="notContainsBlanks" dxfId="1" priority="315">
      <formula>LEN(TRIM(K16))&gt;0</formula>
    </cfRule>
  </conditionalFormatting>
  <conditionalFormatting sqref="K17">
    <cfRule type="notContainsBlanks" dxfId="1" priority="316">
      <formula>LEN(TRIM(K17))&gt;0</formula>
    </cfRule>
  </conditionalFormatting>
  <conditionalFormatting sqref="K18">
    <cfRule type="notContainsBlanks" dxfId="1" priority="317">
      <formula>LEN(TRIM(K18))&gt;0</formula>
    </cfRule>
  </conditionalFormatting>
  <conditionalFormatting sqref="K19">
    <cfRule type="notContainsBlanks" dxfId="1" priority="318">
      <formula>LEN(TRIM(K19))&gt;0</formula>
    </cfRule>
  </conditionalFormatting>
  <conditionalFormatting sqref="K20">
    <cfRule type="notContainsBlanks" dxfId="1" priority="319">
      <formula>LEN(TRIM(K20))&gt;0</formula>
    </cfRule>
  </conditionalFormatting>
  <conditionalFormatting sqref="K21">
    <cfRule type="notContainsBlanks" dxfId="1" priority="320">
      <formula>LEN(TRIM(K21))&gt;0</formula>
    </cfRule>
  </conditionalFormatting>
  <conditionalFormatting sqref="K22">
    <cfRule type="notContainsBlanks" dxfId="1" priority="321">
      <formula>LEN(TRIM(K22))&gt;0</formula>
    </cfRule>
  </conditionalFormatting>
  <conditionalFormatting sqref="K23">
    <cfRule type="notContainsBlanks" dxfId="1" priority="322">
      <formula>LEN(TRIM(K23))&gt;0</formula>
    </cfRule>
  </conditionalFormatting>
  <conditionalFormatting sqref="K24">
    <cfRule type="notContainsBlanks" dxfId="1" priority="323">
      <formula>LEN(TRIM(K24))&gt;0</formula>
    </cfRule>
  </conditionalFormatting>
  <conditionalFormatting sqref="K25">
    <cfRule type="notContainsBlanks" dxfId="1" priority="324">
      <formula>LEN(TRIM(K25))&gt;0</formula>
    </cfRule>
  </conditionalFormatting>
  <conditionalFormatting sqref="K26">
    <cfRule type="notContainsBlanks" dxfId="1" priority="325">
      <formula>LEN(TRIM(K26))&gt;0</formula>
    </cfRule>
  </conditionalFormatting>
  <conditionalFormatting sqref="K27">
    <cfRule type="notContainsBlanks" dxfId="1" priority="326">
      <formula>LEN(TRIM(K27))&gt;0</formula>
    </cfRule>
  </conditionalFormatting>
  <conditionalFormatting sqref="K28">
    <cfRule type="notContainsBlanks" dxfId="1" priority="327">
      <formula>LEN(TRIM(K28))&gt;0</formula>
    </cfRule>
  </conditionalFormatting>
  <conditionalFormatting sqref="K29">
    <cfRule type="notContainsBlanks" dxfId="1" priority="328">
      <formula>LEN(TRIM(K29))&gt;0</formula>
    </cfRule>
  </conditionalFormatting>
  <conditionalFormatting sqref="K30">
    <cfRule type="notContainsBlanks" dxfId="1" priority="329">
      <formula>LEN(TRIM(K30))&gt;0</formula>
    </cfRule>
  </conditionalFormatting>
  <conditionalFormatting sqref="K31">
    <cfRule type="notContainsBlanks" dxfId="1" priority="330">
      <formula>LEN(TRIM(K31))&gt;0</formula>
    </cfRule>
  </conditionalFormatting>
  <conditionalFormatting sqref="K32">
    <cfRule type="notContainsBlanks" dxfId="1" priority="331">
      <formula>LEN(TRIM(K32))&gt;0</formula>
    </cfRule>
  </conditionalFormatting>
  <conditionalFormatting sqref="K33">
    <cfRule type="notContainsBlanks" dxfId="1" priority="332">
      <formula>LEN(TRIM(K33))&gt;0</formula>
    </cfRule>
  </conditionalFormatting>
  <conditionalFormatting sqref="K34">
    <cfRule type="notContainsBlanks" dxfId="1" priority="333">
      <formula>LEN(TRIM(K34))&gt;0</formula>
    </cfRule>
  </conditionalFormatting>
  <conditionalFormatting sqref="K35">
    <cfRule type="notContainsBlanks" dxfId="1" priority="334">
      <formula>LEN(TRIM(K35))&gt;0</formula>
    </cfRule>
  </conditionalFormatting>
  <conditionalFormatting sqref="K36">
    <cfRule type="notContainsBlanks" dxfId="1" priority="335">
      <formula>LEN(TRIM(K36))&gt;0</formula>
    </cfRule>
  </conditionalFormatting>
  <conditionalFormatting sqref="K37">
    <cfRule type="notContainsBlanks" dxfId="1" priority="336">
      <formula>LEN(TRIM(K37))&gt;0</formula>
    </cfRule>
  </conditionalFormatting>
  <conditionalFormatting sqref="K38">
    <cfRule type="notContainsBlanks" dxfId="1" priority="337">
      <formula>LEN(TRIM(K38))&gt;0</formula>
    </cfRule>
  </conditionalFormatting>
  <conditionalFormatting sqref="K39">
    <cfRule type="notContainsBlanks" dxfId="1" priority="338">
      <formula>LEN(TRIM(K39))&gt;0</formula>
    </cfRule>
  </conditionalFormatting>
  <conditionalFormatting sqref="K4">
    <cfRule type="notContainsBlanks" dxfId="1" priority="339">
      <formula>LEN(TRIM(K4))&gt;0</formula>
    </cfRule>
  </conditionalFormatting>
  <conditionalFormatting sqref="K40">
    <cfRule type="notContainsBlanks" dxfId="1" priority="340">
      <formula>LEN(TRIM(K40))&gt;0</formula>
    </cfRule>
  </conditionalFormatting>
  <conditionalFormatting sqref="K41">
    <cfRule type="notContainsBlanks" dxfId="1" priority="341">
      <formula>LEN(TRIM(K41))&gt;0</formula>
    </cfRule>
  </conditionalFormatting>
  <conditionalFormatting sqref="K42">
    <cfRule type="notContainsBlanks" dxfId="1" priority="342">
      <formula>LEN(TRIM(K42))&gt;0</formula>
    </cfRule>
  </conditionalFormatting>
  <conditionalFormatting sqref="K43">
    <cfRule type="notContainsBlanks" dxfId="1" priority="343">
      <formula>LEN(TRIM(K43))&gt;0</formula>
    </cfRule>
  </conditionalFormatting>
  <conditionalFormatting sqref="K44">
    <cfRule type="notContainsBlanks" dxfId="1" priority="344">
      <formula>LEN(TRIM(K44))&gt;0</formula>
    </cfRule>
  </conditionalFormatting>
  <conditionalFormatting sqref="K45">
    <cfRule type="notContainsBlanks" dxfId="1" priority="345">
      <formula>LEN(TRIM(K45))&gt;0</formula>
    </cfRule>
  </conditionalFormatting>
  <conditionalFormatting sqref="K46">
    <cfRule type="notContainsBlanks" dxfId="1" priority="346">
      <formula>LEN(TRIM(K46))&gt;0</formula>
    </cfRule>
  </conditionalFormatting>
  <conditionalFormatting sqref="K47">
    <cfRule type="notContainsBlanks" dxfId="1" priority="347">
      <formula>LEN(TRIM(K47))&gt;0</formula>
    </cfRule>
  </conditionalFormatting>
  <conditionalFormatting sqref="K5">
    <cfRule type="notContainsBlanks" dxfId="1" priority="348">
      <formula>LEN(TRIM(K5))&gt;0</formula>
    </cfRule>
  </conditionalFormatting>
  <conditionalFormatting sqref="K6">
    <cfRule type="notContainsBlanks" dxfId="1" priority="349">
      <formula>LEN(TRIM(K6))&gt;0</formula>
    </cfRule>
  </conditionalFormatting>
  <conditionalFormatting sqref="K7">
    <cfRule type="notContainsBlanks" dxfId="1" priority="350">
      <formula>LEN(TRIM(K7))&gt;0</formula>
    </cfRule>
  </conditionalFormatting>
  <conditionalFormatting sqref="K8">
    <cfRule type="notContainsBlanks" dxfId="1" priority="351">
      <formula>LEN(TRIM(K8))&gt;0</formula>
    </cfRule>
  </conditionalFormatting>
  <conditionalFormatting sqref="K9">
    <cfRule type="notContainsBlanks" dxfId="1" priority="352">
      <formula>LEN(TRIM(K9))&gt;0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1" width="15.71"/>
    <col customWidth="1" min="12" max="14" width="8.71"/>
    <col customWidth="1" min="15" max="15" width="13.14"/>
    <col customWidth="1" min="16" max="27" width="8.71"/>
  </cols>
  <sheetData>
    <row r="1">
      <c r="A1" s="2" t="s">
        <v>1</v>
      </c>
      <c r="B1" s="8">
        <v>9632892.0</v>
      </c>
      <c r="D1" s="14">
        <f>sum(N4:N24)</f>
        <v>0</v>
      </c>
    </row>
    <row r="2">
      <c r="C2" s="5" t="s">
        <v>6</v>
      </c>
      <c r="D2" s="6"/>
      <c r="E2" s="6"/>
      <c r="F2" s="6"/>
      <c r="G2" s="7"/>
      <c r="H2" s="9"/>
      <c r="I2" s="5" t="s">
        <v>13</v>
      </c>
      <c r="J2" s="6"/>
      <c r="K2" s="7"/>
    </row>
    <row r="3">
      <c r="A3" s="2" t="s">
        <v>17</v>
      </c>
      <c r="B3" s="2" t="s">
        <v>18</v>
      </c>
      <c r="C3" s="2" t="s">
        <v>20</v>
      </c>
      <c r="D3" s="2" t="s">
        <v>21</v>
      </c>
      <c r="E3" s="2" t="s">
        <v>23</v>
      </c>
      <c r="F3" s="2" t="s">
        <v>25</v>
      </c>
      <c r="G3" s="2" t="s">
        <v>26</v>
      </c>
      <c r="H3" s="2"/>
      <c r="I3" s="2" t="s">
        <v>27</v>
      </c>
      <c r="J3" s="2" t="s">
        <v>29</v>
      </c>
      <c r="K3" s="2" t="s">
        <v>30</v>
      </c>
      <c r="L3" s="8" t="s">
        <v>40</v>
      </c>
    </row>
    <row r="4">
      <c r="A4" s="14" t="s">
        <v>41</v>
      </c>
      <c r="B4" s="14">
        <v>0.05</v>
      </c>
      <c r="C4" s="14">
        <v>205.19</v>
      </c>
      <c r="D4" s="14">
        <v>2416.0</v>
      </c>
      <c r="E4" s="14">
        <f t="shared" ref="E4:E24" si="1">ROUND($B$1 * B4 / C4, 0)</f>
        <v>2347</v>
      </c>
      <c r="F4" s="14" t="str">
        <f t="shared" ref="F4:F24" si="2">IF(G4&gt;0, "BUY", IF(G4&lt;0, "SELL", "FLAT"))</f>
        <v>SELL</v>
      </c>
      <c r="G4" s="14">
        <f t="shared" ref="G4:G24" si="3">E4-D4</f>
        <v>-69</v>
      </c>
      <c r="H4" s="14">
        <f t="shared" ref="H4:H24" si="4">C4*G4</f>
        <v>-14158.11</v>
      </c>
      <c r="I4" s="14">
        <v>-69.0</v>
      </c>
      <c r="J4" s="8">
        <v>201.12</v>
      </c>
      <c r="K4" s="14">
        <f t="shared" ref="K4:K24" si="5">J4 * I4</f>
        <v>-13877.28</v>
      </c>
      <c r="L4" s="14">
        <f t="shared" ref="L4:L16" si="6">D4+I4</f>
        <v>2347</v>
      </c>
    </row>
    <row r="5">
      <c r="A5" s="14" t="s">
        <v>50</v>
      </c>
      <c r="B5" s="14">
        <v>0.05</v>
      </c>
      <c r="C5" s="14">
        <v>1549.2</v>
      </c>
      <c r="D5" s="14">
        <v>355.0</v>
      </c>
      <c r="E5" s="14">
        <f t="shared" si="1"/>
        <v>311</v>
      </c>
      <c r="F5" s="14" t="str">
        <f t="shared" si="2"/>
        <v>SELL</v>
      </c>
      <c r="G5" s="14">
        <f t="shared" si="3"/>
        <v>-44</v>
      </c>
      <c r="H5" s="14">
        <f t="shared" si="4"/>
        <v>-68164.8</v>
      </c>
      <c r="I5" s="14">
        <v>-44.0</v>
      </c>
      <c r="J5" s="8">
        <v>1558.9</v>
      </c>
      <c r="K5" s="14">
        <f t="shared" si="5"/>
        <v>-68591.6</v>
      </c>
      <c r="L5" s="14">
        <f t="shared" si="6"/>
        <v>311</v>
      </c>
    </row>
    <row r="6">
      <c r="A6" s="14" t="s">
        <v>56</v>
      </c>
      <c r="B6" s="14">
        <v>0.05</v>
      </c>
      <c r="C6" s="14">
        <v>1617.9</v>
      </c>
      <c r="D6" s="14">
        <v>314.0</v>
      </c>
      <c r="E6" s="14">
        <f t="shared" si="1"/>
        <v>298</v>
      </c>
      <c r="F6" s="14" t="str">
        <f t="shared" si="2"/>
        <v>SELL</v>
      </c>
      <c r="G6" s="14">
        <f t="shared" si="3"/>
        <v>-16</v>
      </c>
      <c r="H6" s="14">
        <f t="shared" si="4"/>
        <v>-25886.4</v>
      </c>
      <c r="I6" s="14">
        <v>-16.0</v>
      </c>
      <c r="J6" s="8">
        <v>1639.2</v>
      </c>
      <c r="K6" s="14">
        <f t="shared" si="5"/>
        <v>-26227.2</v>
      </c>
      <c r="L6" s="14">
        <f t="shared" si="6"/>
        <v>298</v>
      </c>
    </row>
    <row r="7">
      <c r="A7" s="14" t="s">
        <v>59</v>
      </c>
      <c r="B7" s="14">
        <v>0.05</v>
      </c>
      <c r="C7" s="14">
        <v>1433.6</v>
      </c>
      <c r="D7" s="14">
        <v>339.0</v>
      </c>
      <c r="E7" s="14">
        <f t="shared" si="1"/>
        <v>336</v>
      </c>
      <c r="F7" s="14" t="str">
        <f t="shared" si="2"/>
        <v>SELL</v>
      </c>
      <c r="G7" s="14">
        <f t="shared" si="3"/>
        <v>-3</v>
      </c>
      <c r="H7" s="14">
        <f t="shared" si="4"/>
        <v>-4300.8</v>
      </c>
      <c r="I7" s="14">
        <v>-3.0</v>
      </c>
      <c r="J7" s="8">
        <v>1431.7</v>
      </c>
      <c r="K7" s="14">
        <f t="shared" si="5"/>
        <v>-4295.1</v>
      </c>
      <c r="L7" s="14">
        <f t="shared" si="6"/>
        <v>336</v>
      </c>
    </row>
    <row r="8">
      <c r="A8" s="14" t="s">
        <v>61</v>
      </c>
      <c r="B8" s="14">
        <v>0.05</v>
      </c>
      <c r="C8" s="14">
        <v>78.75</v>
      </c>
      <c r="D8" s="14">
        <v>6207.0</v>
      </c>
      <c r="E8" s="14">
        <f t="shared" si="1"/>
        <v>6116</v>
      </c>
      <c r="F8" s="14" t="str">
        <f t="shared" si="2"/>
        <v>SELL</v>
      </c>
      <c r="G8" s="14">
        <f t="shared" si="3"/>
        <v>-91</v>
      </c>
      <c r="H8" s="14">
        <f t="shared" si="4"/>
        <v>-7166.25</v>
      </c>
      <c r="I8" s="14">
        <v>-91.0</v>
      </c>
      <c r="J8" s="8">
        <v>79.52</v>
      </c>
      <c r="K8" s="14">
        <f t="shared" si="5"/>
        <v>-7236.32</v>
      </c>
      <c r="L8" s="14">
        <f t="shared" si="6"/>
        <v>6116</v>
      </c>
    </row>
    <row r="9">
      <c r="A9" s="14" t="s">
        <v>64</v>
      </c>
      <c r="B9" s="14">
        <v>0.05</v>
      </c>
      <c r="C9" s="14">
        <v>21.49</v>
      </c>
      <c r="D9" s="14">
        <v>23041.0</v>
      </c>
      <c r="E9" s="14">
        <f t="shared" si="1"/>
        <v>22412</v>
      </c>
      <c r="F9" s="14" t="str">
        <f t="shared" si="2"/>
        <v>SELL</v>
      </c>
      <c r="G9" s="14">
        <f t="shared" si="3"/>
        <v>-629</v>
      </c>
      <c r="H9" s="14">
        <f t="shared" si="4"/>
        <v>-13517.21</v>
      </c>
      <c r="I9" s="14">
        <v>-629.0</v>
      </c>
      <c r="J9" s="8">
        <v>21.36</v>
      </c>
      <c r="K9" s="14">
        <f t="shared" si="5"/>
        <v>-13435.44</v>
      </c>
      <c r="L9" s="14">
        <f t="shared" si="6"/>
        <v>22412</v>
      </c>
    </row>
    <row r="10">
      <c r="A10" s="14" t="s">
        <v>68</v>
      </c>
      <c r="B10" s="14">
        <v>0.05</v>
      </c>
      <c r="C10" s="14">
        <v>1819.0</v>
      </c>
      <c r="D10" s="14">
        <v>280.0</v>
      </c>
      <c r="E10" s="14">
        <f t="shared" si="1"/>
        <v>265</v>
      </c>
      <c r="F10" s="14" t="str">
        <f t="shared" si="2"/>
        <v>SELL</v>
      </c>
      <c r="G10" s="14">
        <f t="shared" si="3"/>
        <v>-15</v>
      </c>
      <c r="H10" s="14">
        <f t="shared" si="4"/>
        <v>-27285</v>
      </c>
      <c r="I10" s="14">
        <v>-15.0</v>
      </c>
      <c r="J10" s="8">
        <v>1787.1</v>
      </c>
      <c r="K10" s="14">
        <f t="shared" si="5"/>
        <v>-26806.5</v>
      </c>
      <c r="L10" s="14">
        <f t="shared" si="6"/>
        <v>265</v>
      </c>
    </row>
    <row r="11">
      <c r="A11" s="14" t="s">
        <v>83</v>
      </c>
      <c r="B11" s="14">
        <v>0.05</v>
      </c>
      <c r="C11" s="14">
        <v>321.05</v>
      </c>
      <c r="D11" s="14">
        <v>1523.0</v>
      </c>
      <c r="E11" s="14">
        <f t="shared" si="1"/>
        <v>1500</v>
      </c>
      <c r="F11" s="14" t="str">
        <f t="shared" si="2"/>
        <v>SELL</v>
      </c>
      <c r="G11" s="14">
        <f t="shared" si="3"/>
        <v>-23</v>
      </c>
      <c r="H11" s="14">
        <f t="shared" si="4"/>
        <v>-7384.15</v>
      </c>
      <c r="I11" s="14">
        <v>-23.0</v>
      </c>
      <c r="J11" s="8">
        <v>329.85</v>
      </c>
      <c r="K11" s="14">
        <f t="shared" si="5"/>
        <v>-7586.55</v>
      </c>
      <c r="L11" s="14">
        <f t="shared" si="6"/>
        <v>1500</v>
      </c>
    </row>
    <row r="12">
      <c r="A12" s="14" t="s">
        <v>85</v>
      </c>
      <c r="B12" s="14">
        <v>0.05</v>
      </c>
      <c r="C12" s="14">
        <v>967.7</v>
      </c>
      <c r="D12" s="14">
        <v>527.0</v>
      </c>
      <c r="E12" s="14">
        <f t="shared" si="1"/>
        <v>498</v>
      </c>
      <c r="F12" s="14" t="str">
        <f t="shared" si="2"/>
        <v>SELL</v>
      </c>
      <c r="G12" s="14">
        <f t="shared" si="3"/>
        <v>-29</v>
      </c>
      <c r="H12" s="14">
        <f t="shared" si="4"/>
        <v>-28063.3</v>
      </c>
      <c r="I12" s="14">
        <v>-29.0</v>
      </c>
      <c r="J12" s="8">
        <v>959.85</v>
      </c>
      <c r="K12" s="14">
        <f t="shared" si="5"/>
        <v>-27835.65</v>
      </c>
      <c r="L12" s="14">
        <f t="shared" si="6"/>
        <v>498</v>
      </c>
    </row>
    <row r="13">
      <c r="A13" s="14" t="s">
        <v>89</v>
      </c>
      <c r="B13" s="14">
        <v>0.05</v>
      </c>
      <c r="C13" s="14">
        <v>419.7</v>
      </c>
      <c r="D13" s="14">
        <v>1183.0</v>
      </c>
      <c r="E13" s="14">
        <f t="shared" si="1"/>
        <v>1148</v>
      </c>
      <c r="F13" s="14" t="str">
        <f t="shared" si="2"/>
        <v>SELL</v>
      </c>
      <c r="G13" s="14">
        <f t="shared" si="3"/>
        <v>-35</v>
      </c>
      <c r="H13" s="14">
        <f t="shared" si="4"/>
        <v>-14689.5</v>
      </c>
      <c r="I13" s="14">
        <v>-35.0</v>
      </c>
      <c r="J13" s="8">
        <v>420.95</v>
      </c>
      <c r="K13" s="14">
        <f t="shared" si="5"/>
        <v>-14733.25</v>
      </c>
      <c r="L13" s="14">
        <f t="shared" si="6"/>
        <v>1148</v>
      </c>
    </row>
    <row r="14">
      <c r="A14" s="14" t="s">
        <v>92</v>
      </c>
      <c r="B14" s="14">
        <v>0.05</v>
      </c>
      <c r="C14" s="14">
        <v>107.03</v>
      </c>
      <c r="D14" s="14">
        <v>4558.0</v>
      </c>
      <c r="E14" s="14">
        <f t="shared" si="1"/>
        <v>4500</v>
      </c>
      <c r="F14" s="14" t="str">
        <f t="shared" si="2"/>
        <v>SELL</v>
      </c>
      <c r="G14" s="14">
        <f t="shared" si="3"/>
        <v>-58</v>
      </c>
      <c r="H14" s="14">
        <f t="shared" si="4"/>
        <v>-6207.74</v>
      </c>
      <c r="I14" s="14">
        <v>-58.0</v>
      </c>
      <c r="J14" s="8">
        <v>105.66</v>
      </c>
      <c r="K14" s="14">
        <f t="shared" si="5"/>
        <v>-6128.28</v>
      </c>
      <c r="L14" s="14">
        <f t="shared" si="6"/>
        <v>4500</v>
      </c>
    </row>
    <row r="15">
      <c r="A15" s="14" t="s">
        <v>94</v>
      </c>
      <c r="B15" s="14">
        <v>0.05</v>
      </c>
      <c r="C15" s="14">
        <v>277.1</v>
      </c>
      <c r="D15" s="14">
        <v>1786.0</v>
      </c>
      <c r="E15" s="14">
        <f t="shared" si="1"/>
        <v>1738</v>
      </c>
      <c r="F15" s="14" t="str">
        <f t="shared" si="2"/>
        <v>SELL</v>
      </c>
      <c r="G15" s="14">
        <f t="shared" si="3"/>
        <v>-48</v>
      </c>
      <c r="H15" s="14">
        <f t="shared" si="4"/>
        <v>-13300.8</v>
      </c>
      <c r="I15" s="14">
        <v>-48.0</v>
      </c>
      <c r="J15" s="8">
        <v>275.95</v>
      </c>
      <c r="K15" s="14">
        <f t="shared" si="5"/>
        <v>-13245.6</v>
      </c>
      <c r="L15" s="14">
        <f t="shared" si="6"/>
        <v>1738</v>
      </c>
    </row>
    <row r="16">
      <c r="A16" s="14" t="s">
        <v>97</v>
      </c>
      <c r="B16" s="14">
        <v>0.05</v>
      </c>
      <c r="C16" s="14">
        <v>581.45</v>
      </c>
      <c r="D16" s="14">
        <v>827.0</v>
      </c>
      <c r="E16" s="14">
        <f t="shared" si="1"/>
        <v>828</v>
      </c>
      <c r="F16" s="14" t="str">
        <f t="shared" si="2"/>
        <v>BUY</v>
      </c>
      <c r="G16" s="14">
        <f t="shared" si="3"/>
        <v>1</v>
      </c>
      <c r="H16" s="14">
        <f t="shared" si="4"/>
        <v>581.45</v>
      </c>
      <c r="I16" s="14">
        <v>1.0</v>
      </c>
      <c r="J16" s="8">
        <v>611.4</v>
      </c>
      <c r="K16" s="14">
        <f t="shared" si="5"/>
        <v>611.4</v>
      </c>
      <c r="L16" s="14">
        <f t="shared" si="6"/>
        <v>828</v>
      </c>
    </row>
    <row r="17">
      <c r="A17" s="14" t="s">
        <v>101</v>
      </c>
      <c r="B17" s="14">
        <v>0.0</v>
      </c>
      <c r="C17" s="14">
        <v>235.07</v>
      </c>
      <c r="D17" s="14">
        <v>2036.0</v>
      </c>
      <c r="E17" s="14">
        <f t="shared" si="1"/>
        <v>0</v>
      </c>
      <c r="F17" s="14" t="str">
        <f t="shared" si="2"/>
        <v>SELL</v>
      </c>
      <c r="G17" s="14">
        <f t="shared" si="3"/>
        <v>-2036</v>
      </c>
      <c r="H17" s="14">
        <f t="shared" si="4"/>
        <v>-478602.52</v>
      </c>
      <c r="I17" s="14">
        <v>-2036.0</v>
      </c>
      <c r="J17" s="8">
        <v>238.23</v>
      </c>
      <c r="K17" s="14">
        <f t="shared" si="5"/>
        <v>-485036.28</v>
      </c>
    </row>
    <row r="18">
      <c r="A18" s="14" t="s">
        <v>58</v>
      </c>
      <c r="B18" s="14">
        <v>0.05</v>
      </c>
      <c r="C18" s="14">
        <v>256.2</v>
      </c>
      <c r="D18" s="14">
        <v>1813.0</v>
      </c>
      <c r="E18" s="14">
        <f t="shared" si="1"/>
        <v>1880</v>
      </c>
      <c r="F18" s="14" t="str">
        <f t="shared" si="2"/>
        <v>BUY</v>
      </c>
      <c r="G18" s="14">
        <f t="shared" si="3"/>
        <v>67</v>
      </c>
      <c r="H18" s="14">
        <f t="shared" si="4"/>
        <v>17165.4</v>
      </c>
      <c r="I18" s="14">
        <v>67.0</v>
      </c>
      <c r="J18" s="8">
        <v>254.95</v>
      </c>
      <c r="K18" s="14">
        <f t="shared" si="5"/>
        <v>17081.65</v>
      </c>
      <c r="L18" s="14">
        <f t="shared" ref="L18:L24" si="7">D18+I18</f>
        <v>1880</v>
      </c>
    </row>
    <row r="19">
      <c r="A19" s="14" t="s">
        <v>112</v>
      </c>
      <c r="B19" s="14">
        <v>0.05</v>
      </c>
      <c r="C19" s="14">
        <v>949.7</v>
      </c>
      <c r="D19" s="14">
        <v>492.0</v>
      </c>
      <c r="E19" s="14">
        <f t="shared" si="1"/>
        <v>507</v>
      </c>
      <c r="F19" s="14" t="str">
        <f t="shared" si="2"/>
        <v>BUY</v>
      </c>
      <c r="G19" s="14">
        <f t="shared" si="3"/>
        <v>15</v>
      </c>
      <c r="H19" s="14">
        <f t="shared" si="4"/>
        <v>14245.5</v>
      </c>
      <c r="I19" s="14">
        <v>15.0</v>
      </c>
      <c r="J19" s="8">
        <v>961.0</v>
      </c>
      <c r="K19" s="14">
        <f t="shared" si="5"/>
        <v>14415</v>
      </c>
      <c r="L19" s="14">
        <f t="shared" si="7"/>
        <v>507</v>
      </c>
    </row>
    <row r="20">
      <c r="A20" s="14" t="s">
        <v>116</v>
      </c>
      <c r="B20" s="14">
        <v>0.05</v>
      </c>
      <c r="C20" s="14">
        <v>1036.5</v>
      </c>
      <c r="D20" s="14">
        <v>441.0</v>
      </c>
      <c r="E20" s="14">
        <f t="shared" si="1"/>
        <v>465</v>
      </c>
      <c r="F20" s="14" t="str">
        <f t="shared" si="2"/>
        <v>BUY</v>
      </c>
      <c r="G20" s="14">
        <f t="shared" si="3"/>
        <v>24</v>
      </c>
      <c r="H20" s="14">
        <f t="shared" si="4"/>
        <v>24876</v>
      </c>
      <c r="I20" s="14">
        <v>24.0</v>
      </c>
      <c r="J20" s="8">
        <v>1056.2</v>
      </c>
      <c r="K20" s="14">
        <f t="shared" si="5"/>
        <v>25348.8</v>
      </c>
      <c r="L20" s="14">
        <f t="shared" si="7"/>
        <v>465</v>
      </c>
    </row>
    <row r="21">
      <c r="A21" s="14" t="s">
        <v>28</v>
      </c>
      <c r="B21" s="14">
        <v>0.05</v>
      </c>
      <c r="C21" s="14">
        <v>335.4</v>
      </c>
      <c r="D21" s="14">
        <v>0.0</v>
      </c>
      <c r="E21" s="14">
        <f t="shared" si="1"/>
        <v>1436</v>
      </c>
      <c r="F21" s="14" t="str">
        <f t="shared" si="2"/>
        <v>BUY</v>
      </c>
      <c r="G21" s="14">
        <f t="shared" si="3"/>
        <v>1436</v>
      </c>
      <c r="H21" s="14">
        <f t="shared" si="4"/>
        <v>481634.4</v>
      </c>
      <c r="I21" s="14">
        <v>1436.0</v>
      </c>
      <c r="J21" s="8">
        <v>345.75</v>
      </c>
      <c r="K21" s="14">
        <f t="shared" si="5"/>
        <v>496497</v>
      </c>
      <c r="L21" s="14">
        <f t="shared" si="7"/>
        <v>1436</v>
      </c>
    </row>
    <row r="22">
      <c r="A22" s="14" t="s">
        <v>119</v>
      </c>
      <c r="B22" s="14">
        <v>0.05</v>
      </c>
      <c r="C22" s="14">
        <v>186.5</v>
      </c>
      <c r="D22" s="14">
        <v>2353.0</v>
      </c>
      <c r="E22" s="14">
        <f t="shared" si="1"/>
        <v>2583</v>
      </c>
      <c r="F22" s="14" t="str">
        <f t="shared" si="2"/>
        <v>BUY</v>
      </c>
      <c r="G22" s="14">
        <f t="shared" si="3"/>
        <v>230</v>
      </c>
      <c r="H22" s="14">
        <f t="shared" si="4"/>
        <v>42895</v>
      </c>
      <c r="I22" s="14">
        <v>230.0</v>
      </c>
      <c r="J22" s="8">
        <v>184.75</v>
      </c>
      <c r="K22" s="14">
        <f t="shared" si="5"/>
        <v>42492.5</v>
      </c>
      <c r="L22" s="14">
        <f t="shared" si="7"/>
        <v>2583</v>
      </c>
    </row>
    <row r="23">
      <c r="A23" s="14" t="s">
        <v>120</v>
      </c>
      <c r="B23" s="14">
        <v>0.05</v>
      </c>
      <c r="C23" s="14">
        <v>185.25</v>
      </c>
      <c r="D23" s="14">
        <v>2515.0</v>
      </c>
      <c r="E23" s="14">
        <f t="shared" si="1"/>
        <v>2600</v>
      </c>
      <c r="F23" s="14" t="str">
        <f t="shared" si="2"/>
        <v>BUY</v>
      </c>
      <c r="G23" s="14">
        <f t="shared" si="3"/>
        <v>85</v>
      </c>
      <c r="H23" s="14">
        <f t="shared" si="4"/>
        <v>15746.25</v>
      </c>
      <c r="I23" s="14">
        <v>85.0</v>
      </c>
      <c r="J23" s="8">
        <v>190.82</v>
      </c>
      <c r="K23" s="14">
        <f t="shared" si="5"/>
        <v>16219.7</v>
      </c>
      <c r="L23" s="14">
        <f t="shared" si="7"/>
        <v>2600</v>
      </c>
    </row>
    <row r="24">
      <c r="A24" s="14" t="s">
        <v>77</v>
      </c>
      <c r="B24" s="14">
        <v>0.05</v>
      </c>
      <c r="C24" s="14">
        <v>276.95</v>
      </c>
      <c r="D24" s="14">
        <v>1636.0</v>
      </c>
      <c r="E24" s="14">
        <f t="shared" si="1"/>
        <v>1739</v>
      </c>
      <c r="F24" s="14" t="str">
        <f t="shared" si="2"/>
        <v>BUY</v>
      </c>
      <c r="G24" s="14">
        <f t="shared" si="3"/>
        <v>103</v>
      </c>
      <c r="H24" s="14">
        <f t="shared" si="4"/>
        <v>28525.85</v>
      </c>
      <c r="I24" s="14">
        <v>103.0</v>
      </c>
      <c r="J24" s="8">
        <v>279.8</v>
      </c>
      <c r="K24" s="14">
        <f t="shared" si="5"/>
        <v>28819.4</v>
      </c>
      <c r="L24" s="14">
        <f t="shared" si="7"/>
        <v>1739</v>
      </c>
    </row>
    <row r="25"/>
    <row r="26"/>
    <row r="27"/>
    <row r="28">
      <c r="A28" s="1" t="s">
        <v>124</v>
      </c>
      <c r="B28" s="1" t="s">
        <v>125</v>
      </c>
      <c r="C28" s="1" t="s">
        <v>126</v>
      </c>
      <c r="D28" s="1" t="s">
        <v>41</v>
      </c>
      <c r="E28" s="1" t="s">
        <v>127</v>
      </c>
      <c r="F28" s="17">
        <v>2347.0</v>
      </c>
      <c r="G28" s="17">
        <v>174.13</v>
      </c>
      <c r="H28" s="17">
        <v>408683.1</v>
      </c>
    </row>
    <row r="29">
      <c r="A29" s="1" t="s">
        <v>124</v>
      </c>
      <c r="B29" s="1" t="s">
        <v>125</v>
      </c>
      <c r="C29" s="1" t="s">
        <v>128</v>
      </c>
      <c r="D29" s="1" t="s">
        <v>50</v>
      </c>
      <c r="E29" s="1" t="s">
        <v>129</v>
      </c>
      <c r="F29" s="17">
        <v>311.0</v>
      </c>
      <c r="G29" s="17">
        <v>1592.8</v>
      </c>
      <c r="H29" s="17">
        <v>495360.8</v>
      </c>
    </row>
    <row r="30">
      <c r="A30" s="1" t="s">
        <v>124</v>
      </c>
      <c r="B30" s="1" t="s">
        <v>125</v>
      </c>
      <c r="C30" s="1" t="s">
        <v>130</v>
      </c>
      <c r="D30" s="1" t="s">
        <v>56</v>
      </c>
      <c r="E30" s="1" t="s">
        <v>132</v>
      </c>
      <c r="F30" s="17">
        <v>298.0</v>
      </c>
      <c r="G30" s="17">
        <v>1552.8</v>
      </c>
      <c r="H30" s="17">
        <v>462734.4</v>
      </c>
    </row>
    <row r="31">
      <c r="A31" s="1" t="s">
        <v>124</v>
      </c>
      <c r="B31" s="1" t="s">
        <v>125</v>
      </c>
      <c r="C31" s="1" t="s">
        <v>133</v>
      </c>
      <c r="D31" s="1" t="s">
        <v>59</v>
      </c>
      <c r="E31" s="1" t="s">
        <v>134</v>
      </c>
      <c r="F31" s="17">
        <v>336.0</v>
      </c>
      <c r="G31" s="17">
        <v>1350.4</v>
      </c>
      <c r="H31" s="17">
        <v>453734.4</v>
      </c>
    </row>
    <row r="32">
      <c r="A32" s="1" t="s">
        <v>124</v>
      </c>
      <c r="B32" s="1" t="s">
        <v>125</v>
      </c>
      <c r="C32" s="1" t="s">
        <v>135</v>
      </c>
      <c r="D32" s="1" t="s">
        <v>58</v>
      </c>
      <c r="E32" s="1" t="s">
        <v>136</v>
      </c>
      <c r="F32" s="17">
        <v>1880.0</v>
      </c>
      <c r="G32" s="17">
        <v>242.4</v>
      </c>
      <c r="H32" s="17">
        <v>455712.0</v>
      </c>
    </row>
    <row r="33">
      <c r="A33" s="1" t="s">
        <v>124</v>
      </c>
      <c r="B33" s="1" t="s">
        <v>125</v>
      </c>
      <c r="C33" s="1" t="s">
        <v>139</v>
      </c>
      <c r="D33" s="1" t="s">
        <v>112</v>
      </c>
      <c r="E33" s="1" t="s">
        <v>140</v>
      </c>
      <c r="F33" s="17">
        <v>507.0</v>
      </c>
      <c r="G33" s="17">
        <v>974.45</v>
      </c>
      <c r="H33" s="17">
        <v>494046.2</v>
      </c>
    </row>
    <row r="34">
      <c r="A34" s="1" t="s">
        <v>124</v>
      </c>
      <c r="B34" s="1" t="s">
        <v>125</v>
      </c>
      <c r="C34" s="1" t="s">
        <v>142</v>
      </c>
      <c r="D34" s="1" t="s">
        <v>61</v>
      </c>
      <c r="E34" s="1" t="s">
        <v>143</v>
      </c>
      <c r="F34" s="17">
        <v>6116.0</v>
      </c>
      <c r="G34" s="17">
        <v>84.68</v>
      </c>
      <c r="H34" s="17">
        <v>517902.9</v>
      </c>
    </row>
    <row r="35">
      <c r="A35" s="1" t="s">
        <v>124</v>
      </c>
      <c r="B35" s="1" t="s">
        <v>125</v>
      </c>
      <c r="C35" s="1" t="s">
        <v>144</v>
      </c>
      <c r="D35" s="1" t="s">
        <v>64</v>
      </c>
      <c r="E35" s="1" t="s">
        <v>145</v>
      </c>
      <c r="F35" s="17">
        <v>22412.0</v>
      </c>
      <c r="G35" s="17">
        <v>20.0</v>
      </c>
      <c r="H35" s="17">
        <v>448240.0</v>
      </c>
    </row>
    <row r="36">
      <c r="A36" s="1" t="s">
        <v>124</v>
      </c>
      <c r="B36" s="1" t="s">
        <v>125</v>
      </c>
      <c r="C36" s="1" t="s">
        <v>146</v>
      </c>
      <c r="D36" s="1" t="s">
        <v>116</v>
      </c>
      <c r="E36" s="1" t="s">
        <v>147</v>
      </c>
      <c r="F36" s="17">
        <v>465.0</v>
      </c>
      <c r="G36" s="17">
        <v>1102.4</v>
      </c>
      <c r="H36" s="17">
        <v>512616.0</v>
      </c>
    </row>
    <row r="37">
      <c r="A37" s="1" t="s">
        <v>124</v>
      </c>
      <c r="B37" s="1" t="s">
        <v>125</v>
      </c>
      <c r="C37" s="1" t="s">
        <v>149</v>
      </c>
      <c r="D37" s="1" t="s">
        <v>68</v>
      </c>
      <c r="E37" s="1" t="s">
        <v>150</v>
      </c>
      <c r="F37" s="17">
        <v>265.0</v>
      </c>
      <c r="G37" s="17">
        <v>2047.0</v>
      </c>
      <c r="H37" s="17">
        <v>542455.0</v>
      </c>
    </row>
    <row r="38">
      <c r="A38" s="1" t="s">
        <v>124</v>
      </c>
      <c r="B38" s="1" t="s">
        <v>125</v>
      </c>
      <c r="C38" s="1" t="s">
        <v>151</v>
      </c>
      <c r="D38" s="1" t="s">
        <v>83</v>
      </c>
      <c r="E38" s="1" t="s">
        <v>153</v>
      </c>
      <c r="F38" s="17">
        <v>1500.0</v>
      </c>
      <c r="G38" s="17">
        <v>371.85</v>
      </c>
      <c r="H38" s="17">
        <v>557775.0</v>
      </c>
    </row>
    <row r="39">
      <c r="A39" s="1" t="s">
        <v>124</v>
      </c>
      <c r="B39" s="1" t="s">
        <v>125</v>
      </c>
      <c r="C39" s="1" t="s">
        <v>154</v>
      </c>
      <c r="D39" s="1" t="s">
        <v>85</v>
      </c>
      <c r="E39" s="1" t="s">
        <v>155</v>
      </c>
      <c r="F39" s="17">
        <v>498.0</v>
      </c>
      <c r="G39" s="17">
        <v>851.95</v>
      </c>
      <c r="H39" s="17">
        <v>424271.1</v>
      </c>
    </row>
    <row r="40">
      <c r="A40" s="1" t="s">
        <v>124</v>
      </c>
      <c r="B40" s="1" t="s">
        <v>125</v>
      </c>
      <c r="C40" s="1" t="s">
        <v>156</v>
      </c>
      <c r="D40" s="1" t="s">
        <v>28</v>
      </c>
      <c r="E40" s="1" t="s">
        <v>157</v>
      </c>
      <c r="F40" s="17">
        <v>1436.0</v>
      </c>
      <c r="G40" s="17">
        <v>350.05</v>
      </c>
      <c r="H40" s="17">
        <v>502671.8</v>
      </c>
    </row>
    <row r="41">
      <c r="A41" s="1" t="s">
        <v>124</v>
      </c>
      <c r="B41" s="1" t="s">
        <v>125</v>
      </c>
      <c r="C41" s="1" t="s">
        <v>158</v>
      </c>
      <c r="D41" s="1" t="s">
        <v>119</v>
      </c>
      <c r="E41" s="1" t="s">
        <v>159</v>
      </c>
      <c r="F41" s="17">
        <v>2583.0</v>
      </c>
      <c r="G41" s="17">
        <v>173.62</v>
      </c>
      <c r="H41" s="17">
        <v>448460.5</v>
      </c>
    </row>
    <row r="42">
      <c r="A42" s="1" t="s">
        <v>124</v>
      </c>
      <c r="B42" s="1" t="s">
        <v>125</v>
      </c>
      <c r="C42" s="1" t="s">
        <v>161</v>
      </c>
      <c r="D42" s="1" t="s">
        <v>89</v>
      </c>
      <c r="E42" s="1" t="s">
        <v>162</v>
      </c>
      <c r="F42" s="17">
        <v>1148.0</v>
      </c>
      <c r="G42" s="17">
        <v>458.6</v>
      </c>
      <c r="H42" s="17">
        <v>526472.8</v>
      </c>
    </row>
    <row r="43">
      <c r="A43" s="1" t="s">
        <v>124</v>
      </c>
      <c r="B43" s="1" t="s">
        <v>125</v>
      </c>
      <c r="C43" s="1" t="s">
        <v>164</v>
      </c>
      <c r="D43" s="1" t="s">
        <v>92</v>
      </c>
      <c r="E43" s="1" t="s">
        <v>165</v>
      </c>
      <c r="F43" s="17">
        <v>4500.0</v>
      </c>
      <c r="G43" s="17">
        <v>112.71</v>
      </c>
      <c r="H43" s="17">
        <v>507195.0</v>
      </c>
    </row>
    <row r="44">
      <c r="A44" s="1" t="s">
        <v>124</v>
      </c>
      <c r="B44" s="1" t="s">
        <v>125</v>
      </c>
      <c r="C44" s="1" t="s">
        <v>166</v>
      </c>
      <c r="D44" s="1" t="s">
        <v>94</v>
      </c>
      <c r="E44" s="1" t="s">
        <v>167</v>
      </c>
      <c r="F44" s="17">
        <v>1738.0</v>
      </c>
      <c r="G44" s="17">
        <v>321.65</v>
      </c>
      <c r="H44" s="17">
        <v>559027.7</v>
      </c>
    </row>
    <row r="45">
      <c r="A45" s="1" t="s">
        <v>124</v>
      </c>
      <c r="B45" s="1" t="s">
        <v>125</v>
      </c>
      <c r="C45" s="1" t="s">
        <v>168</v>
      </c>
      <c r="D45" s="1" t="s">
        <v>120</v>
      </c>
      <c r="E45" s="1" t="s">
        <v>169</v>
      </c>
      <c r="F45" s="17">
        <v>2600.0</v>
      </c>
      <c r="G45" s="17">
        <v>189.69</v>
      </c>
      <c r="H45" s="17">
        <v>493194.0</v>
      </c>
    </row>
    <row r="46">
      <c r="A46" s="1" t="s">
        <v>124</v>
      </c>
      <c r="B46" s="1" t="s">
        <v>125</v>
      </c>
      <c r="C46" s="1" t="s">
        <v>170</v>
      </c>
      <c r="D46" s="1" t="s">
        <v>97</v>
      </c>
      <c r="E46" s="1" t="s">
        <v>171</v>
      </c>
      <c r="F46" s="17">
        <v>828.0</v>
      </c>
      <c r="G46" s="17">
        <v>604.3</v>
      </c>
      <c r="H46" s="17">
        <v>500360.4</v>
      </c>
    </row>
    <row r="47">
      <c r="A47" s="1" t="s">
        <v>124</v>
      </c>
      <c r="B47" s="1" t="s">
        <v>125</v>
      </c>
      <c r="C47" s="1" t="s">
        <v>172</v>
      </c>
      <c r="D47" s="1" t="s">
        <v>77</v>
      </c>
      <c r="E47" s="1" t="s">
        <v>173</v>
      </c>
      <c r="F47" s="17">
        <v>1739.0</v>
      </c>
      <c r="G47" s="17">
        <v>264.25</v>
      </c>
      <c r="H47" s="17">
        <v>459530.8</v>
      </c>
    </row>
    <row r="48">
      <c r="A48" s="21"/>
      <c r="B48" s="21"/>
      <c r="C48" s="21"/>
      <c r="D48" s="21"/>
      <c r="E48" s="21"/>
      <c r="F48" s="21"/>
      <c r="G48" s="21"/>
      <c r="H48" s="21"/>
    </row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autoFilter ref="$A$3:$K$25">
    <sortState ref="A3:K25">
      <sortCondition descending="1" ref="F3:F25"/>
    </sortState>
  </autoFilter>
  <mergeCells count="2">
    <mergeCell ref="C2:G2"/>
    <mergeCell ref="I2:K2"/>
  </mergeCells>
  <conditionalFormatting sqref="C10">
    <cfRule type="notContainsBlanks" dxfId="0" priority="1">
      <formula>LEN(TRIM(C10))&gt;0</formula>
    </cfRule>
  </conditionalFormatting>
  <conditionalFormatting sqref="C11">
    <cfRule type="notContainsBlanks" dxfId="0" priority="2">
      <formula>LEN(TRIM(C11))&gt;0</formula>
    </cfRule>
  </conditionalFormatting>
  <conditionalFormatting sqref="C12">
    <cfRule type="notContainsBlanks" dxfId="0" priority="3">
      <formula>LEN(TRIM(C12))&gt;0</formula>
    </cfRule>
  </conditionalFormatting>
  <conditionalFormatting sqref="C13">
    <cfRule type="notContainsBlanks" dxfId="0" priority="4">
      <formula>LEN(TRIM(C13))&gt;0</formula>
    </cfRule>
  </conditionalFormatting>
  <conditionalFormatting sqref="C14">
    <cfRule type="notContainsBlanks" dxfId="0" priority="5">
      <formula>LEN(TRIM(C14))&gt;0</formula>
    </cfRule>
  </conditionalFormatting>
  <conditionalFormatting sqref="C15">
    <cfRule type="notContainsBlanks" dxfId="0" priority="6">
      <formula>LEN(TRIM(C15))&gt;0</formula>
    </cfRule>
  </conditionalFormatting>
  <conditionalFormatting sqref="C16">
    <cfRule type="notContainsBlanks" dxfId="0" priority="7">
      <formula>LEN(TRIM(C16))&gt;0</formula>
    </cfRule>
  </conditionalFormatting>
  <conditionalFormatting sqref="C17">
    <cfRule type="notContainsBlanks" dxfId="0" priority="8">
      <formula>LEN(TRIM(C17))&gt;0</formula>
    </cfRule>
  </conditionalFormatting>
  <conditionalFormatting sqref="C18">
    <cfRule type="notContainsBlanks" dxfId="0" priority="9">
      <formula>LEN(TRIM(C18))&gt;0</formula>
    </cfRule>
  </conditionalFormatting>
  <conditionalFormatting sqref="C19">
    <cfRule type="notContainsBlanks" dxfId="0" priority="10">
      <formula>LEN(TRIM(C19))&gt;0</formula>
    </cfRule>
  </conditionalFormatting>
  <conditionalFormatting sqref="C20">
    <cfRule type="notContainsBlanks" dxfId="0" priority="11">
      <formula>LEN(TRIM(C20))&gt;0</formula>
    </cfRule>
  </conditionalFormatting>
  <conditionalFormatting sqref="C21">
    <cfRule type="notContainsBlanks" dxfId="0" priority="12">
      <formula>LEN(TRIM(C21))&gt;0</formula>
    </cfRule>
  </conditionalFormatting>
  <conditionalFormatting sqref="C22">
    <cfRule type="notContainsBlanks" dxfId="0" priority="13">
      <formula>LEN(TRIM(C22))&gt;0</formula>
    </cfRule>
  </conditionalFormatting>
  <conditionalFormatting sqref="C23">
    <cfRule type="notContainsBlanks" dxfId="0" priority="14">
      <formula>LEN(TRIM(C23))&gt;0</formula>
    </cfRule>
  </conditionalFormatting>
  <conditionalFormatting sqref="C24">
    <cfRule type="notContainsBlanks" dxfId="0" priority="15">
      <formula>LEN(TRIM(C24))&gt;0</formula>
    </cfRule>
  </conditionalFormatting>
  <conditionalFormatting sqref="C4:C24">
    <cfRule type="notContainsBlanks" dxfId="0" priority="16">
      <formula>LEN(TRIM(C4))&gt;0</formula>
    </cfRule>
  </conditionalFormatting>
  <conditionalFormatting sqref="C5">
    <cfRule type="notContainsBlanks" dxfId="0" priority="17">
      <formula>LEN(TRIM(C5))&gt;0</formula>
    </cfRule>
  </conditionalFormatting>
  <conditionalFormatting sqref="C6">
    <cfRule type="notContainsBlanks" dxfId="0" priority="18">
      <formula>LEN(TRIM(C6))&gt;0</formula>
    </cfRule>
  </conditionalFormatting>
  <conditionalFormatting sqref="C7">
    <cfRule type="notContainsBlanks" dxfId="0" priority="19">
      <formula>LEN(TRIM(C7))&gt;0</formula>
    </cfRule>
  </conditionalFormatting>
  <conditionalFormatting sqref="C8">
    <cfRule type="notContainsBlanks" dxfId="0" priority="20">
      <formula>LEN(TRIM(C8))&gt;0</formula>
    </cfRule>
  </conditionalFormatting>
  <conditionalFormatting sqref="C9">
    <cfRule type="notContainsBlanks" dxfId="0" priority="21">
      <formula>LEN(TRIM(C9))&gt;0</formula>
    </cfRule>
  </conditionalFormatting>
  <conditionalFormatting sqref="D10">
    <cfRule type="notContainsBlanks" dxfId="0" priority="22">
      <formula>LEN(TRIM(D10))&gt;0</formula>
    </cfRule>
  </conditionalFormatting>
  <conditionalFormatting sqref="D11">
    <cfRule type="notContainsBlanks" dxfId="0" priority="23">
      <formula>LEN(TRIM(D11))&gt;0</formula>
    </cfRule>
  </conditionalFormatting>
  <conditionalFormatting sqref="D12">
    <cfRule type="notContainsBlanks" dxfId="0" priority="24">
      <formula>LEN(TRIM(D12))&gt;0</formula>
    </cfRule>
  </conditionalFormatting>
  <conditionalFormatting sqref="D13">
    <cfRule type="notContainsBlanks" dxfId="0" priority="25">
      <formula>LEN(TRIM(D13))&gt;0</formula>
    </cfRule>
  </conditionalFormatting>
  <conditionalFormatting sqref="D14">
    <cfRule type="notContainsBlanks" dxfId="0" priority="26">
      <formula>LEN(TRIM(D14))&gt;0</formula>
    </cfRule>
  </conditionalFormatting>
  <conditionalFormatting sqref="D15">
    <cfRule type="notContainsBlanks" dxfId="0" priority="27">
      <formula>LEN(TRIM(D15))&gt;0</formula>
    </cfRule>
  </conditionalFormatting>
  <conditionalFormatting sqref="D16">
    <cfRule type="notContainsBlanks" dxfId="0" priority="28">
      <formula>LEN(TRIM(D16))&gt;0</formula>
    </cfRule>
  </conditionalFormatting>
  <conditionalFormatting sqref="D17">
    <cfRule type="notContainsBlanks" dxfId="0" priority="29">
      <formula>LEN(TRIM(D17))&gt;0</formula>
    </cfRule>
  </conditionalFormatting>
  <conditionalFormatting sqref="D18">
    <cfRule type="notContainsBlanks" dxfId="0" priority="30">
      <formula>LEN(TRIM(D18))&gt;0</formula>
    </cfRule>
  </conditionalFormatting>
  <conditionalFormatting sqref="D19">
    <cfRule type="notContainsBlanks" dxfId="0" priority="31">
      <formula>LEN(TRIM(D19))&gt;0</formula>
    </cfRule>
  </conditionalFormatting>
  <conditionalFormatting sqref="D20">
    <cfRule type="notContainsBlanks" dxfId="0" priority="32">
      <formula>LEN(TRIM(D20))&gt;0</formula>
    </cfRule>
  </conditionalFormatting>
  <conditionalFormatting sqref="D21">
    <cfRule type="notContainsBlanks" dxfId="0" priority="33">
      <formula>LEN(TRIM(D21))&gt;0</formula>
    </cfRule>
  </conditionalFormatting>
  <conditionalFormatting sqref="D22">
    <cfRule type="notContainsBlanks" dxfId="0" priority="34">
      <formula>LEN(TRIM(D22))&gt;0</formula>
    </cfRule>
  </conditionalFormatting>
  <conditionalFormatting sqref="D23">
    <cfRule type="notContainsBlanks" dxfId="0" priority="35">
      <formula>LEN(TRIM(D23))&gt;0</formula>
    </cfRule>
  </conditionalFormatting>
  <conditionalFormatting sqref="D24">
    <cfRule type="notContainsBlanks" dxfId="0" priority="36">
      <formula>LEN(TRIM(D24))&gt;0</formula>
    </cfRule>
  </conditionalFormatting>
  <conditionalFormatting sqref="D4">
    <cfRule type="notContainsBlanks" dxfId="0" priority="37">
      <formula>LEN(TRIM(D4))&gt;0</formula>
    </cfRule>
  </conditionalFormatting>
  <conditionalFormatting sqref="D5">
    <cfRule type="notContainsBlanks" dxfId="0" priority="38">
      <formula>LEN(TRIM(D5))&gt;0</formula>
    </cfRule>
  </conditionalFormatting>
  <conditionalFormatting sqref="D6">
    <cfRule type="notContainsBlanks" dxfId="0" priority="39">
      <formula>LEN(TRIM(D6))&gt;0</formula>
    </cfRule>
  </conditionalFormatting>
  <conditionalFormatting sqref="D7">
    <cfRule type="notContainsBlanks" dxfId="0" priority="40">
      <formula>LEN(TRIM(D7))&gt;0</formula>
    </cfRule>
  </conditionalFormatting>
  <conditionalFormatting sqref="D8">
    <cfRule type="notContainsBlanks" dxfId="0" priority="41">
      <formula>LEN(TRIM(D8))&gt;0</formula>
    </cfRule>
  </conditionalFormatting>
  <conditionalFormatting sqref="D9">
    <cfRule type="notContainsBlanks" dxfId="0" priority="42">
      <formula>LEN(TRIM(D9))&gt;0</formula>
    </cfRule>
  </conditionalFormatting>
  <conditionalFormatting sqref="E10">
    <cfRule type="notContainsBlanks" dxfId="0" priority="43">
      <formula>LEN(TRIM(E10))&gt;0</formula>
    </cfRule>
  </conditionalFormatting>
  <conditionalFormatting sqref="E11">
    <cfRule type="notContainsBlanks" dxfId="0" priority="44">
      <formula>LEN(TRIM(E11))&gt;0</formula>
    </cfRule>
  </conditionalFormatting>
  <conditionalFormatting sqref="E12">
    <cfRule type="notContainsBlanks" dxfId="0" priority="45">
      <formula>LEN(TRIM(E12))&gt;0</formula>
    </cfRule>
  </conditionalFormatting>
  <conditionalFormatting sqref="E13">
    <cfRule type="notContainsBlanks" dxfId="0" priority="46">
      <formula>LEN(TRIM(E13))&gt;0</formula>
    </cfRule>
  </conditionalFormatting>
  <conditionalFormatting sqref="E14">
    <cfRule type="notContainsBlanks" dxfId="0" priority="47">
      <formula>LEN(TRIM(E14))&gt;0</formula>
    </cfRule>
  </conditionalFormatting>
  <conditionalFormatting sqref="E15">
    <cfRule type="notContainsBlanks" dxfId="0" priority="48">
      <formula>LEN(TRIM(E15))&gt;0</formula>
    </cfRule>
  </conditionalFormatting>
  <conditionalFormatting sqref="E16">
    <cfRule type="notContainsBlanks" dxfId="0" priority="49">
      <formula>LEN(TRIM(E16))&gt;0</formula>
    </cfRule>
  </conditionalFormatting>
  <conditionalFormatting sqref="E17">
    <cfRule type="notContainsBlanks" dxfId="0" priority="50">
      <formula>LEN(TRIM(E17))&gt;0</formula>
    </cfRule>
  </conditionalFormatting>
  <conditionalFormatting sqref="E18">
    <cfRule type="notContainsBlanks" dxfId="0" priority="51">
      <formula>LEN(TRIM(E18))&gt;0</formula>
    </cfRule>
  </conditionalFormatting>
  <conditionalFormatting sqref="E19">
    <cfRule type="notContainsBlanks" dxfId="0" priority="52">
      <formula>LEN(TRIM(E19))&gt;0</formula>
    </cfRule>
  </conditionalFormatting>
  <conditionalFormatting sqref="E20">
    <cfRule type="notContainsBlanks" dxfId="0" priority="53">
      <formula>LEN(TRIM(E20))&gt;0</formula>
    </cfRule>
  </conditionalFormatting>
  <conditionalFormatting sqref="E21">
    <cfRule type="notContainsBlanks" dxfId="0" priority="54">
      <formula>LEN(TRIM(E21))&gt;0</formula>
    </cfRule>
  </conditionalFormatting>
  <conditionalFormatting sqref="E22">
    <cfRule type="notContainsBlanks" dxfId="0" priority="55">
      <formula>LEN(TRIM(E22))&gt;0</formula>
    </cfRule>
  </conditionalFormatting>
  <conditionalFormatting sqref="E23">
    <cfRule type="notContainsBlanks" dxfId="0" priority="56">
      <formula>LEN(TRIM(E23))&gt;0</formula>
    </cfRule>
  </conditionalFormatting>
  <conditionalFormatting sqref="E24">
    <cfRule type="notContainsBlanks" dxfId="0" priority="57">
      <formula>LEN(TRIM(E24))&gt;0</formula>
    </cfRule>
  </conditionalFormatting>
  <conditionalFormatting sqref="E4">
    <cfRule type="notContainsBlanks" dxfId="0" priority="58">
      <formula>LEN(TRIM(E4))&gt;0</formula>
    </cfRule>
  </conditionalFormatting>
  <conditionalFormatting sqref="E5">
    <cfRule type="notContainsBlanks" dxfId="0" priority="59">
      <formula>LEN(TRIM(E5))&gt;0</formula>
    </cfRule>
  </conditionalFormatting>
  <conditionalFormatting sqref="E6">
    <cfRule type="notContainsBlanks" dxfId="0" priority="60">
      <formula>LEN(TRIM(E6))&gt;0</formula>
    </cfRule>
  </conditionalFormatting>
  <conditionalFormatting sqref="E7">
    <cfRule type="notContainsBlanks" dxfId="0" priority="61">
      <formula>LEN(TRIM(E7))&gt;0</formula>
    </cfRule>
  </conditionalFormatting>
  <conditionalFormatting sqref="E8">
    <cfRule type="notContainsBlanks" dxfId="0" priority="62">
      <formula>LEN(TRIM(E8))&gt;0</formula>
    </cfRule>
  </conditionalFormatting>
  <conditionalFormatting sqref="E9">
    <cfRule type="notContainsBlanks" dxfId="0" priority="63">
      <formula>LEN(TRIM(E9))&gt;0</formula>
    </cfRule>
  </conditionalFormatting>
  <conditionalFormatting sqref="F10">
    <cfRule type="notContainsBlanks" dxfId="0" priority="64">
      <formula>LEN(TRIM(F10))&gt;0</formula>
    </cfRule>
  </conditionalFormatting>
  <conditionalFormatting sqref="F11">
    <cfRule type="notContainsBlanks" dxfId="0" priority="65">
      <formula>LEN(TRIM(F11))&gt;0</formula>
    </cfRule>
  </conditionalFormatting>
  <conditionalFormatting sqref="F12">
    <cfRule type="notContainsBlanks" dxfId="0" priority="66">
      <formula>LEN(TRIM(F12))&gt;0</formula>
    </cfRule>
  </conditionalFormatting>
  <conditionalFormatting sqref="F13">
    <cfRule type="notContainsBlanks" dxfId="0" priority="67">
      <formula>LEN(TRIM(F13))&gt;0</formula>
    </cfRule>
  </conditionalFormatting>
  <conditionalFormatting sqref="F14">
    <cfRule type="notContainsBlanks" dxfId="0" priority="68">
      <formula>LEN(TRIM(F14))&gt;0</formula>
    </cfRule>
  </conditionalFormatting>
  <conditionalFormatting sqref="F15">
    <cfRule type="notContainsBlanks" dxfId="0" priority="69">
      <formula>LEN(TRIM(F15))&gt;0</formula>
    </cfRule>
  </conditionalFormatting>
  <conditionalFormatting sqref="F16">
    <cfRule type="notContainsBlanks" dxfId="0" priority="70">
      <formula>LEN(TRIM(F16))&gt;0</formula>
    </cfRule>
  </conditionalFormatting>
  <conditionalFormatting sqref="F17">
    <cfRule type="notContainsBlanks" dxfId="0" priority="71">
      <formula>LEN(TRIM(F17))&gt;0</formula>
    </cfRule>
  </conditionalFormatting>
  <conditionalFormatting sqref="F18">
    <cfRule type="notContainsBlanks" dxfId="0" priority="72">
      <formula>LEN(TRIM(F18))&gt;0</formula>
    </cfRule>
  </conditionalFormatting>
  <conditionalFormatting sqref="F19">
    <cfRule type="notContainsBlanks" dxfId="0" priority="73">
      <formula>LEN(TRIM(F19))&gt;0</formula>
    </cfRule>
  </conditionalFormatting>
  <conditionalFormatting sqref="F20">
    <cfRule type="notContainsBlanks" dxfId="0" priority="74">
      <formula>LEN(TRIM(F20))&gt;0</formula>
    </cfRule>
  </conditionalFormatting>
  <conditionalFormatting sqref="F21">
    <cfRule type="notContainsBlanks" dxfId="0" priority="75">
      <formula>LEN(TRIM(F21))&gt;0</formula>
    </cfRule>
  </conditionalFormatting>
  <conditionalFormatting sqref="F22">
    <cfRule type="notContainsBlanks" dxfId="0" priority="76">
      <formula>LEN(TRIM(F22))&gt;0</formula>
    </cfRule>
  </conditionalFormatting>
  <conditionalFormatting sqref="F23">
    <cfRule type="notContainsBlanks" dxfId="0" priority="77">
      <formula>LEN(TRIM(F23))&gt;0</formula>
    </cfRule>
  </conditionalFormatting>
  <conditionalFormatting sqref="F24">
    <cfRule type="notContainsBlanks" dxfId="0" priority="78">
      <formula>LEN(TRIM(F24))&gt;0</formula>
    </cfRule>
  </conditionalFormatting>
  <conditionalFormatting sqref="F4">
    <cfRule type="notContainsBlanks" dxfId="0" priority="79">
      <formula>LEN(TRIM(F4))&gt;0</formula>
    </cfRule>
  </conditionalFormatting>
  <conditionalFormatting sqref="F5">
    <cfRule type="notContainsBlanks" dxfId="0" priority="80">
      <formula>LEN(TRIM(F5))&gt;0</formula>
    </cfRule>
  </conditionalFormatting>
  <conditionalFormatting sqref="F6">
    <cfRule type="notContainsBlanks" dxfId="0" priority="81">
      <formula>LEN(TRIM(F6))&gt;0</formula>
    </cfRule>
  </conditionalFormatting>
  <conditionalFormatting sqref="F7">
    <cfRule type="notContainsBlanks" dxfId="0" priority="82">
      <formula>LEN(TRIM(F7))&gt;0</formula>
    </cfRule>
  </conditionalFormatting>
  <conditionalFormatting sqref="F8">
    <cfRule type="notContainsBlanks" dxfId="0" priority="83">
      <formula>LEN(TRIM(F8))&gt;0</formula>
    </cfRule>
  </conditionalFormatting>
  <conditionalFormatting sqref="F9">
    <cfRule type="notContainsBlanks" dxfId="0" priority="84">
      <formula>LEN(TRIM(F9))&gt;0</formula>
    </cfRule>
  </conditionalFormatting>
  <conditionalFormatting sqref="G10 I10">
    <cfRule type="notContainsBlanks" dxfId="0" priority="85">
      <formula>LEN(TRIM(G10))&gt;0</formula>
    </cfRule>
  </conditionalFormatting>
  <conditionalFormatting sqref="G11 I11">
    <cfRule type="notContainsBlanks" dxfId="0" priority="86">
      <formula>LEN(TRIM(G11))&gt;0</formula>
    </cfRule>
  </conditionalFormatting>
  <conditionalFormatting sqref="G12 I12">
    <cfRule type="notContainsBlanks" dxfId="0" priority="87">
      <formula>LEN(TRIM(G12))&gt;0</formula>
    </cfRule>
  </conditionalFormatting>
  <conditionalFormatting sqref="G13 I13">
    <cfRule type="notContainsBlanks" dxfId="0" priority="88">
      <formula>LEN(TRIM(G13))&gt;0</formula>
    </cfRule>
  </conditionalFormatting>
  <conditionalFormatting sqref="G14 I14">
    <cfRule type="notContainsBlanks" dxfId="0" priority="89">
      <formula>LEN(TRIM(G14))&gt;0</formula>
    </cfRule>
  </conditionalFormatting>
  <conditionalFormatting sqref="G15 I15">
    <cfRule type="notContainsBlanks" dxfId="0" priority="90">
      <formula>LEN(TRIM(G15))&gt;0</formula>
    </cfRule>
  </conditionalFormatting>
  <conditionalFormatting sqref="G16 I16">
    <cfRule type="notContainsBlanks" dxfId="0" priority="91">
      <formula>LEN(TRIM(G16))&gt;0</formula>
    </cfRule>
  </conditionalFormatting>
  <conditionalFormatting sqref="G17 I17">
    <cfRule type="notContainsBlanks" dxfId="0" priority="92">
      <formula>LEN(TRIM(G17))&gt;0</formula>
    </cfRule>
  </conditionalFormatting>
  <conditionalFormatting sqref="G18 I18">
    <cfRule type="notContainsBlanks" dxfId="0" priority="93">
      <formula>LEN(TRIM(G18))&gt;0</formula>
    </cfRule>
  </conditionalFormatting>
  <conditionalFormatting sqref="G19 I19">
    <cfRule type="notContainsBlanks" dxfId="0" priority="94">
      <formula>LEN(TRIM(G19))&gt;0</formula>
    </cfRule>
  </conditionalFormatting>
  <conditionalFormatting sqref="G20 I20">
    <cfRule type="notContainsBlanks" dxfId="0" priority="95">
      <formula>LEN(TRIM(G20))&gt;0</formula>
    </cfRule>
  </conditionalFormatting>
  <conditionalFormatting sqref="G21 I21">
    <cfRule type="notContainsBlanks" dxfId="0" priority="96">
      <formula>LEN(TRIM(G21))&gt;0</formula>
    </cfRule>
  </conditionalFormatting>
  <conditionalFormatting sqref="G22 I22">
    <cfRule type="notContainsBlanks" dxfId="0" priority="97">
      <formula>LEN(TRIM(G22))&gt;0</formula>
    </cfRule>
  </conditionalFormatting>
  <conditionalFormatting sqref="G23 I23">
    <cfRule type="notContainsBlanks" dxfId="0" priority="98">
      <formula>LEN(TRIM(G23))&gt;0</formula>
    </cfRule>
  </conditionalFormatting>
  <conditionalFormatting sqref="G24 I24">
    <cfRule type="notContainsBlanks" dxfId="0" priority="99">
      <formula>LEN(TRIM(G24))&gt;0</formula>
    </cfRule>
  </conditionalFormatting>
  <conditionalFormatting sqref="G4 I4">
    <cfRule type="notContainsBlanks" dxfId="0" priority="100">
      <formula>LEN(TRIM(G4))&gt;0</formula>
    </cfRule>
  </conditionalFormatting>
  <conditionalFormatting sqref="G5 I5">
    <cfRule type="notContainsBlanks" dxfId="0" priority="101">
      <formula>LEN(TRIM(G5))&gt;0</formula>
    </cfRule>
  </conditionalFormatting>
  <conditionalFormatting sqref="G6 I6">
    <cfRule type="notContainsBlanks" dxfId="0" priority="102">
      <formula>LEN(TRIM(G6))&gt;0</formula>
    </cfRule>
  </conditionalFormatting>
  <conditionalFormatting sqref="G7 I7">
    <cfRule type="notContainsBlanks" dxfId="0" priority="103">
      <formula>LEN(TRIM(G7))&gt;0</formula>
    </cfRule>
  </conditionalFormatting>
  <conditionalFormatting sqref="G8 I8">
    <cfRule type="notContainsBlanks" dxfId="0" priority="104">
      <formula>LEN(TRIM(G8))&gt;0</formula>
    </cfRule>
  </conditionalFormatting>
  <conditionalFormatting sqref="G9 I9">
    <cfRule type="notContainsBlanks" dxfId="0" priority="105">
      <formula>LEN(TRIM(G9))&gt;0</formula>
    </cfRule>
  </conditionalFormatting>
  <conditionalFormatting sqref="H10:I10">
    <cfRule type="notContainsBlanks" dxfId="1" priority="106">
      <formula>LEN(TRIM(H10))&gt;0</formula>
    </cfRule>
  </conditionalFormatting>
  <conditionalFormatting sqref="H11:I11">
    <cfRule type="notContainsBlanks" dxfId="1" priority="107">
      <formula>LEN(TRIM(H11))&gt;0</formula>
    </cfRule>
  </conditionalFormatting>
  <conditionalFormatting sqref="H12:I12">
    <cfRule type="notContainsBlanks" dxfId="1" priority="108">
      <formula>LEN(TRIM(H12))&gt;0</formula>
    </cfRule>
  </conditionalFormatting>
  <conditionalFormatting sqref="H13:I13">
    <cfRule type="notContainsBlanks" dxfId="1" priority="109">
      <formula>LEN(TRIM(H13))&gt;0</formula>
    </cfRule>
  </conditionalFormatting>
  <conditionalFormatting sqref="H14:I14">
    <cfRule type="notContainsBlanks" dxfId="1" priority="110">
      <formula>LEN(TRIM(H14))&gt;0</formula>
    </cfRule>
  </conditionalFormatting>
  <conditionalFormatting sqref="H15:I15">
    <cfRule type="notContainsBlanks" dxfId="1" priority="111">
      <formula>LEN(TRIM(H15))&gt;0</formula>
    </cfRule>
  </conditionalFormatting>
  <conditionalFormatting sqref="H16:I16">
    <cfRule type="notContainsBlanks" dxfId="1" priority="112">
      <formula>LEN(TRIM(H16))&gt;0</formula>
    </cfRule>
  </conditionalFormatting>
  <conditionalFormatting sqref="H17:I17">
    <cfRule type="notContainsBlanks" dxfId="1" priority="113">
      <formula>LEN(TRIM(H17))&gt;0</formula>
    </cfRule>
  </conditionalFormatting>
  <conditionalFormatting sqref="H18:I18">
    <cfRule type="notContainsBlanks" dxfId="1" priority="114">
      <formula>LEN(TRIM(H18))&gt;0</formula>
    </cfRule>
  </conditionalFormatting>
  <conditionalFormatting sqref="H19:I19">
    <cfRule type="notContainsBlanks" dxfId="1" priority="115">
      <formula>LEN(TRIM(H19))&gt;0</formula>
    </cfRule>
  </conditionalFormatting>
  <conditionalFormatting sqref="H20:I20">
    <cfRule type="notContainsBlanks" dxfId="1" priority="116">
      <formula>LEN(TRIM(H20))&gt;0</formula>
    </cfRule>
  </conditionalFormatting>
  <conditionalFormatting sqref="H21:I21">
    <cfRule type="notContainsBlanks" dxfId="1" priority="117">
      <formula>LEN(TRIM(H21))&gt;0</formula>
    </cfRule>
  </conditionalFormatting>
  <conditionalFormatting sqref="H22:I22">
    <cfRule type="notContainsBlanks" dxfId="1" priority="118">
      <formula>LEN(TRIM(H22))&gt;0</formula>
    </cfRule>
  </conditionalFormatting>
  <conditionalFormatting sqref="H23:I23">
    <cfRule type="notContainsBlanks" dxfId="1" priority="119">
      <formula>LEN(TRIM(H23))&gt;0</formula>
    </cfRule>
  </conditionalFormatting>
  <conditionalFormatting sqref="H24:I24">
    <cfRule type="notContainsBlanks" dxfId="1" priority="120">
      <formula>LEN(TRIM(H24))&gt;0</formula>
    </cfRule>
  </conditionalFormatting>
  <conditionalFormatting sqref="H4:H24 I4">
    <cfRule type="notContainsBlanks" dxfId="1" priority="121">
      <formula>LEN(TRIM(H4))&gt;0</formula>
    </cfRule>
  </conditionalFormatting>
  <conditionalFormatting sqref="H5:I5">
    <cfRule type="notContainsBlanks" dxfId="1" priority="122">
      <formula>LEN(TRIM(H5))&gt;0</formula>
    </cfRule>
  </conditionalFormatting>
  <conditionalFormatting sqref="H6:I6">
    <cfRule type="notContainsBlanks" dxfId="1" priority="123">
      <formula>LEN(TRIM(H6))&gt;0</formula>
    </cfRule>
  </conditionalFormatting>
  <conditionalFormatting sqref="H7:I7">
    <cfRule type="notContainsBlanks" dxfId="1" priority="124">
      <formula>LEN(TRIM(H7))&gt;0</formula>
    </cfRule>
  </conditionalFormatting>
  <conditionalFormatting sqref="H8:I8">
    <cfRule type="notContainsBlanks" dxfId="1" priority="125">
      <formula>LEN(TRIM(H8))&gt;0</formula>
    </cfRule>
  </conditionalFormatting>
  <conditionalFormatting sqref="H9:I9">
    <cfRule type="notContainsBlanks" dxfId="1" priority="126">
      <formula>LEN(TRIM(H9))&gt;0</formula>
    </cfRule>
  </conditionalFormatting>
  <conditionalFormatting sqref="J10">
    <cfRule type="notContainsBlanks" dxfId="1" priority="127">
      <formula>LEN(TRIM(J10))&gt;0</formula>
    </cfRule>
  </conditionalFormatting>
  <conditionalFormatting sqref="J11">
    <cfRule type="notContainsBlanks" dxfId="1" priority="128">
      <formula>LEN(TRIM(J11))&gt;0</formula>
    </cfRule>
  </conditionalFormatting>
  <conditionalFormatting sqref="J12">
    <cfRule type="notContainsBlanks" dxfId="1" priority="129">
      <formula>LEN(TRIM(J12))&gt;0</formula>
    </cfRule>
  </conditionalFormatting>
  <conditionalFormatting sqref="J13">
    <cfRule type="notContainsBlanks" dxfId="1" priority="130">
      <formula>LEN(TRIM(J13))&gt;0</formula>
    </cfRule>
  </conditionalFormatting>
  <conditionalFormatting sqref="J14">
    <cfRule type="notContainsBlanks" dxfId="1" priority="131">
      <formula>LEN(TRIM(J14))&gt;0</formula>
    </cfRule>
  </conditionalFormatting>
  <conditionalFormatting sqref="J15">
    <cfRule type="notContainsBlanks" dxfId="1" priority="132">
      <formula>LEN(TRIM(J15))&gt;0</formula>
    </cfRule>
  </conditionalFormatting>
  <conditionalFormatting sqref="J16">
    <cfRule type="notContainsBlanks" dxfId="1" priority="133">
      <formula>LEN(TRIM(J16))&gt;0</formula>
    </cfRule>
  </conditionalFormatting>
  <conditionalFormatting sqref="J17">
    <cfRule type="notContainsBlanks" dxfId="1" priority="134">
      <formula>LEN(TRIM(J17))&gt;0</formula>
    </cfRule>
  </conditionalFormatting>
  <conditionalFormatting sqref="J18">
    <cfRule type="notContainsBlanks" dxfId="1" priority="135">
      <formula>LEN(TRIM(J18))&gt;0</formula>
    </cfRule>
  </conditionalFormatting>
  <conditionalFormatting sqref="J19">
    <cfRule type="notContainsBlanks" dxfId="1" priority="136">
      <formula>LEN(TRIM(J19))&gt;0</formula>
    </cfRule>
  </conditionalFormatting>
  <conditionalFormatting sqref="J20">
    <cfRule type="notContainsBlanks" dxfId="1" priority="137">
      <formula>LEN(TRIM(J20))&gt;0</formula>
    </cfRule>
  </conditionalFormatting>
  <conditionalFormatting sqref="J21">
    <cfRule type="notContainsBlanks" dxfId="1" priority="138">
      <formula>LEN(TRIM(J21))&gt;0</formula>
    </cfRule>
  </conditionalFormatting>
  <conditionalFormatting sqref="J22">
    <cfRule type="notContainsBlanks" dxfId="1" priority="139">
      <formula>LEN(TRIM(J22))&gt;0</formula>
    </cfRule>
  </conditionalFormatting>
  <conditionalFormatting sqref="J23">
    <cfRule type="notContainsBlanks" dxfId="1" priority="140">
      <formula>LEN(TRIM(J23))&gt;0</formula>
    </cfRule>
  </conditionalFormatting>
  <conditionalFormatting sqref="J24">
    <cfRule type="notContainsBlanks" dxfId="1" priority="141">
      <formula>LEN(TRIM(J24))&gt;0</formula>
    </cfRule>
  </conditionalFormatting>
  <conditionalFormatting sqref="J4">
    <cfRule type="notContainsBlanks" dxfId="1" priority="142">
      <formula>LEN(TRIM(J4))&gt;0</formula>
    </cfRule>
  </conditionalFormatting>
  <conditionalFormatting sqref="J5">
    <cfRule type="notContainsBlanks" dxfId="1" priority="143">
      <formula>LEN(TRIM(J5))&gt;0</formula>
    </cfRule>
  </conditionalFormatting>
  <conditionalFormatting sqref="J6">
    <cfRule type="notContainsBlanks" dxfId="1" priority="144">
      <formula>LEN(TRIM(J6))&gt;0</formula>
    </cfRule>
  </conditionalFormatting>
  <conditionalFormatting sqref="J7">
    <cfRule type="notContainsBlanks" dxfId="1" priority="145">
      <formula>LEN(TRIM(J7))&gt;0</formula>
    </cfRule>
  </conditionalFormatting>
  <conditionalFormatting sqref="J8">
    <cfRule type="notContainsBlanks" dxfId="1" priority="146">
      <formula>LEN(TRIM(J8))&gt;0</formula>
    </cfRule>
  </conditionalFormatting>
  <conditionalFormatting sqref="J9">
    <cfRule type="notContainsBlanks" dxfId="1" priority="147">
      <formula>LEN(TRIM(J9))&gt;0</formula>
    </cfRule>
  </conditionalFormatting>
  <conditionalFormatting sqref="K10">
    <cfRule type="notContainsBlanks" dxfId="1" priority="148">
      <formula>LEN(TRIM(K10))&gt;0</formula>
    </cfRule>
  </conditionalFormatting>
  <conditionalFormatting sqref="K11">
    <cfRule type="notContainsBlanks" dxfId="1" priority="149">
      <formula>LEN(TRIM(K11))&gt;0</formula>
    </cfRule>
  </conditionalFormatting>
  <conditionalFormatting sqref="K12">
    <cfRule type="notContainsBlanks" dxfId="1" priority="150">
      <formula>LEN(TRIM(K12))&gt;0</formula>
    </cfRule>
  </conditionalFormatting>
  <conditionalFormatting sqref="K13">
    <cfRule type="notContainsBlanks" dxfId="1" priority="151">
      <formula>LEN(TRIM(K13))&gt;0</formula>
    </cfRule>
  </conditionalFormatting>
  <conditionalFormatting sqref="K14">
    <cfRule type="notContainsBlanks" dxfId="1" priority="152">
      <formula>LEN(TRIM(K14))&gt;0</formula>
    </cfRule>
  </conditionalFormatting>
  <conditionalFormatting sqref="K15">
    <cfRule type="notContainsBlanks" dxfId="1" priority="153">
      <formula>LEN(TRIM(K15))&gt;0</formula>
    </cfRule>
  </conditionalFormatting>
  <conditionalFormatting sqref="K16">
    <cfRule type="notContainsBlanks" dxfId="1" priority="154">
      <formula>LEN(TRIM(K16))&gt;0</formula>
    </cfRule>
  </conditionalFormatting>
  <conditionalFormatting sqref="K17">
    <cfRule type="notContainsBlanks" dxfId="1" priority="155">
      <formula>LEN(TRIM(K17))&gt;0</formula>
    </cfRule>
  </conditionalFormatting>
  <conditionalFormatting sqref="K18">
    <cfRule type="notContainsBlanks" dxfId="1" priority="156">
      <formula>LEN(TRIM(K18))&gt;0</formula>
    </cfRule>
  </conditionalFormatting>
  <conditionalFormatting sqref="K19">
    <cfRule type="notContainsBlanks" dxfId="1" priority="157">
      <formula>LEN(TRIM(K19))&gt;0</formula>
    </cfRule>
  </conditionalFormatting>
  <conditionalFormatting sqref="K20">
    <cfRule type="notContainsBlanks" dxfId="1" priority="158">
      <formula>LEN(TRIM(K20))&gt;0</formula>
    </cfRule>
  </conditionalFormatting>
  <conditionalFormatting sqref="K21">
    <cfRule type="notContainsBlanks" dxfId="1" priority="159">
      <formula>LEN(TRIM(K21))&gt;0</formula>
    </cfRule>
  </conditionalFormatting>
  <conditionalFormatting sqref="K22">
    <cfRule type="notContainsBlanks" dxfId="1" priority="160">
      <formula>LEN(TRIM(K22))&gt;0</formula>
    </cfRule>
  </conditionalFormatting>
  <conditionalFormatting sqref="K23">
    <cfRule type="notContainsBlanks" dxfId="1" priority="161">
      <formula>LEN(TRIM(K23))&gt;0</formula>
    </cfRule>
  </conditionalFormatting>
  <conditionalFormatting sqref="K24">
    <cfRule type="notContainsBlanks" dxfId="1" priority="162">
      <formula>LEN(TRIM(K24))&gt;0</formula>
    </cfRule>
  </conditionalFormatting>
  <conditionalFormatting sqref="K4">
    <cfRule type="notContainsBlanks" dxfId="1" priority="163">
      <formula>LEN(TRIM(K4))&gt;0</formula>
    </cfRule>
  </conditionalFormatting>
  <conditionalFormatting sqref="K5">
    <cfRule type="notContainsBlanks" dxfId="1" priority="164">
      <formula>LEN(TRIM(K5))&gt;0</formula>
    </cfRule>
  </conditionalFormatting>
  <conditionalFormatting sqref="K6">
    <cfRule type="notContainsBlanks" dxfId="1" priority="165">
      <formula>LEN(TRIM(K6))&gt;0</formula>
    </cfRule>
  </conditionalFormatting>
  <conditionalFormatting sqref="K7">
    <cfRule type="notContainsBlanks" dxfId="1" priority="166">
      <formula>LEN(TRIM(K7))&gt;0</formula>
    </cfRule>
  </conditionalFormatting>
  <conditionalFormatting sqref="K8">
    <cfRule type="notContainsBlanks" dxfId="1" priority="167">
      <formula>LEN(TRIM(K8))&gt;0</formula>
    </cfRule>
  </conditionalFormatting>
  <conditionalFormatting sqref="K9">
    <cfRule type="notContainsBlanks" dxfId="1" priority="168">
      <formula>LEN(TRIM(K9))&gt;0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1" width="15.71"/>
    <col customWidth="1" min="12" max="27" width="8.71"/>
  </cols>
  <sheetData>
    <row r="1">
      <c r="A1" s="2" t="s">
        <v>1</v>
      </c>
      <c r="B1" s="8">
        <v>9907714.97</v>
      </c>
    </row>
    <row r="2">
      <c r="C2" s="5" t="s">
        <v>6</v>
      </c>
      <c r="D2" s="6"/>
      <c r="E2" s="6"/>
      <c r="F2" s="6"/>
      <c r="G2" s="7"/>
      <c r="H2" s="9"/>
      <c r="I2" s="5" t="s">
        <v>13</v>
      </c>
      <c r="J2" s="6"/>
      <c r="K2" s="7"/>
      <c r="M2" s="8" t="s">
        <v>137</v>
      </c>
    </row>
    <row r="3">
      <c r="A3" s="2" t="s">
        <v>17</v>
      </c>
      <c r="B3" s="2" t="s">
        <v>18</v>
      </c>
      <c r="C3" s="2" t="s">
        <v>20</v>
      </c>
      <c r="D3" s="2" t="s">
        <v>21</v>
      </c>
      <c r="E3" s="2" t="s">
        <v>23</v>
      </c>
      <c r="F3" s="2" t="s">
        <v>25</v>
      </c>
      <c r="G3" s="2" t="s">
        <v>26</v>
      </c>
      <c r="H3" s="4"/>
      <c r="I3" s="2" t="s">
        <v>27</v>
      </c>
      <c r="J3" s="2" t="s">
        <v>29</v>
      </c>
      <c r="K3" s="2" t="s">
        <v>30</v>
      </c>
    </row>
    <row r="4">
      <c r="A4" s="14" t="s">
        <v>141</v>
      </c>
      <c r="B4" s="14">
        <v>0.05</v>
      </c>
      <c r="C4" s="14">
        <v>1159.3</v>
      </c>
      <c r="D4" s="14">
        <v>569.0</v>
      </c>
      <c r="E4" s="14">
        <f t="shared" ref="E4:E30" si="1">ROUND($B$1 * B4 / C4, 0)</f>
        <v>427</v>
      </c>
      <c r="F4" s="14" t="str">
        <f t="shared" ref="F4:F30" si="2">IF(G4&gt;0, "BUY", IF(G4&lt;0, "SELL", "FLAT"))</f>
        <v>SELL</v>
      </c>
      <c r="G4" s="14">
        <f t="shared" ref="G4:G30" si="3">E4-D4</f>
        <v>-142</v>
      </c>
      <c r="H4" s="14">
        <f t="shared" ref="H4:H30" si="4">C4*G4</f>
        <v>-164620.6</v>
      </c>
      <c r="I4" s="14">
        <v>-142.0</v>
      </c>
      <c r="J4" s="8">
        <v>1138.0</v>
      </c>
      <c r="K4" s="14">
        <f t="shared" ref="K4:K30" si="5">J4 * I4</f>
        <v>-161596</v>
      </c>
      <c r="M4" s="14">
        <f t="shared" ref="M4:M7" si="6">D4+I4</f>
        <v>427</v>
      </c>
    </row>
    <row r="5">
      <c r="A5" s="14" t="s">
        <v>163</v>
      </c>
      <c r="B5" s="14">
        <v>0.05</v>
      </c>
      <c r="C5" s="14">
        <v>314.05</v>
      </c>
      <c r="D5" s="14">
        <v>1886.0</v>
      </c>
      <c r="E5" s="14">
        <f t="shared" si="1"/>
        <v>1577</v>
      </c>
      <c r="F5" s="14" t="str">
        <f t="shared" si="2"/>
        <v>SELL</v>
      </c>
      <c r="G5" s="14">
        <f t="shared" si="3"/>
        <v>-309</v>
      </c>
      <c r="H5" s="14">
        <f t="shared" si="4"/>
        <v>-97041.45</v>
      </c>
      <c r="I5" s="14">
        <v>-309.0</v>
      </c>
      <c r="J5" s="8">
        <v>305.5</v>
      </c>
      <c r="K5" s="14">
        <f t="shared" si="5"/>
        <v>-94399.5</v>
      </c>
      <c r="M5" s="14">
        <f t="shared" si="6"/>
        <v>1577</v>
      </c>
    </row>
    <row r="6">
      <c r="A6" s="14" t="s">
        <v>116</v>
      </c>
      <c r="B6" s="14">
        <v>0.05</v>
      </c>
      <c r="C6" s="14">
        <v>1168.5</v>
      </c>
      <c r="D6" s="14">
        <v>439.0</v>
      </c>
      <c r="E6" s="14">
        <f t="shared" si="1"/>
        <v>424</v>
      </c>
      <c r="F6" s="14" t="str">
        <f t="shared" si="2"/>
        <v>SELL</v>
      </c>
      <c r="G6" s="14">
        <f t="shared" si="3"/>
        <v>-15</v>
      </c>
      <c r="H6" s="14">
        <f t="shared" si="4"/>
        <v>-17527.5</v>
      </c>
      <c r="I6" s="14">
        <v>-15.0</v>
      </c>
      <c r="J6" s="8">
        <v>1146.0</v>
      </c>
      <c r="K6" s="14">
        <f t="shared" si="5"/>
        <v>-17190</v>
      </c>
      <c r="M6" s="14">
        <f t="shared" si="6"/>
        <v>424</v>
      </c>
    </row>
    <row r="7">
      <c r="A7" s="14" t="s">
        <v>174</v>
      </c>
      <c r="B7" s="14">
        <v>0.05</v>
      </c>
      <c r="C7" s="14">
        <v>1229.0</v>
      </c>
      <c r="D7" s="14">
        <v>432.0</v>
      </c>
      <c r="E7" s="14">
        <f t="shared" si="1"/>
        <v>403</v>
      </c>
      <c r="F7" s="14" t="str">
        <f t="shared" si="2"/>
        <v>SELL</v>
      </c>
      <c r="G7" s="14">
        <f t="shared" si="3"/>
        <v>-29</v>
      </c>
      <c r="H7" s="14">
        <f t="shared" si="4"/>
        <v>-35641</v>
      </c>
      <c r="I7" s="14">
        <v>-29.0</v>
      </c>
      <c r="J7" s="8">
        <v>1220.7</v>
      </c>
      <c r="K7" s="14">
        <f t="shared" si="5"/>
        <v>-35400.3</v>
      </c>
      <c r="M7" s="14">
        <f t="shared" si="6"/>
        <v>403</v>
      </c>
    </row>
    <row r="8">
      <c r="A8" s="14" t="s">
        <v>59</v>
      </c>
      <c r="B8" s="14">
        <v>0.0</v>
      </c>
      <c r="C8" s="14">
        <v>1335.3</v>
      </c>
      <c r="D8" s="14">
        <v>348.0</v>
      </c>
      <c r="E8" s="14">
        <f t="shared" si="1"/>
        <v>0</v>
      </c>
      <c r="F8" s="14" t="str">
        <f t="shared" si="2"/>
        <v>SELL</v>
      </c>
      <c r="G8" s="14">
        <f t="shared" si="3"/>
        <v>-348</v>
      </c>
      <c r="H8" s="14">
        <f t="shared" si="4"/>
        <v>-464684.4</v>
      </c>
      <c r="I8" s="14">
        <v>-348.0</v>
      </c>
      <c r="J8" s="8">
        <v>1313.0</v>
      </c>
      <c r="K8" s="14">
        <f t="shared" si="5"/>
        <v>-456924</v>
      </c>
    </row>
    <row r="9">
      <c r="A9" s="14" t="s">
        <v>112</v>
      </c>
      <c r="B9" s="14">
        <v>0.0</v>
      </c>
      <c r="C9" s="14">
        <v>1028.5</v>
      </c>
      <c r="D9" s="14">
        <v>493.0</v>
      </c>
      <c r="E9" s="14">
        <f t="shared" si="1"/>
        <v>0</v>
      </c>
      <c r="F9" s="14" t="str">
        <f t="shared" si="2"/>
        <v>SELL</v>
      </c>
      <c r="G9" s="14">
        <f t="shared" si="3"/>
        <v>-493</v>
      </c>
      <c r="H9" s="14">
        <f t="shared" si="4"/>
        <v>-507050.5</v>
      </c>
      <c r="I9" s="14">
        <v>-493.0</v>
      </c>
      <c r="J9" s="8">
        <v>1005.3</v>
      </c>
      <c r="K9" s="14">
        <f t="shared" si="5"/>
        <v>-495612.9</v>
      </c>
    </row>
    <row r="10">
      <c r="A10" s="14" t="s">
        <v>175</v>
      </c>
      <c r="B10" s="14">
        <v>0.0</v>
      </c>
      <c r="C10" s="14">
        <v>420.45</v>
      </c>
      <c r="D10" s="14">
        <v>1020.0</v>
      </c>
      <c r="E10" s="14">
        <f t="shared" si="1"/>
        <v>0</v>
      </c>
      <c r="F10" s="14" t="str">
        <f t="shared" si="2"/>
        <v>SELL</v>
      </c>
      <c r="G10" s="14">
        <f t="shared" si="3"/>
        <v>-1020</v>
      </c>
      <c r="H10" s="14">
        <f t="shared" si="4"/>
        <v>-428859</v>
      </c>
      <c r="I10" s="14">
        <v>-1020.0</v>
      </c>
      <c r="J10" s="8">
        <v>407.6</v>
      </c>
      <c r="K10" s="14">
        <f t="shared" si="5"/>
        <v>-415752</v>
      </c>
    </row>
    <row r="11">
      <c r="A11" s="14" t="s">
        <v>28</v>
      </c>
      <c r="B11" s="14">
        <v>0.0</v>
      </c>
      <c r="C11" s="14">
        <v>375.8</v>
      </c>
      <c r="D11" s="14">
        <v>1338.0</v>
      </c>
      <c r="E11" s="14">
        <f t="shared" si="1"/>
        <v>0</v>
      </c>
      <c r="F11" s="14" t="str">
        <f t="shared" si="2"/>
        <v>SELL</v>
      </c>
      <c r="G11" s="14">
        <f t="shared" si="3"/>
        <v>-1338</v>
      </c>
      <c r="H11" s="14">
        <f t="shared" si="4"/>
        <v>-502820.4</v>
      </c>
      <c r="I11" s="14">
        <v>-1338.0</v>
      </c>
      <c r="J11" s="8">
        <v>369.1</v>
      </c>
      <c r="K11" s="14">
        <f t="shared" si="5"/>
        <v>-493855.8</v>
      </c>
    </row>
    <row r="12">
      <c r="A12" s="14" t="s">
        <v>89</v>
      </c>
      <c r="B12" s="14">
        <v>0.0</v>
      </c>
      <c r="C12" s="14">
        <v>489.95</v>
      </c>
      <c r="D12" s="14">
        <v>1083.0</v>
      </c>
      <c r="E12" s="14">
        <f t="shared" si="1"/>
        <v>0</v>
      </c>
      <c r="F12" s="14" t="str">
        <f t="shared" si="2"/>
        <v>SELL</v>
      </c>
      <c r="G12" s="14">
        <f t="shared" si="3"/>
        <v>-1083</v>
      </c>
      <c r="H12" s="14">
        <f t="shared" si="4"/>
        <v>-530615.85</v>
      </c>
      <c r="I12" s="14">
        <v>-1083.0</v>
      </c>
      <c r="J12" s="8">
        <v>488.25</v>
      </c>
      <c r="K12" s="14">
        <f t="shared" si="5"/>
        <v>-528774.75</v>
      </c>
    </row>
    <row r="13">
      <c r="A13" s="14" t="s">
        <v>97</v>
      </c>
      <c r="B13" s="14">
        <v>0.0</v>
      </c>
      <c r="C13" s="14">
        <v>567.5</v>
      </c>
      <c r="D13" s="14">
        <v>786.0</v>
      </c>
      <c r="E13" s="14">
        <f t="shared" si="1"/>
        <v>0</v>
      </c>
      <c r="F13" s="14" t="str">
        <f t="shared" si="2"/>
        <v>SELL</v>
      </c>
      <c r="G13" s="14">
        <f t="shared" si="3"/>
        <v>-786</v>
      </c>
      <c r="H13" s="14">
        <f t="shared" si="4"/>
        <v>-446055</v>
      </c>
      <c r="I13" s="14">
        <v>-786.0</v>
      </c>
      <c r="J13" s="8">
        <v>563.05</v>
      </c>
      <c r="K13" s="14">
        <f t="shared" si="5"/>
        <v>-442557.3</v>
      </c>
    </row>
    <row r="14">
      <c r="A14" s="14" t="s">
        <v>176</v>
      </c>
      <c r="B14" s="14">
        <v>0.0</v>
      </c>
      <c r="C14" s="14">
        <v>94.17</v>
      </c>
      <c r="D14" s="14">
        <v>4990.0</v>
      </c>
      <c r="E14" s="14">
        <f t="shared" si="1"/>
        <v>0</v>
      </c>
      <c r="F14" s="14" t="str">
        <f t="shared" si="2"/>
        <v>SELL</v>
      </c>
      <c r="G14" s="14">
        <f t="shared" si="3"/>
        <v>-4990</v>
      </c>
      <c r="H14" s="14">
        <f t="shared" si="4"/>
        <v>-469908.3</v>
      </c>
      <c r="I14" s="14">
        <v>-4990.0</v>
      </c>
      <c r="J14" s="8">
        <v>91.98</v>
      </c>
      <c r="K14" s="14">
        <f t="shared" si="5"/>
        <v>-458980.2</v>
      </c>
    </row>
    <row r="15">
      <c r="A15" s="14" t="s">
        <v>61</v>
      </c>
      <c r="B15" s="14">
        <v>0.05</v>
      </c>
      <c r="C15" s="14">
        <v>85.0</v>
      </c>
      <c r="D15" s="14">
        <v>5766.0</v>
      </c>
      <c r="E15" s="14">
        <f t="shared" si="1"/>
        <v>5828</v>
      </c>
      <c r="F15" s="14" t="str">
        <f t="shared" si="2"/>
        <v>BUY</v>
      </c>
      <c r="G15" s="14">
        <f t="shared" si="3"/>
        <v>62</v>
      </c>
      <c r="H15" s="14">
        <f t="shared" si="4"/>
        <v>5270</v>
      </c>
      <c r="I15" s="14">
        <v>62.0</v>
      </c>
      <c r="J15" s="8">
        <v>84.25</v>
      </c>
      <c r="K15" s="14">
        <f t="shared" si="5"/>
        <v>5223.5</v>
      </c>
      <c r="M15" s="14">
        <f t="shared" ref="M15:M30" si="7">D15+I15</f>
        <v>5828</v>
      </c>
    </row>
    <row r="16">
      <c r="A16" s="14" t="s">
        <v>41</v>
      </c>
      <c r="B16" s="14">
        <v>0.05</v>
      </c>
      <c r="C16" s="14">
        <v>164.0</v>
      </c>
      <c r="D16" s="14">
        <v>0.0</v>
      </c>
      <c r="E16" s="14">
        <f t="shared" si="1"/>
        <v>3021</v>
      </c>
      <c r="F16" s="14" t="str">
        <f t="shared" si="2"/>
        <v>BUY</v>
      </c>
      <c r="G16" s="14">
        <f t="shared" si="3"/>
        <v>3021</v>
      </c>
      <c r="H16" s="14">
        <f t="shared" si="4"/>
        <v>495444</v>
      </c>
      <c r="I16" s="14">
        <v>3021.0</v>
      </c>
      <c r="J16" s="8">
        <v>159.94</v>
      </c>
      <c r="K16" s="14">
        <f t="shared" si="5"/>
        <v>483178.74</v>
      </c>
      <c r="M16" s="14">
        <f t="shared" si="7"/>
        <v>3021</v>
      </c>
    </row>
    <row r="17">
      <c r="A17" s="14" t="s">
        <v>50</v>
      </c>
      <c r="B17" s="14">
        <v>0.05</v>
      </c>
      <c r="C17" s="14">
        <v>1371.1</v>
      </c>
      <c r="D17" s="14">
        <v>313.0</v>
      </c>
      <c r="E17" s="14">
        <f t="shared" si="1"/>
        <v>361</v>
      </c>
      <c r="F17" s="14" t="str">
        <f t="shared" si="2"/>
        <v>BUY</v>
      </c>
      <c r="G17" s="14">
        <f t="shared" si="3"/>
        <v>48</v>
      </c>
      <c r="H17" s="14">
        <f t="shared" si="4"/>
        <v>65812.8</v>
      </c>
      <c r="I17" s="14">
        <v>48.0</v>
      </c>
      <c r="J17" s="8">
        <v>1386.9</v>
      </c>
      <c r="K17" s="14">
        <f t="shared" si="5"/>
        <v>66571.2</v>
      </c>
      <c r="M17" s="14">
        <f t="shared" si="7"/>
        <v>361</v>
      </c>
    </row>
    <row r="18">
      <c r="A18" s="14" t="s">
        <v>56</v>
      </c>
      <c r="B18" s="14">
        <v>0.05</v>
      </c>
      <c r="C18" s="14">
        <v>1430.5</v>
      </c>
      <c r="D18" s="14">
        <v>309.0</v>
      </c>
      <c r="E18" s="14">
        <f t="shared" si="1"/>
        <v>346</v>
      </c>
      <c r="F18" s="14" t="str">
        <f t="shared" si="2"/>
        <v>BUY</v>
      </c>
      <c r="G18" s="14">
        <f t="shared" si="3"/>
        <v>37</v>
      </c>
      <c r="H18" s="14">
        <f t="shared" si="4"/>
        <v>52928.5</v>
      </c>
      <c r="I18" s="14">
        <v>37.0</v>
      </c>
      <c r="J18" s="8">
        <v>1423.0</v>
      </c>
      <c r="K18" s="14">
        <f t="shared" si="5"/>
        <v>52651</v>
      </c>
      <c r="M18" s="14">
        <f t="shared" si="7"/>
        <v>346</v>
      </c>
    </row>
    <row r="19">
      <c r="A19" s="14" t="s">
        <v>177</v>
      </c>
      <c r="B19" s="14">
        <v>0.05</v>
      </c>
      <c r="C19" s="14">
        <v>416.9</v>
      </c>
      <c r="D19" s="14">
        <v>0.0</v>
      </c>
      <c r="E19" s="14">
        <f t="shared" si="1"/>
        <v>1188</v>
      </c>
      <c r="F19" s="14" t="str">
        <f t="shared" si="2"/>
        <v>BUY</v>
      </c>
      <c r="G19" s="14">
        <f t="shared" si="3"/>
        <v>1188</v>
      </c>
      <c r="H19" s="14">
        <f t="shared" si="4"/>
        <v>495277.2</v>
      </c>
      <c r="I19" s="14">
        <v>1188.0</v>
      </c>
      <c r="J19" s="8">
        <v>410.1</v>
      </c>
      <c r="K19" s="14">
        <f t="shared" si="5"/>
        <v>487198.8</v>
      </c>
      <c r="M19" s="14">
        <f t="shared" si="7"/>
        <v>1188</v>
      </c>
    </row>
    <row r="20">
      <c r="A20" s="14" t="s">
        <v>178</v>
      </c>
      <c r="B20" s="14">
        <v>0.05</v>
      </c>
      <c r="C20" s="14">
        <v>1979.0</v>
      </c>
      <c r="D20" s="14">
        <v>0.0</v>
      </c>
      <c r="E20" s="14">
        <f t="shared" si="1"/>
        <v>250</v>
      </c>
      <c r="F20" s="14" t="str">
        <f t="shared" si="2"/>
        <v>BUY</v>
      </c>
      <c r="G20" s="14">
        <f t="shared" si="3"/>
        <v>250</v>
      </c>
      <c r="H20" s="14">
        <f t="shared" si="4"/>
        <v>494750</v>
      </c>
      <c r="I20" s="14">
        <v>250.0</v>
      </c>
      <c r="J20" s="8">
        <v>1927.5</v>
      </c>
      <c r="K20" s="14">
        <f t="shared" si="5"/>
        <v>481875</v>
      </c>
      <c r="M20" s="14">
        <f t="shared" si="7"/>
        <v>250</v>
      </c>
    </row>
    <row r="21">
      <c r="A21" s="14" t="s">
        <v>58</v>
      </c>
      <c r="B21" s="14">
        <v>0.05</v>
      </c>
      <c r="C21" s="14">
        <v>240.9</v>
      </c>
      <c r="D21" s="14">
        <v>2018.0</v>
      </c>
      <c r="E21" s="14">
        <f t="shared" si="1"/>
        <v>2056</v>
      </c>
      <c r="F21" s="14" t="str">
        <f t="shared" si="2"/>
        <v>BUY</v>
      </c>
      <c r="G21" s="14">
        <f t="shared" si="3"/>
        <v>38</v>
      </c>
      <c r="H21" s="14">
        <f t="shared" si="4"/>
        <v>9154.2</v>
      </c>
      <c r="I21" s="14">
        <v>38.0</v>
      </c>
      <c r="J21" s="8">
        <v>241.65</v>
      </c>
      <c r="K21" s="14">
        <f t="shared" si="5"/>
        <v>9182.7</v>
      </c>
      <c r="M21" s="14">
        <f t="shared" si="7"/>
        <v>2056</v>
      </c>
    </row>
    <row r="22">
      <c r="A22" s="14" t="s">
        <v>179</v>
      </c>
      <c r="B22" s="14">
        <v>0.05</v>
      </c>
      <c r="C22" s="14">
        <v>129.5</v>
      </c>
      <c r="D22" s="14">
        <v>0.0</v>
      </c>
      <c r="E22" s="14">
        <f t="shared" si="1"/>
        <v>3825</v>
      </c>
      <c r="F22" s="14" t="str">
        <f t="shared" si="2"/>
        <v>BUY</v>
      </c>
      <c r="G22" s="14">
        <f t="shared" si="3"/>
        <v>3825</v>
      </c>
      <c r="H22" s="14">
        <f t="shared" si="4"/>
        <v>495337.5</v>
      </c>
      <c r="I22" s="14">
        <v>3825.0</v>
      </c>
      <c r="J22" s="8">
        <v>127.08</v>
      </c>
      <c r="K22" s="14">
        <f t="shared" si="5"/>
        <v>486081</v>
      </c>
      <c r="M22" s="14">
        <f t="shared" si="7"/>
        <v>3825</v>
      </c>
    </row>
    <row r="23">
      <c r="A23" s="14" t="s">
        <v>68</v>
      </c>
      <c r="B23" s="14">
        <v>0.05</v>
      </c>
      <c r="C23" s="14">
        <v>1803.7</v>
      </c>
      <c r="D23" s="14">
        <v>238.0</v>
      </c>
      <c r="E23" s="14">
        <f t="shared" si="1"/>
        <v>275</v>
      </c>
      <c r="F23" s="14" t="str">
        <f t="shared" si="2"/>
        <v>BUY</v>
      </c>
      <c r="G23" s="14">
        <f t="shared" si="3"/>
        <v>37</v>
      </c>
      <c r="H23" s="14">
        <f t="shared" si="4"/>
        <v>66736.9</v>
      </c>
      <c r="I23" s="14">
        <v>37.0</v>
      </c>
      <c r="J23" s="8">
        <v>1785.9</v>
      </c>
      <c r="K23" s="14">
        <f t="shared" si="5"/>
        <v>66078.3</v>
      </c>
      <c r="M23" s="14">
        <f t="shared" si="7"/>
        <v>275</v>
      </c>
    </row>
    <row r="24">
      <c r="A24" s="14" t="s">
        <v>180</v>
      </c>
      <c r="B24" s="14">
        <v>0.05</v>
      </c>
      <c r="C24" s="14">
        <v>441.25</v>
      </c>
      <c r="D24" s="14">
        <v>0.0</v>
      </c>
      <c r="E24" s="14">
        <f t="shared" si="1"/>
        <v>1123</v>
      </c>
      <c r="F24" s="14" t="str">
        <f t="shared" si="2"/>
        <v>BUY</v>
      </c>
      <c r="G24" s="14">
        <f t="shared" si="3"/>
        <v>1123</v>
      </c>
      <c r="H24" s="14">
        <f t="shared" si="4"/>
        <v>495523.75</v>
      </c>
      <c r="I24" s="14">
        <v>1123.0</v>
      </c>
      <c r="J24" s="8">
        <v>435.6</v>
      </c>
      <c r="K24" s="14">
        <f t="shared" si="5"/>
        <v>489178.8</v>
      </c>
      <c r="M24" s="14">
        <f t="shared" si="7"/>
        <v>1123</v>
      </c>
    </row>
    <row r="25">
      <c r="A25" s="14" t="s">
        <v>83</v>
      </c>
      <c r="B25" s="14">
        <v>0.05</v>
      </c>
      <c r="C25" s="14">
        <v>340.9</v>
      </c>
      <c r="D25" s="14">
        <v>1342.0</v>
      </c>
      <c r="E25" s="14">
        <f t="shared" si="1"/>
        <v>1453</v>
      </c>
      <c r="F25" s="14" t="str">
        <f t="shared" si="2"/>
        <v>BUY</v>
      </c>
      <c r="G25" s="14">
        <f t="shared" si="3"/>
        <v>111</v>
      </c>
      <c r="H25" s="14">
        <f t="shared" si="4"/>
        <v>37839.9</v>
      </c>
      <c r="I25" s="14">
        <v>111.0</v>
      </c>
      <c r="J25" s="8">
        <v>334.05</v>
      </c>
      <c r="K25" s="14">
        <f t="shared" si="5"/>
        <v>37079.55</v>
      </c>
      <c r="M25" s="14">
        <f t="shared" si="7"/>
        <v>1453</v>
      </c>
    </row>
    <row r="26">
      <c r="A26" s="14" t="s">
        <v>119</v>
      </c>
      <c r="B26" s="14">
        <v>0.05</v>
      </c>
      <c r="C26" s="14">
        <v>189.25</v>
      </c>
      <c r="D26" s="14">
        <v>0.0</v>
      </c>
      <c r="E26" s="14">
        <f t="shared" si="1"/>
        <v>2618</v>
      </c>
      <c r="F26" s="14" t="str">
        <f t="shared" si="2"/>
        <v>BUY</v>
      </c>
      <c r="G26" s="14">
        <f t="shared" si="3"/>
        <v>2618</v>
      </c>
      <c r="H26" s="14">
        <f t="shared" si="4"/>
        <v>495456.5</v>
      </c>
      <c r="I26" s="14">
        <v>2618.0</v>
      </c>
      <c r="J26" s="8">
        <v>186.95</v>
      </c>
      <c r="K26" s="14">
        <f t="shared" si="5"/>
        <v>489435.1</v>
      </c>
      <c r="M26" s="14">
        <f t="shared" si="7"/>
        <v>2618</v>
      </c>
    </row>
    <row r="27">
      <c r="A27" s="14" t="s">
        <v>101</v>
      </c>
      <c r="B27" s="14">
        <v>0.05</v>
      </c>
      <c r="C27" s="14">
        <v>235.15</v>
      </c>
      <c r="D27" s="14">
        <v>2029.0</v>
      </c>
      <c r="E27" s="14">
        <f t="shared" si="1"/>
        <v>2107</v>
      </c>
      <c r="F27" s="14" t="str">
        <f t="shared" si="2"/>
        <v>BUY</v>
      </c>
      <c r="G27" s="14">
        <f t="shared" si="3"/>
        <v>78</v>
      </c>
      <c r="H27" s="14">
        <f t="shared" si="4"/>
        <v>18341.7</v>
      </c>
      <c r="I27" s="14">
        <v>78.0</v>
      </c>
      <c r="J27" s="8">
        <v>238.29</v>
      </c>
      <c r="K27" s="14">
        <f t="shared" si="5"/>
        <v>18586.62</v>
      </c>
      <c r="M27" s="14">
        <f t="shared" si="7"/>
        <v>2107</v>
      </c>
    </row>
    <row r="28">
      <c r="A28" s="14" t="s">
        <v>181</v>
      </c>
      <c r="B28" s="14">
        <v>0.05</v>
      </c>
      <c r="C28" s="14">
        <v>320.2</v>
      </c>
      <c r="D28" s="14">
        <v>1499.0</v>
      </c>
      <c r="E28" s="14">
        <f t="shared" si="1"/>
        <v>1547</v>
      </c>
      <c r="F28" s="14" t="str">
        <f t="shared" si="2"/>
        <v>BUY</v>
      </c>
      <c r="G28" s="14">
        <f t="shared" si="3"/>
        <v>48</v>
      </c>
      <c r="H28" s="14">
        <f t="shared" si="4"/>
        <v>15369.6</v>
      </c>
      <c r="I28" s="14">
        <v>48.0</v>
      </c>
      <c r="J28" s="8">
        <v>314.1</v>
      </c>
      <c r="K28" s="14">
        <f t="shared" si="5"/>
        <v>15076.8</v>
      </c>
      <c r="M28" s="14">
        <f t="shared" si="7"/>
        <v>1547</v>
      </c>
    </row>
    <row r="29">
      <c r="A29" s="14" t="s">
        <v>120</v>
      </c>
      <c r="B29" s="14">
        <v>0.05</v>
      </c>
      <c r="C29" s="14">
        <v>186.14</v>
      </c>
      <c r="D29" s="14">
        <v>2585.0</v>
      </c>
      <c r="E29" s="14">
        <f t="shared" si="1"/>
        <v>2661</v>
      </c>
      <c r="F29" s="14" t="str">
        <f t="shared" si="2"/>
        <v>BUY</v>
      </c>
      <c r="G29" s="14">
        <f t="shared" si="3"/>
        <v>76</v>
      </c>
      <c r="H29" s="14">
        <f t="shared" si="4"/>
        <v>14146.64</v>
      </c>
      <c r="I29" s="14">
        <v>76.0</v>
      </c>
      <c r="J29" s="8">
        <v>182.27</v>
      </c>
      <c r="K29" s="14">
        <f t="shared" si="5"/>
        <v>13852.52</v>
      </c>
      <c r="M29" s="14">
        <f t="shared" si="7"/>
        <v>2661</v>
      </c>
    </row>
    <row r="30">
      <c r="A30" s="14" t="s">
        <v>182</v>
      </c>
      <c r="B30" s="14">
        <v>0.05</v>
      </c>
      <c r="C30" s="14">
        <v>22.2</v>
      </c>
      <c r="D30" s="14">
        <v>0.0</v>
      </c>
      <c r="E30" s="14">
        <f t="shared" si="1"/>
        <v>22315</v>
      </c>
      <c r="F30" s="14" t="str">
        <f t="shared" si="2"/>
        <v>BUY</v>
      </c>
      <c r="G30" s="14">
        <f t="shared" si="3"/>
        <v>22315</v>
      </c>
      <c r="H30" s="14">
        <f t="shared" si="4"/>
        <v>495393</v>
      </c>
      <c r="I30" s="14">
        <v>22315.0</v>
      </c>
      <c r="J30" s="8">
        <v>21.9</v>
      </c>
      <c r="K30" s="14">
        <f t="shared" si="5"/>
        <v>488698.5</v>
      </c>
      <c r="M30" s="14">
        <f t="shared" si="7"/>
        <v>22315</v>
      </c>
    </row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autoFilter ref="$A$3:$AA$30">
    <sortState ref="A3:AA30">
      <sortCondition descending="1" ref="F3:F30"/>
    </sortState>
  </autoFilter>
  <mergeCells count="2">
    <mergeCell ref="C2:G2"/>
    <mergeCell ref="I2:K2"/>
  </mergeCells>
  <conditionalFormatting sqref="C10">
    <cfRule type="notContainsBlanks" dxfId="0" priority="1">
      <formula>LEN(TRIM(C10))&gt;0</formula>
    </cfRule>
  </conditionalFormatting>
  <conditionalFormatting sqref="C11">
    <cfRule type="notContainsBlanks" dxfId="0" priority="2">
      <formula>LEN(TRIM(C11))&gt;0</formula>
    </cfRule>
  </conditionalFormatting>
  <conditionalFormatting sqref="C12">
    <cfRule type="notContainsBlanks" dxfId="0" priority="3">
      <formula>LEN(TRIM(C12))&gt;0</formula>
    </cfRule>
  </conditionalFormatting>
  <conditionalFormatting sqref="C13">
    <cfRule type="notContainsBlanks" dxfId="0" priority="4">
      <formula>LEN(TRIM(C13))&gt;0</formula>
    </cfRule>
  </conditionalFormatting>
  <conditionalFormatting sqref="C14">
    <cfRule type="notContainsBlanks" dxfId="0" priority="5">
      <formula>LEN(TRIM(C14))&gt;0</formula>
    </cfRule>
  </conditionalFormatting>
  <conditionalFormatting sqref="C15">
    <cfRule type="notContainsBlanks" dxfId="0" priority="6">
      <formula>LEN(TRIM(C15))&gt;0</formula>
    </cfRule>
  </conditionalFormatting>
  <conditionalFormatting sqref="C16">
    <cfRule type="notContainsBlanks" dxfId="0" priority="7">
      <formula>LEN(TRIM(C16))&gt;0</formula>
    </cfRule>
  </conditionalFormatting>
  <conditionalFormatting sqref="C17">
    <cfRule type="notContainsBlanks" dxfId="0" priority="8">
      <formula>LEN(TRIM(C17))&gt;0</formula>
    </cfRule>
  </conditionalFormatting>
  <conditionalFormatting sqref="C18">
    <cfRule type="notContainsBlanks" dxfId="0" priority="9">
      <formula>LEN(TRIM(C18))&gt;0</formula>
    </cfRule>
  </conditionalFormatting>
  <conditionalFormatting sqref="C19">
    <cfRule type="notContainsBlanks" dxfId="0" priority="10">
      <formula>LEN(TRIM(C19))&gt;0</formula>
    </cfRule>
  </conditionalFormatting>
  <conditionalFormatting sqref="C20">
    <cfRule type="notContainsBlanks" dxfId="0" priority="11">
      <formula>LEN(TRIM(C20))&gt;0</formula>
    </cfRule>
  </conditionalFormatting>
  <conditionalFormatting sqref="C21">
    <cfRule type="notContainsBlanks" dxfId="0" priority="12">
      <formula>LEN(TRIM(C21))&gt;0</formula>
    </cfRule>
  </conditionalFormatting>
  <conditionalFormatting sqref="C22">
    <cfRule type="notContainsBlanks" dxfId="0" priority="13">
      <formula>LEN(TRIM(C22))&gt;0</formula>
    </cfRule>
  </conditionalFormatting>
  <conditionalFormatting sqref="C23">
    <cfRule type="notContainsBlanks" dxfId="0" priority="14">
      <formula>LEN(TRIM(C23))&gt;0</formula>
    </cfRule>
  </conditionalFormatting>
  <conditionalFormatting sqref="C24">
    <cfRule type="notContainsBlanks" dxfId="0" priority="15">
      <formula>LEN(TRIM(C24))&gt;0</formula>
    </cfRule>
  </conditionalFormatting>
  <conditionalFormatting sqref="C25">
    <cfRule type="notContainsBlanks" dxfId="0" priority="16">
      <formula>LEN(TRIM(C25))&gt;0</formula>
    </cfRule>
  </conditionalFormatting>
  <conditionalFormatting sqref="C26">
    <cfRule type="notContainsBlanks" dxfId="0" priority="17">
      <formula>LEN(TRIM(C26))&gt;0</formula>
    </cfRule>
  </conditionalFormatting>
  <conditionalFormatting sqref="C27">
    <cfRule type="notContainsBlanks" dxfId="0" priority="18">
      <formula>LEN(TRIM(C27))&gt;0</formula>
    </cfRule>
  </conditionalFormatting>
  <conditionalFormatting sqref="C28">
    <cfRule type="notContainsBlanks" dxfId="0" priority="19">
      <formula>LEN(TRIM(C28))&gt;0</formula>
    </cfRule>
  </conditionalFormatting>
  <conditionalFormatting sqref="C29">
    <cfRule type="notContainsBlanks" dxfId="0" priority="20">
      <formula>LEN(TRIM(C29))&gt;0</formula>
    </cfRule>
  </conditionalFormatting>
  <conditionalFormatting sqref="C30">
    <cfRule type="notContainsBlanks" dxfId="0" priority="21">
      <formula>LEN(TRIM(C30))&gt;0</formula>
    </cfRule>
  </conditionalFormatting>
  <conditionalFormatting sqref="C4:C30">
    <cfRule type="notContainsBlanks" dxfId="0" priority="22">
      <formula>LEN(TRIM(C4))&gt;0</formula>
    </cfRule>
  </conditionalFormatting>
  <conditionalFormatting sqref="C5">
    <cfRule type="notContainsBlanks" dxfId="0" priority="23">
      <formula>LEN(TRIM(C5))&gt;0</formula>
    </cfRule>
  </conditionalFormatting>
  <conditionalFormatting sqref="C6">
    <cfRule type="notContainsBlanks" dxfId="0" priority="24">
      <formula>LEN(TRIM(C6))&gt;0</formula>
    </cfRule>
  </conditionalFormatting>
  <conditionalFormatting sqref="C7">
    <cfRule type="notContainsBlanks" dxfId="0" priority="25">
      <formula>LEN(TRIM(C7))&gt;0</formula>
    </cfRule>
  </conditionalFormatting>
  <conditionalFormatting sqref="C8">
    <cfRule type="notContainsBlanks" dxfId="0" priority="26">
      <formula>LEN(TRIM(C8))&gt;0</formula>
    </cfRule>
  </conditionalFormatting>
  <conditionalFormatting sqref="C9">
    <cfRule type="notContainsBlanks" dxfId="0" priority="27">
      <formula>LEN(TRIM(C9))&gt;0</formula>
    </cfRule>
  </conditionalFormatting>
  <conditionalFormatting sqref="D10">
    <cfRule type="notContainsBlanks" dxfId="0" priority="28">
      <formula>LEN(TRIM(D10))&gt;0</formula>
    </cfRule>
  </conditionalFormatting>
  <conditionalFormatting sqref="D11">
    <cfRule type="notContainsBlanks" dxfId="0" priority="29">
      <formula>LEN(TRIM(D11))&gt;0</formula>
    </cfRule>
  </conditionalFormatting>
  <conditionalFormatting sqref="D12">
    <cfRule type="notContainsBlanks" dxfId="0" priority="30">
      <formula>LEN(TRIM(D12))&gt;0</formula>
    </cfRule>
  </conditionalFormatting>
  <conditionalFormatting sqref="D13">
    <cfRule type="notContainsBlanks" dxfId="0" priority="31">
      <formula>LEN(TRIM(D13))&gt;0</formula>
    </cfRule>
  </conditionalFormatting>
  <conditionalFormatting sqref="D14">
    <cfRule type="notContainsBlanks" dxfId="0" priority="32">
      <formula>LEN(TRIM(D14))&gt;0</formula>
    </cfRule>
  </conditionalFormatting>
  <conditionalFormatting sqref="D15">
    <cfRule type="notContainsBlanks" dxfId="0" priority="33">
      <formula>LEN(TRIM(D15))&gt;0</formula>
    </cfRule>
  </conditionalFormatting>
  <conditionalFormatting sqref="D16">
    <cfRule type="notContainsBlanks" dxfId="0" priority="34">
      <formula>LEN(TRIM(D16))&gt;0</formula>
    </cfRule>
  </conditionalFormatting>
  <conditionalFormatting sqref="D17">
    <cfRule type="notContainsBlanks" dxfId="0" priority="35">
      <formula>LEN(TRIM(D17))&gt;0</formula>
    </cfRule>
  </conditionalFormatting>
  <conditionalFormatting sqref="D18">
    <cfRule type="notContainsBlanks" dxfId="0" priority="36">
      <formula>LEN(TRIM(D18))&gt;0</formula>
    </cfRule>
  </conditionalFormatting>
  <conditionalFormatting sqref="D19">
    <cfRule type="notContainsBlanks" dxfId="0" priority="37">
      <formula>LEN(TRIM(D19))&gt;0</formula>
    </cfRule>
  </conditionalFormatting>
  <conditionalFormatting sqref="D20">
    <cfRule type="notContainsBlanks" dxfId="0" priority="38">
      <formula>LEN(TRIM(D20))&gt;0</formula>
    </cfRule>
  </conditionalFormatting>
  <conditionalFormatting sqref="D21">
    <cfRule type="notContainsBlanks" dxfId="0" priority="39">
      <formula>LEN(TRIM(D21))&gt;0</formula>
    </cfRule>
  </conditionalFormatting>
  <conditionalFormatting sqref="D22">
    <cfRule type="notContainsBlanks" dxfId="0" priority="40">
      <formula>LEN(TRIM(D22))&gt;0</formula>
    </cfRule>
  </conditionalFormatting>
  <conditionalFormatting sqref="D23">
    <cfRule type="notContainsBlanks" dxfId="0" priority="41">
      <formula>LEN(TRIM(D23))&gt;0</formula>
    </cfRule>
  </conditionalFormatting>
  <conditionalFormatting sqref="D24">
    <cfRule type="notContainsBlanks" dxfId="0" priority="42">
      <formula>LEN(TRIM(D24))&gt;0</formula>
    </cfRule>
  </conditionalFormatting>
  <conditionalFormatting sqref="D25">
    <cfRule type="notContainsBlanks" dxfId="0" priority="43">
      <formula>LEN(TRIM(D25))&gt;0</formula>
    </cfRule>
  </conditionalFormatting>
  <conditionalFormatting sqref="D26">
    <cfRule type="notContainsBlanks" dxfId="0" priority="44">
      <formula>LEN(TRIM(D26))&gt;0</formula>
    </cfRule>
  </conditionalFormatting>
  <conditionalFormatting sqref="D27">
    <cfRule type="notContainsBlanks" dxfId="0" priority="45">
      <formula>LEN(TRIM(D27))&gt;0</formula>
    </cfRule>
  </conditionalFormatting>
  <conditionalFormatting sqref="D28">
    <cfRule type="notContainsBlanks" dxfId="0" priority="46">
      <formula>LEN(TRIM(D28))&gt;0</formula>
    </cfRule>
  </conditionalFormatting>
  <conditionalFormatting sqref="D29">
    <cfRule type="notContainsBlanks" dxfId="0" priority="47">
      <formula>LEN(TRIM(D29))&gt;0</formula>
    </cfRule>
  </conditionalFormatting>
  <conditionalFormatting sqref="D30">
    <cfRule type="notContainsBlanks" dxfId="0" priority="48">
      <formula>LEN(TRIM(D30))&gt;0</formula>
    </cfRule>
  </conditionalFormatting>
  <conditionalFormatting sqref="D4">
    <cfRule type="notContainsBlanks" dxfId="0" priority="49">
      <formula>LEN(TRIM(D4))&gt;0</formula>
    </cfRule>
  </conditionalFormatting>
  <conditionalFormatting sqref="D5">
    <cfRule type="notContainsBlanks" dxfId="0" priority="50">
      <formula>LEN(TRIM(D5))&gt;0</formula>
    </cfRule>
  </conditionalFormatting>
  <conditionalFormatting sqref="D6">
    <cfRule type="notContainsBlanks" dxfId="0" priority="51">
      <formula>LEN(TRIM(D6))&gt;0</formula>
    </cfRule>
  </conditionalFormatting>
  <conditionalFormatting sqref="D7">
    <cfRule type="notContainsBlanks" dxfId="0" priority="52">
      <formula>LEN(TRIM(D7))&gt;0</formula>
    </cfRule>
  </conditionalFormatting>
  <conditionalFormatting sqref="D8">
    <cfRule type="notContainsBlanks" dxfId="0" priority="53">
      <formula>LEN(TRIM(D8))&gt;0</formula>
    </cfRule>
  </conditionalFormatting>
  <conditionalFormatting sqref="D9">
    <cfRule type="notContainsBlanks" dxfId="0" priority="54">
      <formula>LEN(TRIM(D9))&gt;0</formula>
    </cfRule>
  </conditionalFormatting>
  <conditionalFormatting sqref="E10">
    <cfRule type="notContainsBlanks" dxfId="0" priority="55">
      <formula>LEN(TRIM(E10))&gt;0</formula>
    </cfRule>
  </conditionalFormatting>
  <conditionalFormatting sqref="E11">
    <cfRule type="notContainsBlanks" dxfId="0" priority="56">
      <formula>LEN(TRIM(E11))&gt;0</formula>
    </cfRule>
  </conditionalFormatting>
  <conditionalFormatting sqref="E12">
    <cfRule type="notContainsBlanks" dxfId="0" priority="57">
      <formula>LEN(TRIM(E12))&gt;0</formula>
    </cfRule>
  </conditionalFormatting>
  <conditionalFormatting sqref="E13">
    <cfRule type="notContainsBlanks" dxfId="0" priority="58">
      <formula>LEN(TRIM(E13))&gt;0</formula>
    </cfRule>
  </conditionalFormatting>
  <conditionalFormatting sqref="E14">
    <cfRule type="notContainsBlanks" dxfId="0" priority="59">
      <formula>LEN(TRIM(E14))&gt;0</formula>
    </cfRule>
  </conditionalFormatting>
  <conditionalFormatting sqref="E15">
    <cfRule type="notContainsBlanks" dxfId="0" priority="60">
      <formula>LEN(TRIM(E15))&gt;0</formula>
    </cfRule>
  </conditionalFormatting>
  <conditionalFormatting sqref="E16">
    <cfRule type="notContainsBlanks" dxfId="0" priority="61">
      <formula>LEN(TRIM(E16))&gt;0</formula>
    </cfRule>
  </conditionalFormatting>
  <conditionalFormatting sqref="E17">
    <cfRule type="notContainsBlanks" dxfId="0" priority="62">
      <formula>LEN(TRIM(E17))&gt;0</formula>
    </cfRule>
  </conditionalFormatting>
  <conditionalFormatting sqref="E18">
    <cfRule type="notContainsBlanks" dxfId="0" priority="63">
      <formula>LEN(TRIM(E18))&gt;0</formula>
    </cfRule>
  </conditionalFormatting>
  <conditionalFormatting sqref="E19">
    <cfRule type="notContainsBlanks" dxfId="0" priority="64">
      <formula>LEN(TRIM(E19))&gt;0</formula>
    </cfRule>
  </conditionalFormatting>
  <conditionalFormatting sqref="E20">
    <cfRule type="notContainsBlanks" dxfId="0" priority="65">
      <formula>LEN(TRIM(E20))&gt;0</formula>
    </cfRule>
  </conditionalFormatting>
  <conditionalFormatting sqref="E21">
    <cfRule type="notContainsBlanks" dxfId="0" priority="66">
      <formula>LEN(TRIM(E21))&gt;0</formula>
    </cfRule>
  </conditionalFormatting>
  <conditionalFormatting sqref="E22">
    <cfRule type="notContainsBlanks" dxfId="0" priority="67">
      <formula>LEN(TRIM(E22))&gt;0</formula>
    </cfRule>
  </conditionalFormatting>
  <conditionalFormatting sqref="E23">
    <cfRule type="notContainsBlanks" dxfId="0" priority="68">
      <formula>LEN(TRIM(E23))&gt;0</formula>
    </cfRule>
  </conditionalFormatting>
  <conditionalFormatting sqref="E24">
    <cfRule type="notContainsBlanks" dxfId="0" priority="69">
      <formula>LEN(TRIM(E24))&gt;0</formula>
    </cfRule>
  </conditionalFormatting>
  <conditionalFormatting sqref="E25">
    <cfRule type="notContainsBlanks" dxfId="0" priority="70">
      <formula>LEN(TRIM(E25))&gt;0</formula>
    </cfRule>
  </conditionalFormatting>
  <conditionalFormatting sqref="E26">
    <cfRule type="notContainsBlanks" dxfId="0" priority="71">
      <formula>LEN(TRIM(E26))&gt;0</formula>
    </cfRule>
  </conditionalFormatting>
  <conditionalFormatting sqref="E27">
    <cfRule type="notContainsBlanks" dxfId="0" priority="72">
      <formula>LEN(TRIM(E27))&gt;0</formula>
    </cfRule>
  </conditionalFormatting>
  <conditionalFormatting sqref="E28">
    <cfRule type="notContainsBlanks" dxfId="0" priority="73">
      <formula>LEN(TRIM(E28))&gt;0</formula>
    </cfRule>
  </conditionalFormatting>
  <conditionalFormatting sqref="E29">
    <cfRule type="notContainsBlanks" dxfId="0" priority="74">
      <formula>LEN(TRIM(E29))&gt;0</formula>
    </cfRule>
  </conditionalFormatting>
  <conditionalFormatting sqref="E30">
    <cfRule type="notContainsBlanks" dxfId="0" priority="75">
      <formula>LEN(TRIM(E30))&gt;0</formula>
    </cfRule>
  </conditionalFormatting>
  <conditionalFormatting sqref="E4">
    <cfRule type="notContainsBlanks" dxfId="0" priority="76">
      <formula>LEN(TRIM(E4))&gt;0</formula>
    </cfRule>
  </conditionalFormatting>
  <conditionalFormatting sqref="E5">
    <cfRule type="notContainsBlanks" dxfId="0" priority="77">
      <formula>LEN(TRIM(E5))&gt;0</formula>
    </cfRule>
  </conditionalFormatting>
  <conditionalFormatting sqref="E6">
    <cfRule type="notContainsBlanks" dxfId="0" priority="78">
      <formula>LEN(TRIM(E6))&gt;0</formula>
    </cfRule>
  </conditionalFormatting>
  <conditionalFormatting sqref="E7">
    <cfRule type="notContainsBlanks" dxfId="0" priority="79">
      <formula>LEN(TRIM(E7))&gt;0</formula>
    </cfRule>
  </conditionalFormatting>
  <conditionalFormatting sqref="E8">
    <cfRule type="notContainsBlanks" dxfId="0" priority="80">
      <formula>LEN(TRIM(E8))&gt;0</formula>
    </cfRule>
  </conditionalFormatting>
  <conditionalFormatting sqref="E9">
    <cfRule type="notContainsBlanks" dxfId="0" priority="81">
      <formula>LEN(TRIM(E9))&gt;0</formula>
    </cfRule>
  </conditionalFormatting>
  <conditionalFormatting sqref="F10">
    <cfRule type="notContainsBlanks" dxfId="0" priority="82">
      <formula>LEN(TRIM(F10))&gt;0</formula>
    </cfRule>
  </conditionalFormatting>
  <conditionalFormatting sqref="F11">
    <cfRule type="notContainsBlanks" dxfId="0" priority="83">
      <formula>LEN(TRIM(F11))&gt;0</formula>
    </cfRule>
  </conditionalFormatting>
  <conditionalFormatting sqref="F12">
    <cfRule type="notContainsBlanks" dxfId="0" priority="84">
      <formula>LEN(TRIM(F12))&gt;0</formula>
    </cfRule>
  </conditionalFormatting>
  <conditionalFormatting sqref="F13">
    <cfRule type="notContainsBlanks" dxfId="0" priority="85">
      <formula>LEN(TRIM(F13))&gt;0</formula>
    </cfRule>
  </conditionalFormatting>
  <conditionalFormatting sqref="F14">
    <cfRule type="notContainsBlanks" dxfId="0" priority="86">
      <formula>LEN(TRIM(F14))&gt;0</formula>
    </cfRule>
  </conditionalFormatting>
  <conditionalFormatting sqref="F15">
    <cfRule type="notContainsBlanks" dxfId="0" priority="87">
      <formula>LEN(TRIM(F15))&gt;0</formula>
    </cfRule>
  </conditionalFormatting>
  <conditionalFormatting sqref="F16">
    <cfRule type="notContainsBlanks" dxfId="0" priority="88">
      <formula>LEN(TRIM(F16))&gt;0</formula>
    </cfRule>
  </conditionalFormatting>
  <conditionalFormatting sqref="F17">
    <cfRule type="notContainsBlanks" dxfId="0" priority="89">
      <formula>LEN(TRIM(F17))&gt;0</formula>
    </cfRule>
  </conditionalFormatting>
  <conditionalFormatting sqref="F18">
    <cfRule type="notContainsBlanks" dxfId="0" priority="90">
      <formula>LEN(TRIM(F18))&gt;0</formula>
    </cfRule>
  </conditionalFormatting>
  <conditionalFormatting sqref="F19">
    <cfRule type="notContainsBlanks" dxfId="0" priority="91">
      <formula>LEN(TRIM(F19))&gt;0</formula>
    </cfRule>
  </conditionalFormatting>
  <conditionalFormatting sqref="F20">
    <cfRule type="notContainsBlanks" dxfId="0" priority="92">
      <formula>LEN(TRIM(F20))&gt;0</formula>
    </cfRule>
  </conditionalFormatting>
  <conditionalFormatting sqref="F21">
    <cfRule type="notContainsBlanks" dxfId="0" priority="93">
      <formula>LEN(TRIM(F21))&gt;0</formula>
    </cfRule>
  </conditionalFormatting>
  <conditionalFormatting sqref="F22">
    <cfRule type="notContainsBlanks" dxfId="0" priority="94">
      <formula>LEN(TRIM(F22))&gt;0</formula>
    </cfRule>
  </conditionalFormatting>
  <conditionalFormatting sqref="F23">
    <cfRule type="notContainsBlanks" dxfId="0" priority="95">
      <formula>LEN(TRIM(F23))&gt;0</formula>
    </cfRule>
  </conditionalFormatting>
  <conditionalFormatting sqref="F24">
    <cfRule type="notContainsBlanks" dxfId="0" priority="96">
      <formula>LEN(TRIM(F24))&gt;0</formula>
    </cfRule>
  </conditionalFormatting>
  <conditionalFormatting sqref="F25">
    <cfRule type="notContainsBlanks" dxfId="0" priority="97">
      <formula>LEN(TRIM(F25))&gt;0</formula>
    </cfRule>
  </conditionalFormatting>
  <conditionalFormatting sqref="F26">
    <cfRule type="notContainsBlanks" dxfId="0" priority="98">
      <formula>LEN(TRIM(F26))&gt;0</formula>
    </cfRule>
  </conditionalFormatting>
  <conditionalFormatting sqref="F27">
    <cfRule type="notContainsBlanks" dxfId="0" priority="99">
      <formula>LEN(TRIM(F27))&gt;0</formula>
    </cfRule>
  </conditionalFormatting>
  <conditionalFormatting sqref="F28">
    <cfRule type="notContainsBlanks" dxfId="0" priority="100">
      <formula>LEN(TRIM(F28))&gt;0</formula>
    </cfRule>
  </conditionalFormatting>
  <conditionalFormatting sqref="F29">
    <cfRule type="notContainsBlanks" dxfId="0" priority="101">
      <formula>LEN(TRIM(F29))&gt;0</formula>
    </cfRule>
  </conditionalFormatting>
  <conditionalFormatting sqref="F30">
    <cfRule type="notContainsBlanks" dxfId="0" priority="102">
      <formula>LEN(TRIM(F30))&gt;0</formula>
    </cfRule>
  </conditionalFormatting>
  <conditionalFormatting sqref="F4">
    <cfRule type="notContainsBlanks" dxfId="0" priority="103">
      <formula>LEN(TRIM(F4))&gt;0</formula>
    </cfRule>
  </conditionalFormatting>
  <conditionalFormatting sqref="F5">
    <cfRule type="notContainsBlanks" dxfId="0" priority="104">
      <formula>LEN(TRIM(F5))&gt;0</formula>
    </cfRule>
  </conditionalFormatting>
  <conditionalFormatting sqref="F6">
    <cfRule type="notContainsBlanks" dxfId="0" priority="105">
      <formula>LEN(TRIM(F6))&gt;0</formula>
    </cfRule>
  </conditionalFormatting>
  <conditionalFormatting sqref="F7">
    <cfRule type="notContainsBlanks" dxfId="0" priority="106">
      <formula>LEN(TRIM(F7))&gt;0</formula>
    </cfRule>
  </conditionalFormatting>
  <conditionalFormatting sqref="F8">
    <cfRule type="notContainsBlanks" dxfId="0" priority="107">
      <formula>LEN(TRIM(F8))&gt;0</formula>
    </cfRule>
  </conditionalFormatting>
  <conditionalFormatting sqref="F9">
    <cfRule type="notContainsBlanks" dxfId="0" priority="108">
      <formula>LEN(TRIM(F9))&gt;0</formula>
    </cfRule>
  </conditionalFormatting>
  <conditionalFormatting sqref="G10">
    <cfRule type="notContainsBlanks" dxfId="0" priority="109">
      <formula>LEN(TRIM(G10))&gt;0</formula>
    </cfRule>
  </conditionalFormatting>
  <conditionalFormatting sqref="G11">
    <cfRule type="notContainsBlanks" dxfId="0" priority="110">
      <formula>LEN(TRIM(G11))&gt;0</formula>
    </cfRule>
  </conditionalFormatting>
  <conditionalFormatting sqref="G12">
    <cfRule type="notContainsBlanks" dxfId="0" priority="111">
      <formula>LEN(TRIM(G12))&gt;0</formula>
    </cfRule>
  </conditionalFormatting>
  <conditionalFormatting sqref="G13">
    <cfRule type="notContainsBlanks" dxfId="0" priority="112">
      <formula>LEN(TRIM(G13))&gt;0</formula>
    </cfRule>
  </conditionalFormatting>
  <conditionalFormatting sqref="G14">
    <cfRule type="notContainsBlanks" dxfId="0" priority="113">
      <formula>LEN(TRIM(G14))&gt;0</formula>
    </cfRule>
  </conditionalFormatting>
  <conditionalFormatting sqref="G15">
    <cfRule type="notContainsBlanks" dxfId="0" priority="114">
      <formula>LEN(TRIM(G15))&gt;0</formula>
    </cfRule>
  </conditionalFormatting>
  <conditionalFormatting sqref="G16">
    <cfRule type="notContainsBlanks" dxfId="0" priority="115">
      <formula>LEN(TRIM(G16))&gt;0</formula>
    </cfRule>
  </conditionalFormatting>
  <conditionalFormatting sqref="G17">
    <cfRule type="notContainsBlanks" dxfId="0" priority="116">
      <formula>LEN(TRIM(G17))&gt;0</formula>
    </cfRule>
  </conditionalFormatting>
  <conditionalFormatting sqref="G18">
    <cfRule type="notContainsBlanks" dxfId="0" priority="117">
      <formula>LEN(TRIM(G18))&gt;0</formula>
    </cfRule>
  </conditionalFormatting>
  <conditionalFormatting sqref="G19">
    <cfRule type="notContainsBlanks" dxfId="0" priority="118">
      <formula>LEN(TRIM(G19))&gt;0</formula>
    </cfRule>
  </conditionalFormatting>
  <conditionalFormatting sqref="G20">
    <cfRule type="notContainsBlanks" dxfId="0" priority="119">
      <formula>LEN(TRIM(G20))&gt;0</formula>
    </cfRule>
  </conditionalFormatting>
  <conditionalFormatting sqref="G21">
    <cfRule type="notContainsBlanks" dxfId="0" priority="120">
      <formula>LEN(TRIM(G21))&gt;0</formula>
    </cfRule>
  </conditionalFormatting>
  <conditionalFormatting sqref="G22">
    <cfRule type="notContainsBlanks" dxfId="0" priority="121">
      <formula>LEN(TRIM(G22))&gt;0</formula>
    </cfRule>
  </conditionalFormatting>
  <conditionalFormatting sqref="G23">
    <cfRule type="notContainsBlanks" dxfId="0" priority="122">
      <formula>LEN(TRIM(G23))&gt;0</formula>
    </cfRule>
  </conditionalFormatting>
  <conditionalFormatting sqref="G24">
    <cfRule type="notContainsBlanks" dxfId="0" priority="123">
      <formula>LEN(TRIM(G24))&gt;0</formula>
    </cfRule>
  </conditionalFormatting>
  <conditionalFormatting sqref="G25">
    <cfRule type="notContainsBlanks" dxfId="0" priority="124">
      <formula>LEN(TRIM(G25))&gt;0</formula>
    </cfRule>
  </conditionalFormatting>
  <conditionalFormatting sqref="G26">
    <cfRule type="notContainsBlanks" dxfId="0" priority="125">
      <formula>LEN(TRIM(G26))&gt;0</formula>
    </cfRule>
  </conditionalFormatting>
  <conditionalFormatting sqref="G27">
    <cfRule type="notContainsBlanks" dxfId="0" priority="126">
      <formula>LEN(TRIM(G27))&gt;0</formula>
    </cfRule>
  </conditionalFormatting>
  <conditionalFormatting sqref="G28">
    <cfRule type="notContainsBlanks" dxfId="0" priority="127">
      <formula>LEN(TRIM(G28))&gt;0</formula>
    </cfRule>
  </conditionalFormatting>
  <conditionalFormatting sqref="G29">
    <cfRule type="notContainsBlanks" dxfId="0" priority="128">
      <formula>LEN(TRIM(G29))&gt;0</formula>
    </cfRule>
  </conditionalFormatting>
  <conditionalFormatting sqref="G30">
    <cfRule type="notContainsBlanks" dxfId="0" priority="129">
      <formula>LEN(TRIM(G30))&gt;0</formula>
    </cfRule>
  </conditionalFormatting>
  <conditionalFormatting sqref="G4">
    <cfRule type="notContainsBlanks" dxfId="0" priority="130">
      <formula>LEN(TRIM(G4))&gt;0</formula>
    </cfRule>
  </conditionalFormatting>
  <conditionalFormatting sqref="G5">
    <cfRule type="notContainsBlanks" dxfId="0" priority="131">
      <formula>LEN(TRIM(G5))&gt;0</formula>
    </cfRule>
  </conditionalFormatting>
  <conditionalFormatting sqref="G6">
    <cfRule type="notContainsBlanks" dxfId="0" priority="132">
      <formula>LEN(TRIM(G6))&gt;0</formula>
    </cfRule>
  </conditionalFormatting>
  <conditionalFormatting sqref="G7">
    <cfRule type="notContainsBlanks" dxfId="0" priority="133">
      <formula>LEN(TRIM(G7))&gt;0</formula>
    </cfRule>
  </conditionalFormatting>
  <conditionalFormatting sqref="G8">
    <cfRule type="notContainsBlanks" dxfId="0" priority="134">
      <formula>LEN(TRIM(G8))&gt;0</formula>
    </cfRule>
  </conditionalFormatting>
  <conditionalFormatting sqref="G9">
    <cfRule type="notContainsBlanks" dxfId="0" priority="135">
      <formula>LEN(TRIM(G9))&gt;0</formula>
    </cfRule>
  </conditionalFormatting>
  <conditionalFormatting sqref="H10:I10">
    <cfRule type="notContainsBlanks" dxfId="1" priority="136">
      <formula>LEN(TRIM(H10))&gt;0</formula>
    </cfRule>
  </conditionalFormatting>
  <conditionalFormatting sqref="H11:I11">
    <cfRule type="notContainsBlanks" dxfId="1" priority="137">
      <formula>LEN(TRIM(H11))&gt;0</formula>
    </cfRule>
  </conditionalFormatting>
  <conditionalFormatting sqref="H12:I12">
    <cfRule type="notContainsBlanks" dxfId="1" priority="138">
      <formula>LEN(TRIM(H12))&gt;0</formula>
    </cfRule>
  </conditionalFormatting>
  <conditionalFormatting sqref="H13:I13">
    <cfRule type="notContainsBlanks" dxfId="1" priority="139">
      <formula>LEN(TRIM(H13))&gt;0</formula>
    </cfRule>
  </conditionalFormatting>
  <conditionalFormatting sqref="H14:I14">
    <cfRule type="notContainsBlanks" dxfId="1" priority="140">
      <formula>LEN(TRIM(H14))&gt;0</formula>
    </cfRule>
  </conditionalFormatting>
  <conditionalFormatting sqref="H15:I15">
    <cfRule type="notContainsBlanks" dxfId="1" priority="141">
      <formula>LEN(TRIM(H15))&gt;0</formula>
    </cfRule>
  </conditionalFormatting>
  <conditionalFormatting sqref="H16:I16">
    <cfRule type="notContainsBlanks" dxfId="1" priority="142">
      <formula>LEN(TRIM(H16))&gt;0</formula>
    </cfRule>
  </conditionalFormatting>
  <conditionalFormatting sqref="H17:I17">
    <cfRule type="notContainsBlanks" dxfId="1" priority="143">
      <formula>LEN(TRIM(H17))&gt;0</formula>
    </cfRule>
  </conditionalFormatting>
  <conditionalFormatting sqref="H18:I18">
    <cfRule type="notContainsBlanks" dxfId="1" priority="144">
      <formula>LEN(TRIM(H18))&gt;0</formula>
    </cfRule>
  </conditionalFormatting>
  <conditionalFormatting sqref="H19:I19">
    <cfRule type="notContainsBlanks" dxfId="1" priority="145">
      <formula>LEN(TRIM(H19))&gt;0</formula>
    </cfRule>
  </conditionalFormatting>
  <conditionalFormatting sqref="H20:I20">
    <cfRule type="notContainsBlanks" dxfId="1" priority="146">
      <formula>LEN(TRIM(H20))&gt;0</formula>
    </cfRule>
  </conditionalFormatting>
  <conditionalFormatting sqref="H21:I21">
    <cfRule type="notContainsBlanks" dxfId="1" priority="147">
      <formula>LEN(TRIM(H21))&gt;0</formula>
    </cfRule>
  </conditionalFormatting>
  <conditionalFormatting sqref="H22:I22">
    <cfRule type="notContainsBlanks" dxfId="1" priority="148">
      <formula>LEN(TRIM(H22))&gt;0</formula>
    </cfRule>
  </conditionalFormatting>
  <conditionalFormatting sqref="H23:I23">
    <cfRule type="notContainsBlanks" dxfId="1" priority="149">
      <formula>LEN(TRIM(H23))&gt;0</formula>
    </cfRule>
  </conditionalFormatting>
  <conditionalFormatting sqref="H24:I24">
    <cfRule type="notContainsBlanks" dxfId="1" priority="150">
      <formula>LEN(TRIM(H24))&gt;0</formula>
    </cfRule>
  </conditionalFormatting>
  <conditionalFormatting sqref="H25:I25">
    <cfRule type="notContainsBlanks" dxfId="1" priority="151">
      <formula>LEN(TRIM(H25))&gt;0</formula>
    </cfRule>
  </conditionalFormatting>
  <conditionalFormatting sqref="H26:I26">
    <cfRule type="notContainsBlanks" dxfId="1" priority="152">
      <formula>LEN(TRIM(H26))&gt;0</formula>
    </cfRule>
  </conditionalFormatting>
  <conditionalFormatting sqref="H27:I27">
    <cfRule type="notContainsBlanks" dxfId="1" priority="153">
      <formula>LEN(TRIM(H27))&gt;0</formula>
    </cfRule>
  </conditionalFormatting>
  <conditionalFormatting sqref="H28:I28">
    <cfRule type="notContainsBlanks" dxfId="1" priority="154">
      <formula>LEN(TRIM(H28))&gt;0</formula>
    </cfRule>
  </conditionalFormatting>
  <conditionalFormatting sqref="H29:I29">
    <cfRule type="notContainsBlanks" dxfId="1" priority="155">
      <formula>LEN(TRIM(H29))&gt;0</formula>
    </cfRule>
  </conditionalFormatting>
  <conditionalFormatting sqref="H30:I30">
    <cfRule type="notContainsBlanks" dxfId="1" priority="156">
      <formula>LEN(TRIM(H30))&gt;0</formula>
    </cfRule>
  </conditionalFormatting>
  <conditionalFormatting sqref="H4:H30 I4">
    <cfRule type="notContainsBlanks" dxfId="1" priority="157">
      <formula>LEN(TRIM(H4))&gt;0</formula>
    </cfRule>
  </conditionalFormatting>
  <conditionalFormatting sqref="H5:I5">
    <cfRule type="notContainsBlanks" dxfId="1" priority="158">
      <formula>LEN(TRIM(H5))&gt;0</formula>
    </cfRule>
  </conditionalFormatting>
  <conditionalFormatting sqref="H6:I6">
    <cfRule type="notContainsBlanks" dxfId="1" priority="159">
      <formula>LEN(TRIM(H6))&gt;0</formula>
    </cfRule>
  </conditionalFormatting>
  <conditionalFormatting sqref="H7:I7">
    <cfRule type="notContainsBlanks" dxfId="1" priority="160">
      <formula>LEN(TRIM(H7))&gt;0</formula>
    </cfRule>
  </conditionalFormatting>
  <conditionalFormatting sqref="H8:I8">
    <cfRule type="notContainsBlanks" dxfId="1" priority="161">
      <formula>LEN(TRIM(H8))&gt;0</formula>
    </cfRule>
  </conditionalFormatting>
  <conditionalFormatting sqref="H9:I9">
    <cfRule type="notContainsBlanks" dxfId="1" priority="162">
      <formula>LEN(TRIM(H9))&gt;0</formula>
    </cfRule>
  </conditionalFormatting>
  <conditionalFormatting sqref="J10">
    <cfRule type="notContainsBlanks" dxfId="1" priority="163">
      <formula>LEN(TRIM(J10))&gt;0</formula>
    </cfRule>
  </conditionalFormatting>
  <conditionalFormatting sqref="J11">
    <cfRule type="notContainsBlanks" dxfId="1" priority="164">
      <formula>LEN(TRIM(J11))&gt;0</formula>
    </cfRule>
  </conditionalFormatting>
  <conditionalFormatting sqref="J12">
    <cfRule type="notContainsBlanks" dxfId="1" priority="165">
      <formula>LEN(TRIM(J12))&gt;0</formula>
    </cfRule>
  </conditionalFormatting>
  <conditionalFormatting sqref="J13">
    <cfRule type="notContainsBlanks" dxfId="1" priority="166">
      <formula>LEN(TRIM(J13))&gt;0</formula>
    </cfRule>
  </conditionalFormatting>
  <conditionalFormatting sqref="J14">
    <cfRule type="notContainsBlanks" dxfId="1" priority="167">
      <formula>LEN(TRIM(J14))&gt;0</formula>
    </cfRule>
  </conditionalFormatting>
  <conditionalFormatting sqref="J15">
    <cfRule type="notContainsBlanks" dxfId="1" priority="168">
      <formula>LEN(TRIM(J15))&gt;0</formula>
    </cfRule>
  </conditionalFormatting>
  <conditionalFormatting sqref="J16">
    <cfRule type="notContainsBlanks" dxfId="1" priority="169">
      <formula>LEN(TRIM(J16))&gt;0</formula>
    </cfRule>
  </conditionalFormatting>
  <conditionalFormatting sqref="J17">
    <cfRule type="notContainsBlanks" dxfId="1" priority="170">
      <formula>LEN(TRIM(J17))&gt;0</formula>
    </cfRule>
  </conditionalFormatting>
  <conditionalFormatting sqref="J18">
    <cfRule type="notContainsBlanks" dxfId="1" priority="171">
      <formula>LEN(TRIM(J18))&gt;0</formula>
    </cfRule>
  </conditionalFormatting>
  <conditionalFormatting sqref="J19">
    <cfRule type="notContainsBlanks" dxfId="1" priority="172">
      <formula>LEN(TRIM(J19))&gt;0</formula>
    </cfRule>
  </conditionalFormatting>
  <conditionalFormatting sqref="J20">
    <cfRule type="notContainsBlanks" dxfId="1" priority="173">
      <formula>LEN(TRIM(J20))&gt;0</formula>
    </cfRule>
  </conditionalFormatting>
  <conditionalFormatting sqref="J21">
    <cfRule type="notContainsBlanks" dxfId="1" priority="174">
      <formula>LEN(TRIM(J21))&gt;0</formula>
    </cfRule>
  </conditionalFormatting>
  <conditionalFormatting sqref="J22">
    <cfRule type="notContainsBlanks" dxfId="1" priority="175">
      <formula>LEN(TRIM(J22))&gt;0</formula>
    </cfRule>
  </conditionalFormatting>
  <conditionalFormatting sqref="J23">
    <cfRule type="notContainsBlanks" dxfId="1" priority="176">
      <formula>LEN(TRIM(J23))&gt;0</formula>
    </cfRule>
  </conditionalFormatting>
  <conditionalFormatting sqref="J24">
    <cfRule type="notContainsBlanks" dxfId="1" priority="177">
      <formula>LEN(TRIM(J24))&gt;0</formula>
    </cfRule>
  </conditionalFormatting>
  <conditionalFormatting sqref="J25">
    <cfRule type="notContainsBlanks" dxfId="1" priority="178">
      <formula>LEN(TRIM(J25))&gt;0</formula>
    </cfRule>
  </conditionalFormatting>
  <conditionalFormatting sqref="J26">
    <cfRule type="notContainsBlanks" dxfId="1" priority="179">
      <formula>LEN(TRIM(J26))&gt;0</formula>
    </cfRule>
  </conditionalFormatting>
  <conditionalFormatting sqref="J27">
    <cfRule type="notContainsBlanks" dxfId="1" priority="180">
      <formula>LEN(TRIM(J27))&gt;0</formula>
    </cfRule>
  </conditionalFormatting>
  <conditionalFormatting sqref="J28">
    <cfRule type="notContainsBlanks" dxfId="1" priority="181">
      <formula>LEN(TRIM(J28))&gt;0</formula>
    </cfRule>
  </conditionalFormatting>
  <conditionalFormatting sqref="J29">
    <cfRule type="notContainsBlanks" dxfId="1" priority="182">
      <formula>LEN(TRIM(J29))&gt;0</formula>
    </cfRule>
  </conditionalFormatting>
  <conditionalFormatting sqref="J30">
    <cfRule type="notContainsBlanks" dxfId="1" priority="183">
      <formula>LEN(TRIM(J30))&gt;0</formula>
    </cfRule>
  </conditionalFormatting>
  <conditionalFormatting sqref="J4">
    <cfRule type="notContainsBlanks" dxfId="1" priority="184">
      <formula>LEN(TRIM(J4))&gt;0</formula>
    </cfRule>
  </conditionalFormatting>
  <conditionalFormatting sqref="J5">
    <cfRule type="notContainsBlanks" dxfId="1" priority="185">
      <formula>LEN(TRIM(J5))&gt;0</formula>
    </cfRule>
  </conditionalFormatting>
  <conditionalFormatting sqref="J6">
    <cfRule type="notContainsBlanks" dxfId="1" priority="186">
      <formula>LEN(TRIM(J6))&gt;0</formula>
    </cfRule>
  </conditionalFormatting>
  <conditionalFormatting sqref="J7">
    <cfRule type="notContainsBlanks" dxfId="1" priority="187">
      <formula>LEN(TRIM(J7))&gt;0</formula>
    </cfRule>
  </conditionalFormatting>
  <conditionalFormatting sqref="J8">
    <cfRule type="notContainsBlanks" dxfId="1" priority="188">
      <formula>LEN(TRIM(J8))&gt;0</formula>
    </cfRule>
  </conditionalFormatting>
  <conditionalFormatting sqref="J9">
    <cfRule type="notContainsBlanks" dxfId="1" priority="189">
      <formula>LEN(TRIM(J9))&gt;0</formula>
    </cfRule>
  </conditionalFormatting>
  <conditionalFormatting sqref="K10">
    <cfRule type="notContainsBlanks" dxfId="1" priority="190">
      <formula>LEN(TRIM(K10))&gt;0</formula>
    </cfRule>
  </conditionalFormatting>
  <conditionalFormatting sqref="K11">
    <cfRule type="notContainsBlanks" dxfId="1" priority="191">
      <formula>LEN(TRIM(K11))&gt;0</formula>
    </cfRule>
  </conditionalFormatting>
  <conditionalFormatting sqref="K12">
    <cfRule type="notContainsBlanks" dxfId="1" priority="192">
      <formula>LEN(TRIM(K12))&gt;0</formula>
    </cfRule>
  </conditionalFormatting>
  <conditionalFormatting sqref="K13">
    <cfRule type="notContainsBlanks" dxfId="1" priority="193">
      <formula>LEN(TRIM(K13))&gt;0</formula>
    </cfRule>
  </conditionalFormatting>
  <conditionalFormatting sqref="K14">
    <cfRule type="notContainsBlanks" dxfId="1" priority="194">
      <formula>LEN(TRIM(K14))&gt;0</formula>
    </cfRule>
  </conditionalFormatting>
  <conditionalFormatting sqref="K15">
    <cfRule type="notContainsBlanks" dxfId="1" priority="195">
      <formula>LEN(TRIM(K15))&gt;0</formula>
    </cfRule>
  </conditionalFormatting>
  <conditionalFormatting sqref="K16">
    <cfRule type="notContainsBlanks" dxfId="1" priority="196">
      <formula>LEN(TRIM(K16))&gt;0</formula>
    </cfRule>
  </conditionalFormatting>
  <conditionalFormatting sqref="K17">
    <cfRule type="notContainsBlanks" dxfId="1" priority="197">
      <formula>LEN(TRIM(K17))&gt;0</formula>
    </cfRule>
  </conditionalFormatting>
  <conditionalFormatting sqref="K18">
    <cfRule type="notContainsBlanks" dxfId="1" priority="198">
      <formula>LEN(TRIM(K18))&gt;0</formula>
    </cfRule>
  </conditionalFormatting>
  <conditionalFormatting sqref="K19">
    <cfRule type="notContainsBlanks" dxfId="1" priority="199">
      <formula>LEN(TRIM(K19))&gt;0</formula>
    </cfRule>
  </conditionalFormatting>
  <conditionalFormatting sqref="K20">
    <cfRule type="notContainsBlanks" dxfId="1" priority="200">
      <formula>LEN(TRIM(K20))&gt;0</formula>
    </cfRule>
  </conditionalFormatting>
  <conditionalFormatting sqref="K21">
    <cfRule type="notContainsBlanks" dxfId="1" priority="201">
      <formula>LEN(TRIM(K21))&gt;0</formula>
    </cfRule>
  </conditionalFormatting>
  <conditionalFormatting sqref="K22">
    <cfRule type="notContainsBlanks" dxfId="1" priority="202">
      <formula>LEN(TRIM(K22))&gt;0</formula>
    </cfRule>
  </conditionalFormatting>
  <conditionalFormatting sqref="K23">
    <cfRule type="notContainsBlanks" dxfId="1" priority="203">
      <formula>LEN(TRIM(K23))&gt;0</formula>
    </cfRule>
  </conditionalFormatting>
  <conditionalFormatting sqref="K24">
    <cfRule type="notContainsBlanks" dxfId="1" priority="204">
      <formula>LEN(TRIM(K24))&gt;0</formula>
    </cfRule>
  </conditionalFormatting>
  <conditionalFormatting sqref="K25">
    <cfRule type="notContainsBlanks" dxfId="1" priority="205">
      <formula>LEN(TRIM(K25))&gt;0</formula>
    </cfRule>
  </conditionalFormatting>
  <conditionalFormatting sqref="K26">
    <cfRule type="notContainsBlanks" dxfId="1" priority="206">
      <formula>LEN(TRIM(K26))&gt;0</formula>
    </cfRule>
  </conditionalFormatting>
  <conditionalFormatting sqref="K27">
    <cfRule type="notContainsBlanks" dxfId="1" priority="207">
      <formula>LEN(TRIM(K27))&gt;0</formula>
    </cfRule>
  </conditionalFormatting>
  <conditionalFormatting sqref="K28">
    <cfRule type="notContainsBlanks" dxfId="1" priority="208">
      <formula>LEN(TRIM(K28))&gt;0</formula>
    </cfRule>
  </conditionalFormatting>
  <conditionalFormatting sqref="K29">
    <cfRule type="notContainsBlanks" dxfId="1" priority="209">
      <formula>LEN(TRIM(K29))&gt;0</formula>
    </cfRule>
  </conditionalFormatting>
  <conditionalFormatting sqref="K30">
    <cfRule type="notContainsBlanks" dxfId="1" priority="210">
      <formula>LEN(TRIM(K30))&gt;0</formula>
    </cfRule>
  </conditionalFormatting>
  <conditionalFormatting sqref="K4">
    <cfRule type="notContainsBlanks" dxfId="1" priority="211">
      <formula>LEN(TRIM(K4))&gt;0</formula>
    </cfRule>
  </conditionalFormatting>
  <conditionalFormatting sqref="K5">
    <cfRule type="notContainsBlanks" dxfId="1" priority="212">
      <formula>LEN(TRIM(K5))&gt;0</formula>
    </cfRule>
  </conditionalFormatting>
  <conditionalFormatting sqref="K6">
    <cfRule type="notContainsBlanks" dxfId="1" priority="213">
      <formula>LEN(TRIM(K6))&gt;0</formula>
    </cfRule>
  </conditionalFormatting>
  <conditionalFormatting sqref="K7">
    <cfRule type="notContainsBlanks" dxfId="1" priority="214">
      <formula>LEN(TRIM(K7))&gt;0</formula>
    </cfRule>
  </conditionalFormatting>
  <conditionalFormatting sqref="K8">
    <cfRule type="notContainsBlanks" dxfId="1" priority="215">
      <formula>LEN(TRIM(K8))&gt;0</formula>
    </cfRule>
  </conditionalFormatting>
  <conditionalFormatting sqref="K9">
    <cfRule type="notContainsBlanks" dxfId="1" priority="216">
      <formula>LEN(TRIM(K9))&gt;0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0" width="15.71"/>
    <col customWidth="1" min="11" max="26" width="8.71"/>
  </cols>
  <sheetData>
    <row r="1">
      <c r="A1" s="2" t="s">
        <v>1</v>
      </c>
      <c r="B1" s="4">
        <v>1.3344653E7</v>
      </c>
    </row>
    <row r="2">
      <c r="C2" s="5" t="s">
        <v>6</v>
      </c>
      <c r="D2" s="6"/>
      <c r="E2" s="6"/>
      <c r="F2" s="6"/>
      <c r="G2" s="7"/>
      <c r="H2" s="5" t="s">
        <v>13</v>
      </c>
      <c r="I2" s="6"/>
      <c r="J2" s="7"/>
    </row>
    <row r="3">
      <c r="A3" s="2" t="s">
        <v>17</v>
      </c>
      <c r="B3" s="2" t="s">
        <v>18</v>
      </c>
      <c r="C3" s="2" t="s">
        <v>20</v>
      </c>
      <c r="D3" s="2" t="s">
        <v>21</v>
      </c>
      <c r="E3" s="2" t="s">
        <v>23</v>
      </c>
      <c r="F3" s="2" t="s">
        <v>25</v>
      </c>
      <c r="G3" s="2" t="s">
        <v>26</v>
      </c>
      <c r="H3" s="2" t="s">
        <v>27</v>
      </c>
      <c r="I3" s="2" t="s">
        <v>29</v>
      </c>
      <c r="J3" s="2" t="s">
        <v>30</v>
      </c>
      <c r="N3" s="8" t="s">
        <v>183</v>
      </c>
    </row>
    <row r="4">
      <c r="A4" s="14" t="s">
        <v>37</v>
      </c>
      <c r="B4" s="14">
        <v>0.0</v>
      </c>
      <c r="C4" s="14">
        <v>393.3</v>
      </c>
      <c r="D4" s="14">
        <v>874.0</v>
      </c>
      <c r="E4" s="14">
        <f t="shared" ref="E4:E47" si="1">ROUND($B$1 * B4 / C4, 0)</f>
        <v>0</v>
      </c>
      <c r="F4" s="14" t="str">
        <f t="shared" ref="F4:F47" si="2">IF(G4&gt;0, "BUY", IF(G4&lt;0, "SELL", "FLAT"))</f>
        <v>SELL</v>
      </c>
      <c r="G4" s="14">
        <f t="shared" ref="G4:G47" si="3">E4-D4</f>
        <v>-874</v>
      </c>
      <c r="H4" s="14">
        <v>-874.0</v>
      </c>
      <c r="I4" s="8">
        <v>398.5</v>
      </c>
      <c r="J4" s="14">
        <f t="shared" ref="J4:J47" si="4">I4 * H4</f>
        <v>-348289</v>
      </c>
      <c r="L4" s="14">
        <f t="shared" ref="L4:L47" si="5">C4*G4</f>
        <v>-343744.2</v>
      </c>
    </row>
    <row r="5">
      <c r="A5" s="14" t="s">
        <v>194</v>
      </c>
      <c r="B5" s="14">
        <v>0.03629242847916562</v>
      </c>
      <c r="C5" s="14">
        <v>3192.3</v>
      </c>
      <c r="D5" s="14">
        <v>179.0</v>
      </c>
      <c r="E5" s="14">
        <f t="shared" si="1"/>
        <v>152</v>
      </c>
      <c r="F5" s="14" t="str">
        <f t="shared" si="2"/>
        <v>SELL</v>
      </c>
      <c r="G5" s="14">
        <f t="shared" si="3"/>
        <v>-27</v>
      </c>
      <c r="H5" s="14">
        <v>-27.0</v>
      </c>
      <c r="I5" s="8">
        <v>3192.7</v>
      </c>
      <c r="J5" s="14">
        <f t="shared" si="4"/>
        <v>-86202.9</v>
      </c>
      <c r="L5" s="14">
        <f t="shared" si="5"/>
        <v>-86192.1</v>
      </c>
      <c r="N5" s="14">
        <f t="shared" ref="N5:N6" si="6">D5+H5</f>
        <v>152</v>
      </c>
    </row>
    <row r="6">
      <c r="A6" s="14" t="s">
        <v>108</v>
      </c>
      <c r="B6" s="14">
        <v>0.02558009680560903</v>
      </c>
      <c r="C6" s="14">
        <v>203.76</v>
      </c>
      <c r="D6" s="14">
        <v>1909.0</v>
      </c>
      <c r="E6" s="14">
        <f t="shared" si="1"/>
        <v>1675</v>
      </c>
      <c r="F6" s="14" t="str">
        <f t="shared" si="2"/>
        <v>SELL</v>
      </c>
      <c r="G6" s="14">
        <f t="shared" si="3"/>
        <v>-234</v>
      </c>
      <c r="H6" s="14">
        <v>-234.0</v>
      </c>
      <c r="I6" s="8">
        <v>209.04</v>
      </c>
      <c r="J6" s="14">
        <f t="shared" si="4"/>
        <v>-48915.36</v>
      </c>
      <c r="L6" s="14">
        <f t="shared" si="5"/>
        <v>-47679.84</v>
      </c>
      <c r="N6" s="14">
        <f t="shared" si="6"/>
        <v>1675</v>
      </c>
    </row>
    <row r="7">
      <c r="A7" s="14" t="s">
        <v>34</v>
      </c>
      <c r="B7" s="14">
        <v>0.0</v>
      </c>
      <c r="C7" s="14">
        <v>2192.0</v>
      </c>
      <c r="D7" s="14">
        <v>89.0</v>
      </c>
      <c r="E7" s="14">
        <f t="shared" si="1"/>
        <v>0</v>
      </c>
      <c r="F7" s="14" t="str">
        <f t="shared" si="2"/>
        <v>SELL</v>
      </c>
      <c r="G7" s="14">
        <f t="shared" si="3"/>
        <v>-89</v>
      </c>
      <c r="H7" s="14">
        <v>-89.0</v>
      </c>
      <c r="I7" s="8">
        <v>2197.34</v>
      </c>
      <c r="J7" s="14">
        <f t="shared" si="4"/>
        <v>-195563.26</v>
      </c>
      <c r="L7" s="14">
        <f t="shared" si="5"/>
        <v>-195088</v>
      </c>
    </row>
    <row r="8">
      <c r="A8" s="14" t="s">
        <v>195</v>
      </c>
      <c r="B8" s="14">
        <v>0.04669004017083094</v>
      </c>
      <c r="C8" s="14">
        <v>1713.2</v>
      </c>
      <c r="D8" s="14">
        <v>648.0</v>
      </c>
      <c r="E8" s="14">
        <f t="shared" si="1"/>
        <v>364</v>
      </c>
      <c r="F8" s="14" t="str">
        <f t="shared" si="2"/>
        <v>SELL</v>
      </c>
      <c r="G8" s="14">
        <f t="shared" si="3"/>
        <v>-284</v>
      </c>
      <c r="H8" s="14">
        <v>-284.0</v>
      </c>
      <c r="I8" s="8">
        <v>1646.91</v>
      </c>
      <c r="J8" s="14">
        <f t="shared" si="4"/>
        <v>-467722.44</v>
      </c>
      <c r="L8" s="14">
        <f t="shared" si="5"/>
        <v>-486548.8</v>
      </c>
      <c r="N8" s="14">
        <f>D8+H8</f>
        <v>364</v>
      </c>
    </row>
    <row r="9">
      <c r="A9" s="14" t="s">
        <v>196</v>
      </c>
      <c r="B9" s="14">
        <v>0.0</v>
      </c>
      <c r="C9" s="14">
        <v>229.64</v>
      </c>
      <c r="D9" s="14">
        <v>2297.0</v>
      </c>
      <c r="E9" s="14">
        <f t="shared" si="1"/>
        <v>0</v>
      </c>
      <c r="F9" s="14" t="str">
        <f t="shared" si="2"/>
        <v>SELL</v>
      </c>
      <c r="G9" s="14">
        <f t="shared" si="3"/>
        <v>-2297</v>
      </c>
      <c r="H9" s="14">
        <v>-2297.0</v>
      </c>
      <c r="I9" s="8">
        <v>236.3</v>
      </c>
      <c r="J9" s="14">
        <f t="shared" si="4"/>
        <v>-542781.1</v>
      </c>
      <c r="L9" s="14">
        <f t="shared" si="5"/>
        <v>-527483.08</v>
      </c>
    </row>
    <row r="10">
      <c r="A10" s="14" t="s">
        <v>46</v>
      </c>
      <c r="B10" s="14">
        <v>0.0</v>
      </c>
      <c r="C10" s="14">
        <v>3227.8</v>
      </c>
      <c r="D10" s="14">
        <v>77.0</v>
      </c>
      <c r="E10" s="14">
        <f t="shared" si="1"/>
        <v>0</v>
      </c>
      <c r="F10" s="14" t="str">
        <f t="shared" si="2"/>
        <v>SELL</v>
      </c>
      <c r="G10" s="14">
        <f t="shared" si="3"/>
        <v>-77</v>
      </c>
      <c r="H10" s="14">
        <v>-77.0</v>
      </c>
      <c r="I10" s="8">
        <v>3211.61</v>
      </c>
      <c r="J10" s="14">
        <f t="shared" si="4"/>
        <v>-247293.97</v>
      </c>
      <c r="L10" s="14">
        <f t="shared" si="5"/>
        <v>-248540.6</v>
      </c>
    </row>
    <row r="11">
      <c r="A11" s="14" t="s">
        <v>118</v>
      </c>
      <c r="B11" s="14">
        <v>0.0</v>
      </c>
      <c r="C11" s="14">
        <v>5077.5</v>
      </c>
      <c r="D11" s="14">
        <v>56.0</v>
      </c>
      <c r="E11" s="14">
        <f t="shared" si="1"/>
        <v>0</v>
      </c>
      <c r="F11" s="14" t="str">
        <f t="shared" si="2"/>
        <v>SELL</v>
      </c>
      <c r="G11" s="14">
        <f t="shared" si="3"/>
        <v>-56</v>
      </c>
      <c r="H11" s="14">
        <v>-56.0</v>
      </c>
      <c r="I11" s="8">
        <v>5048.5</v>
      </c>
      <c r="J11" s="14">
        <f t="shared" si="4"/>
        <v>-282716</v>
      </c>
      <c r="L11" s="14">
        <f t="shared" si="5"/>
        <v>-284340</v>
      </c>
    </row>
    <row r="12">
      <c r="A12" s="14" t="s">
        <v>67</v>
      </c>
      <c r="B12" s="14">
        <v>0.0</v>
      </c>
      <c r="C12" s="14">
        <v>17807.0</v>
      </c>
      <c r="D12" s="14">
        <v>21.0</v>
      </c>
      <c r="E12" s="14">
        <f t="shared" si="1"/>
        <v>0</v>
      </c>
      <c r="F12" s="14" t="str">
        <f t="shared" si="2"/>
        <v>SELL</v>
      </c>
      <c r="G12" s="14">
        <f t="shared" si="3"/>
        <v>-21</v>
      </c>
      <c r="H12" s="14">
        <v>-21.0</v>
      </c>
      <c r="I12" s="8">
        <v>17708.67</v>
      </c>
      <c r="J12" s="14">
        <f t="shared" si="4"/>
        <v>-371882.07</v>
      </c>
      <c r="L12" s="14">
        <f t="shared" si="5"/>
        <v>-373947</v>
      </c>
    </row>
    <row r="13">
      <c r="A13" s="14" t="s">
        <v>197</v>
      </c>
      <c r="B13" s="14">
        <v>0.0</v>
      </c>
      <c r="C13" s="14">
        <v>1410.5</v>
      </c>
      <c r="D13" s="14">
        <v>337.0</v>
      </c>
      <c r="E13" s="14">
        <f t="shared" si="1"/>
        <v>0</v>
      </c>
      <c r="F13" s="14" t="str">
        <f t="shared" si="2"/>
        <v>SELL</v>
      </c>
      <c r="G13" s="14">
        <f t="shared" si="3"/>
        <v>-337</v>
      </c>
      <c r="H13" s="14">
        <v>-337.0</v>
      </c>
      <c r="I13" s="8">
        <v>1385.02</v>
      </c>
      <c r="J13" s="14">
        <f t="shared" si="4"/>
        <v>-466751.74</v>
      </c>
      <c r="L13" s="14">
        <f t="shared" si="5"/>
        <v>-475338.5</v>
      </c>
    </row>
    <row r="14">
      <c r="A14" s="14" t="s">
        <v>109</v>
      </c>
      <c r="B14" s="14">
        <v>0.0</v>
      </c>
      <c r="C14" s="14">
        <v>560.7</v>
      </c>
      <c r="D14" s="14">
        <v>646.0</v>
      </c>
      <c r="E14" s="14">
        <f t="shared" si="1"/>
        <v>0</v>
      </c>
      <c r="F14" s="14" t="str">
        <f t="shared" si="2"/>
        <v>SELL</v>
      </c>
      <c r="G14" s="14">
        <f t="shared" si="3"/>
        <v>-646</v>
      </c>
      <c r="H14" s="14">
        <v>-646.0</v>
      </c>
      <c r="I14" s="8">
        <v>561.9</v>
      </c>
      <c r="J14" s="14">
        <f t="shared" si="4"/>
        <v>-362987.4</v>
      </c>
      <c r="L14" s="14">
        <f t="shared" si="5"/>
        <v>-362212.2</v>
      </c>
    </row>
    <row r="15">
      <c r="A15" s="14" t="s">
        <v>9</v>
      </c>
      <c r="B15" s="14">
        <v>0.0</v>
      </c>
      <c r="C15" s="14">
        <v>4337.3</v>
      </c>
      <c r="D15" s="14">
        <v>90.0</v>
      </c>
      <c r="E15" s="14">
        <f t="shared" si="1"/>
        <v>0</v>
      </c>
      <c r="F15" s="14" t="str">
        <f t="shared" si="2"/>
        <v>SELL</v>
      </c>
      <c r="G15" s="14">
        <f t="shared" si="3"/>
        <v>-90</v>
      </c>
      <c r="H15" s="14">
        <v>-90.0</v>
      </c>
      <c r="I15" s="8">
        <v>4260.12</v>
      </c>
      <c r="J15" s="14">
        <f t="shared" si="4"/>
        <v>-383410.8</v>
      </c>
      <c r="L15" s="14">
        <f t="shared" si="5"/>
        <v>-390357</v>
      </c>
    </row>
    <row r="16">
      <c r="A16" s="14" t="s">
        <v>112</v>
      </c>
      <c r="B16" s="14">
        <v>0.0</v>
      </c>
      <c r="C16" s="14">
        <v>1016.0</v>
      </c>
      <c r="D16" s="14">
        <v>298.0</v>
      </c>
      <c r="E16" s="14">
        <f t="shared" si="1"/>
        <v>0</v>
      </c>
      <c r="F16" s="14" t="str">
        <f t="shared" si="2"/>
        <v>SELL</v>
      </c>
      <c r="G16" s="14">
        <f t="shared" si="3"/>
        <v>-298</v>
      </c>
      <c r="H16" s="14">
        <v>-298.0</v>
      </c>
      <c r="I16" s="8">
        <v>1012.6</v>
      </c>
      <c r="J16" s="14">
        <f t="shared" si="4"/>
        <v>-301754.8</v>
      </c>
      <c r="L16" s="14">
        <f t="shared" si="5"/>
        <v>-302768</v>
      </c>
    </row>
    <row r="17">
      <c r="A17" s="14" t="s">
        <v>198</v>
      </c>
      <c r="B17" s="14">
        <v>0.03623878068076609</v>
      </c>
      <c r="C17" s="14">
        <v>2119.4</v>
      </c>
      <c r="D17" s="14">
        <v>248.0</v>
      </c>
      <c r="E17" s="14">
        <f t="shared" si="1"/>
        <v>228</v>
      </c>
      <c r="F17" s="14" t="str">
        <f t="shared" si="2"/>
        <v>SELL</v>
      </c>
      <c r="G17" s="14">
        <f t="shared" si="3"/>
        <v>-20</v>
      </c>
      <c r="H17" s="14">
        <v>-20.0</v>
      </c>
      <c r="I17" s="8">
        <v>2158.3</v>
      </c>
      <c r="J17" s="14">
        <f t="shared" si="4"/>
        <v>-43166</v>
      </c>
      <c r="L17" s="14">
        <f t="shared" si="5"/>
        <v>-42388</v>
      </c>
      <c r="N17" s="14">
        <f t="shared" ref="N17:N18" si="7">D17+H17</f>
        <v>228</v>
      </c>
    </row>
    <row r="18">
      <c r="A18" s="14" t="s">
        <v>81</v>
      </c>
      <c r="B18" s="14">
        <v>0.03258678782721116</v>
      </c>
      <c r="C18" s="14">
        <v>1854.6</v>
      </c>
      <c r="D18" s="14">
        <v>335.0</v>
      </c>
      <c r="E18" s="14">
        <f t="shared" si="1"/>
        <v>234</v>
      </c>
      <c r="F18" s="14" t="str">
        <f t="shared" si="2"/>
        <v>SELL</v>
      </c>
      <c r="G18" s="14">
        <f t="shared" si="3"/>
        <v>-101</v>
      </c>
      <c r="H18" s="14">
        <v>-101.0</v>
      </c>
      <c r="I18" s="8">
        <v>1858.0</v>
      </c>
      <c r="J18" s="14">
        <f t="shared" si="4"/>
        <v>-187658</v>
      </c>
      <c r="L18" s="14">
        <f t="shared" si="5"/>
        <v>-187314.6</v>
      </c>
      <c r="N18" s="14">
        <f t="shared" si="7"/>
        <v>234</v>
      </c>
    </row>
    <row r="19">
      <c r="A19" s="14" t="s">
        <v>82</v>
      </c>
      <c r="B19" s="14">
        <v>0.0</v>
      </c>
      <c r="C19" s="14">
        <v>305.8</v>
      </c>
      <c r="D19" s="14">
        <v>1149.0</v>
      </c>
      <c r="E19" s="14">
        <f t="shared" si="1"/>
        <v>0</v>
      </c>
      <c r="F19" s="14" t="str">
        <f t="shared" si="2"/>
        <v>SELL</v>
      </c>
      <c r="G19" s="14">
        <f t="shared" si="3"/>
        <v>-1149</v>
      </c>
      <c r="H19" s="14">
        <v>-1149.0</v>
      </c>
      <c r="I19" s="8">
        <v>312.35</v>
      </c>
      <c r="J19" s="14">
        <f t="shared" si="4"/>
        <v>-358890.15</v>
      </c>
      <c r="L19" s="14">
        <f t="shared" si="5"/>
        <v>-351364.2</v>
      </c>
    </row>
    <row r="20">
      <c r="A20" s="14" t="s">
        <v>86</v>
      </c>
      <c r="B20" s="14">
        <v>0.03123421000257393</v>
      </c>
      <c r="C20" s="14">
        <v>3279.0</v>
      </c>
      <c r="D20" s="14">
        <v>163.0</v>
      </c>
      <c r="E20" s="14">
        <f t="shared" si="1"/>
        <v>127</v>
      </c>
      <c r="F20" s="14" t="str">
        <f t="shared" si="2"/>
        <v>SELL</v>
      </c>
      <c r="G20" s="14">
        <f t="shared" si="3"/>
        <v>-36</v>
      </c>
      <c r="H20" s="14">
        <v>-36.0</v>
      </c>
      <c r="I20" s="8">
        <v>3213.9</v>
      </c>
      <c r="J20" s="14">
        <f t="shared" si="4"/>
        <v>-115700.4</v>
      </c>
      <c r="L20" s="14">
        <f t="shared" si="5"/>
        <v>-118044</v>
      </c>
      <c r="N20" s="14">
        <f>D20+H20</f>
        <v>127</v>
      </c>
    </row>
    <row r="21">
      <c r="A21" s="14" t="s">
        <v>90</v>
      </c>
      <c r="B21" s="14">
        <v>0.0</v>
      </c>
      <c r="C21" s="14">
        <v>1173.7</v>
      </c>
      <c r="D21" s="14">
        <v>281.0</v>
      </c>
      <c r="E21" s="14">
        <f t="shared" si="1"/>
        <v>0</v>
      </c>
      <c r="F21" s="14" t="str">
        <f t="shared" si="2"/>
        <v>SELL</v>
      </c>
      <c r="G21" s="14">
        <f t="shared" si="3"/>
        <v>-281</v>
      </c>
      <c r="H21" s="14">
        <v>-281.0</v>
      </c>
      <c r="I21" s="8">
        <v>1164.8</v>
      </c>
      <c r="J21" s="14">
        <f t="shared" si="4"/>
        <v>-327308.8</v>
      </c>
      <c r="L21" s="14">
        <f t="shared" si="5"/>
        <v>-329809.7</v>
      </c>
    </row>
    <row r="22">
      <c r="A22" s="14" t="s">
        <v>28</v>
      </c>
      <c r="B22" s="14">
        <v>0.03151949873500465</v>
      </c>
      <c r="C22" s="14">
        <v>372.05</v>
      </c>
      <c r="D22" s="14">
        <v>1181.0</v>
      </c>
      <c r="E22" s="14">
        <f t="shared" si="1"/>
        <v>1131</v>
      </c>
      <c r="F22" s="14" t="str">
        <f t="shared" si="2"/>
        <v>SELL</v>
      </c>
      <c r="G22" s="14">
        <f t="shared" si="3"/>
        <v>-50</v>
      </c>
      <c r="H22" s="14">
        <v>-50.0</v>
      </c>
      <c r="I22" s="8">
        <v>375.95</v>
      </c>
      <c r="J22" s="14">
        <f t="shared" si="4"/>
        <v>-18797.5</v>
      </c>
      <c r="L22" s="14">
        <f t="shared" si="5"/>
        <v>-18602.5</v>
      </c>
      <c r="N22" s="14">
        <f t="shared" ref="N22:N24" si="8">D22+H22</f>
        <v>1131</v>
      </c>
    </row>
    <row r="23">
      <c r="A23" s="14" t="s">
        <v>11</v>
      </c>
      <c r="B23" s="14">
        <v>0.03970755162321494</v>
      </c>
      <c r="C23" s="14">
        <v>5139.0</v>
      </c>
      <c r="D23" s="14">
        <v>111.0</v>
      </c>
      <c r="E23" s="14">
        <f t="shared" si="1"/>
        <v>103</v>
      </c>
      <c r="F23" s="14" t="str">
        <f t="shared" si="2"/>
        <v>SELL</v>
      </c>
      <c r="G23" s="14">
        <f t="shared" si="3"/>
        <v>-8</v>
      </c>
      <c r="H23" s="14">
        <v>-8.0</v>
      </c>
      <c r="I23" s="8">
        <v>5117.0</v>
      </c>
      <c r="J23" s="14">
        <f t="shared" si="4"/>
        <v>-40936</v>
      </c>
      <c r="L23" s="14">
        <f t="shared" si="5"/>
        <v>-41112</v>
      </c>
      <c r="N23" s="14">
        <f t="shared" si="8"/>
        <v>103</v>
      </c>
    </row>
    <row r="24">
      <c r="A24" s="14" t="s">
        <v>15</v>
      </c>
      <c r="B24" s="14">
        <v>0.02569831322010608</v>
      </c>
      <c r="C24" s="14">
        <v>32690.0</v>
      </c>
      <c r="D24" s="14">
        <v>11.0</v>
      </c>
      <c r="E24" s="14">
        <f t="shared" si="1"/>
        <v>10</v>
      </c>
      <c r="F24" s="14" t="str">
        <f t="shared" si="2"/>
        <v>SELL</v>
      </c>
      <c r="G24" s="14">
        <f t="shared" si="3"/>
        <v>-1</v>
      </c>
      <c r="H24" s="14">
        <v>-1.0</v>
      </c>
      <c r="I24" s="8">
        <v>31960.0</v>
      </c>
      <c r="J24" s="14">
        <f t="shared" si="4"/>
        <v>-31960</v>
      </c>
      <c r="L24" s="14">
        <f t="shared" si="5"/>
        <v>-32690</v>
      </c>
      <c r="N24" s="14">
        <f t="shared" si="8"/>
        <v>10</v>
      </c>
    </row>
    <row r="25">
      <c r="A25" s="14" t="s">
        <v>31</v>
      </c>
      <c r="B25" s="14">
        <v>0.0</v>
      </c>
      <c r="C25" s="14">
        <v>1173.7</v>
      </c>
      <c r="D25" s="14">
        <v>276.0</v>
      </c>
      <c r="E25" s="14">
        <f t="shared" si="1"/>
        <v>0</v>
      </c>
      <c r="F25" s="14" t="str">
        <f t="shared" si="2"/>
        <v>SELL</v>
      </c>
      <c r="G25" s="14">
        <f t="shared" si="3"/>
        <v>-276</v>
      </c>
      <c r="H25" s="14">
        <v>-276.0</v>
      </c>
      <c r="I25" s="8">
        <v>1159.0</v>
      </c>
      <c r="J25" s="14">
        <f t="shared" si="4"/>
        <v>-319884</v>
      </c>
      <c r="L25" s="14">
        <f t="shared" si="5"/>
        <v>-323941.2</v>
      </c>
    </row>
    <row r="26">
      <c r="A26" s="14" t="s">
        <v>91</v>
      </c>
      <c r="B26" s="14">
        <v>0.03080695660583675</v>
      </c>
      <c r="C26" s="14">
        <v>1434.7</v>
      </c>
      <c r="D26" s="14">
        <v>389.0</v>
      </c>
      <c r="E26" s="14">
        <f t="shared" si="1"/>
        <v>287</v>
      </c>
      <c r="F26" s="14" t="str">
        <f t="shared" si="2"/>
        <v>SELL</v>
      </c>
      <c r="G26" s="14">
        <f t="shared" si="3"/>
        <v>-102</v>
      </c>
      <c r="H26" s="14">
        <v>-102.0</v>
      </c>
      <c r="I26" s="8">
        <v>1413.0</v>
      </c>
      <c r="J26" s="14">
        <f t="shared" si="4"/>
        <v>-144126</v>
      </c>
      <c r="L26" s="14">
        <f t="shared" si="5"/>
        <v>-146339.4</v>
      </c>
      <c r="N26" s="14">
        <f>D26+H26</f>
        <v>287</v>
      </c>
    </row>
    <row r="27">
      <c r="A27" s="14" t="s">
        <v>201</v>
      </c>
      <c r="B27" s="14">
        <v>0.0</v>
      </c>
      <c r="C27" s="14">
        <v>503.15</v>
      </c>
      <c r="D27" s="14">
        <v>608.0</v>
      </c>
      <c r="E27" s="14">
        <f t="shared" si="1"/>
        <v>0</v>
      </c>
      <c r="F27" s="14" t="str">
        <f t="shared" si="2"/>
        <v>SELL</v>
      </c>
      <c r="G27" s="14">
        <f t="shared" si="3"/>
        <v>-608</v>
      </c>
      <c r="H27" s="14">
        <v>-608.0</v>
      </c>
      <c r="I27" s="8">
        <v>512.53</v>
      </c>
      <c r="J27" s="14">
        <f t="shared" si="4"/>
        <v>-311618.24</v>
      </c>
      <c r="L27" s="14">
        <f t="shared" si="5"/>
        <v>-305915.2</v>
      </c>
    </row>
    <row r="28">
      <c r="A28" s="14" t="s">
        <v>103</v>
      </c>
      <c r="B28" s="14">
        <v>0.03278146794312409</v>
      </c>
      <c r="C28" s="14">
        <v>1385.7</v>
      </c>
      <c r="D28" s="14">
        <v>237.0</v>
      </c>
      <c r="E28" s="14">
        <f t="shared" si="1"/>
        <v>316</v>
      </c>
      <c r="F28" s="14" t="str">
        <f t="shared" si="2"/>
        <v>BUY</v>
      </c>
      <c r="G28" s="14">
        <f t="shared" si="3"/>
        <v>79</v>
      </c>
      <c r="H28" s="14">
        <v>79.0</v>
      </c>
      <c r="I28" s="8">
        <v>1394.32</v>
      </c>
      <c r="J28" s="14">
        <f t="shared" si="4"/>
        <v>110151.28</v>
      </c>
      <c r="L28" s="14">
        <f t="shared" si="5"/>
        <v>109470.3</v>
      </c>
      <c r="N28" s="14">
        <f t="shared" ref="N28:N47" si="9">D28+H28</f>
        <v>316</v>
      </c>
    </row>
    <row r="29">
      <c r="A29" s="14" t="s">
        <v>203</v>
      </c>
      <c r="B29" s="14">
        <v>0.02921665654551765</v>
      </c>
      <c r="C29" s="14">
        <v>1199.4</v>
      </c>
      <c r="D29" s="14">
        <v>0.0</v>
      </c>
      <c r="E29" s="14">
        <f t="shared" si="1"/>
        <v>325</v>
      </c>
      <c r="F29" s="14" t="str">
        <f t="shared" si="2"/>
        <v>BUY</v>
      </c>
      <c r="G29" s="14">
        <f t="shared" si="3"/>
        <v>325</v>
      </c>
      <c r="H29" s="14">
        <v>325.0</v>
      </c>
      <c r="I29" s="8">
        <v>1257.81</v>
      </c>
      <c r="J29" s="14">
        <f t="shared" si="4"/>
        <v>408788.25</v>
      </c>
      <c r="L29" s="14">
        <f t="shared" si="5"/>
        <v>389805</v>
      </c>
      <c r="N29" s="14">
        <f t="shared" si="9"/>
        <v>325</v>
      </c>
    </row>
    <row r="30">
      <c r="A30" s="14" t="s">
        <v>213</v>
      </c>
      <c r="B30" s="14">
        <v>0.03673185578004742</v>
      </c>
      <c r="C30" s="14">
        <v>17575.0</v>
      </c>
      <c r="D30" s="14">
        <v>25.0</v>
      </c>
      <c r="E30" s="14">
        <f t="shared" si="1"/>
        <v>28</v>
      </c>
      <c r="F30" s="14" t="str">
        <f t="shared" si="2"/>
        <v>BUY</v>
      </c>
      <c r="G30" s="14">
        <f t="shared" si="3"/>
        <v>3</v>
      </c>
      <c r="H30" s="14">
        <v>3.0</v>
      </c>
      <c r="I30" s="8">
        <v>17290.0</v>
      </c>
      <c r="J30" s="14">
        <f t="shared" si="4"/>
        <v>51870</v>
      </c>
      <c r="L30" s="14">
        <f t="shared" si="5"/>
        <v>52725</v>
      </c>
      <c r="N30" s="14">
        <f t="shared" si="9"/>
        <v>28</v>
      </c>
    </row>
    <row r="31">
      <c r="A31" s="14" t="s">
        <v>110</v>
      </c>
      <c r="B31" s="14">
        <v>0.02561760428811548</v>
      </c>
      <c r="C31" s="14">
        <v>2053.2</v>
      </c>
      <c r="D31" s="14">
        <v>0.0</v>
      </c>
      <c r="E31" s="14">
        <f t="shared" si="1"/>
        <v>167</v>
      </c>
      <c r="F31" s="14" t="str">
        <f t="shared" si="2"/>
        <v>BUY</v>
      </c>
      <c r="G31" s="14">
        <f t="shared" si="3"/>
        <v>167</v>
      </c>
      <c r="H31" s="14">
        <v>167.0</v>
      </c>
      <c r="I31" s="8">
        <v>2021.45</v>
      </c>
      <c r="J31" s="14">
        <f t="shared" si="4"/>
        <v>337582.15</v>
      </c>
      <c r="L31" s="14">
        <f t="shared" si="5"/>
        <v>342884.4</v>
      </c>
      <c r="N31" s="14">
        <f t="shared" si="9"/>
        <v>167</v>
      </c>
    </row>
    <row r="32">
      <c r="A32" s="14" t="s">
        <v>114</v>
      </c>
      <c r="B32" s="14">
        <v>0.03065580824977225</v>
      </c>
      <c r="C32" s="14">
        <v>425.4</v>
      </c>
      <c r="D32" s="14">
        <v>0.0</v>
      </c>
      <c r="E32" s="14">
        <f t="shared" si="1"/>
        <v>962</v>
      </c>
      <c r="F32" s="14" t="str">
        <f t="shared" si="2"/>
        <v>BUY</v>
      </c>
      <c r="G32" s="14">
        <f t="shared" si="3"/>
        <v>962</v>
      </c>
      <c r="H32" s="14">
        <v>962.0</v>
      </c>
      <c r="I32" s="8">
        <v>426.75</v>
      </c>
      <c r="J32" s="14">
        <f t="shared" si="4"/>
        <v>410533.5</v>
      </c>
      <c r="L32" s="14">
        <f t="shared" si="5"/>
        <v>409234.8</v>
      </c>
      <c r="N32" s="14">
        <f t="shared" si="9"/>
        <v>962</v>
      </c>
    </row>
    <row r="33">
      <c r="A33" s="14" t="s">
        <v>226</v>
      </c>
      <c r="B33" s="14">
        <v>0.02969909538946168</v>
      </c>
      <c r="C33" s="14">
        <v>1241.8</v>
      </c>
      <c r="D33" s="14">
        <v>0.0</v>
      </c>
      <c r="E33" s="14">
        <f t="shared" si="1"/>
        <v>319</v>
      </c>
      <c r="F33" s="14" t="str">
        <f t="shared" si="2"/>
        <v>BUY</v>
      </c>
      <c r="G33" s="14">
        <f t="shared" si="3"/>
        <v>319</v>
      </c>
      <c r="H33" s="14">
        <v>319.0</v>
      </c>
      <c r="I33" s="8">
        <v>1254.5</v>
      </c>
      <c r="J33" s="14">
        <f t="shared" si="4"/>
        <v>400185.5</v>
      </c>
      <c r="L33" s="14">
        <f t="shared" si="5"/>
        <v>396134.2</v>
      </c>
      <c r="N33" s="14">
        <f t="shared" si="9"/>
        <v>319</v>
      </c>
    </row>
    <row r="34">
      <c r="A34" s="14" t="s">
        <v>100</v>
      </c>
      <c r="B34" s="14">
        <v>0.03123603890966543</v>
      </c>
      <c r="C34" s="14">
        <v>1378.7</v>
      </c>
      <c r="D34" s="14">
        <v>277.0</v>
      </c>
      <c r="E34" s="14">
        <f t="shared" si="1"/>
        <v>302</v>
      </c>
      <c r="F34" s="14" t="str">
        <f t="shared" si="2"/>
        <v>BUY</v>
      </c>
      <c r="G34" s="14">
        <f t="shared" si="3"/>
        <v>25</v>
      </c>
      <c r="H34" s="14">
        <v>25.0</v>
      </c>
      <c r="I34" s="8">
        <v>1469.3</v>
      </c>
      <c r="J34" s="14">
        <f t="shared" si="4"/>
        <v>36732.5</v>
      </c>
      <c r="L34" s="14">
        <f t="shared" si="5"/>
        <v>34467.5</v>
      </c>
      <c r="N34" s="14">
        <f t="shared" si="9"/>
        <v>302</v>
      </c>
    </row>
    <row r="35">
      <c r="A35" s="14" t="s">
        <v>233</v>
      </c>
      <c r="B35" s="14">
        <v>0.04387714183292495</v>
      </c>
      <c r="C35" s="14">
        <v>3696.9</v>
      </c>
      <c r="D35" s="14">
        <v>0.0</v>
      </c>
      <c r="E35" s="14">
        <f t="shared" si="1"/>
        <v>158</v>
      </c>
      <c r="F35" s="14" t="str">
        <f t="shared" si="2"/>
        <v>BUY</v>
      </c>
      <c r="G35" s="14">
        <f t="shared" si="3"/>
        <v>158</v>
      </c>
      <c r="H35" s="14">
        <v>158.0</v>
      </c>
      <c r="I35" s="8">
        <v>3678.3</v>
      </c>
      <c r="J35" s="14">
        <f t="shared" si="4"/>
        <v>581171.4</v>
      </c>
      <c r="L35" s="14">
        <f t="shared" si="5"/>
        <v>584110.2</v>
      </c>
      <c r="N35" s="14">
        <f t="shared" si="9"/>
        <v>158</v>
      </c>
    </row>
    <row r="36">
      <c r="A36" s="14" t="s">
        <v>238</v>
      </c>
      <c r="B36" s="14">
        <v>0.02887872359148251</v>
      </c>
      <c r="C36" s="14">
        <v>4435.3</v>
      </c>
      <c r="D36" s="14">
        <v>0.0</v>
      </c>
      <c r="E36" s="14">
        <f t="shared" si="1"/>
        <v>87</v>
      </c>
      <c r="F36" s="14" t="str">
        <f t="shared" si="2"/>
        <v>BUY</v>
      </c>
      <c r="G36" s="14">
        <f t="shared" si="3"/>
        <v>87</v>
      </c>
      <c r="H36" s="14">
        <v>87.0</v>
      </c>
      <c r="I36" s="8">
        <v>4584.5</v>
      </c>
      <c r="J36" s="14">
        <f t="shared" si="4"/>
        <v>398851.5</v>
      </c>
      <c r="L36" s="14">
        <f t="shared" si="5"/>
        <v>385871.1</v>
      </c>
      <c r="N36" s="14">
        <f t="shared" si="9"/>
        <v>87</v>
      </c>
    </row>
    <row r="37">
      <c r="A37" s="14" t="s">
        <v>244</v>
      </c>
      <c r="B37" s="14">
        <v>0.0531535591369751</v>
      </c>
      <c r="C37" s="14">
        <v>236.64</v>
      </c>
      <c r="D37" s="14">
        <v>2420.0</v>
      </c>
      <c r="E37" s="14">
        <f t="shared" si="1"/>
        <v>2997</v>
      </c>
      <c r="F37" s="14" t="str">
        <f t="shared" si="2"/>
        <v>BUY</v>
      </c>
      <c r="G37" s="14">
        <f t="shared" si="3"/>
        <v>577</v>
      </c>
      <c r="H37" s="14">
        <v>577.0</v>
      </c>
      <c r="I37" s="8">
        <v>226.77</v>
      </c>
      <c r="J37" s="14">
        <f t="shared" si="4"/>
        <v>130846.29</v>
      </c>
      <c r="L37" s="14">
        <f t="shared" si="5"/>
        <v>136541.28</v>
      </c>
      <c r="N37" s="14">
        <f t="shared" si="9"/>
        <v>2997</v>
      </c>
    </row>
    <row r="38">
      <c r="A38" s="14" t="s">
        <v>111</v>
      </c>
      <c r="B38" s="14">
        <v>0.03960897913051481</v>
      </c>
      <c r="C38" s="14">
        <v>518.95</v>
      </c>
      <c r="D38" s="14">
        <v>958.0</v>
      </c>
      <c r="E38" s="14">
        <f t="shared" si="1"/>
        <v>1019</v>
      </c>
      <c r="F38" s="14" t="str">
        <f t="shared" si="2"/>
        <v>BUY</v>
      </c>
      <c r="G38" s="14">
        <f t="shared" si="3"/>
        <v>61</v>
      </c>
      <c r="H38" s="14">
        <v>61.0</v>
      </c>
      <c r="I38" s="8">
        <v>525.8</v>
      </c>
      <c r="J38" s="14">
        <f t="shared" si="4"/>
        <v>32073.8</v>
      </c>
      <c r="L38" s="14">
        <f t="shared" si="5"/>
        <v>31655.95</v>
      </c>
      <c r="N38" s="14">
        <f t="shared" si="9"/>
        <v>1019</v>
      </c>
    </row>
    <row r="39">
      <c r="A39" s="14" t="s">
        <v>251</v>
      </c>
      <c r="B39" s="14">
        <v>0.03688935313366114</v>
      </c>
      <c r="C39" s="14">
        <v>14.11</v>
      </c>
      <c r="D39" s="14">
        <v>32653.0</v>
      </c>
      <c r="E39" s="14">
        <f t="shared" si="1"/>
        <v>34888</v>
      </c>
      <c r="F39" s="14" t="str">
        <f t="shared" si="2"/>
        <v>BUY</v>
      </c>
      <c r="G39" s="14">
        <f t="shared" si="3"/>
        <v>2235</v>
      </c>
      <c r="H39" s="14">
        <v>2235.0</v>
      </c>
      <c r="I39" s="8">
        <v>14.54</v>
      </c>
      <c r="J39" s="14">
        <f t="shared" si="4"/>
        <v>32496.9</v>
      </c>
      <c r="L39" s="14">
        <f t="shared" si="5"/>
        <v>31535.85</v>
      </c>
      <c r="N39" s="14">
        <f t="shared" si="9"/>
        <v>34888</v>
      </c>
    </row>
    <row r="40">
      <c r="A40" s="14" t="s">
        <v>131</v>
      </c>
      <c r="B40" s="14">
        <v>0.02480530665247465</v>
      </c>
      <c r="C40" s="14">
        <v>164.61</v>
      </c>
      <c r="D40" s="14">
        <v>0.0</v>
      </c>
      <c r="E40" s="14">
        <f t="shared" si="1"/>
        <v>2011</v>
      </c>
      <c r="F40" s="14" t="str">
        <f t="shared" si="2"/>
        <v>BUY</v>
      </c>
      <c r="G40" s="14">
        <f t="shared" si="3"/>
        <v>2011</v>
      </c>
      <c r="H40" s="14">
        <v>2011.0</v>
      </c>
      <c r="I40" s="8">
        <v>162.1</v>
      </c>
      <c r="J40" s="14">
        <f t="shared" si="4"/>
        <v>325983.1</v>
      </c>
      <c r="L40" s="14">
        <f t="shared" si="5"/>
        <v>331030.71</v>
      </c>
      <c r="N40" s="14">
        <f t="shared" si="9"/>
        <v>2011</v>
      </c>
    </row>
    <row r="41">
      <c r="A41" s="14" t="s">
        <v>87</v>
      </c>
      <c r="B41" s="14">
        <v>0.02578696349804511</v>
      </c>
      <c r="C41" s="14">
        <v>8636.5</v>
      </c>
      <c r="D41" s="14">
        <v>0.0</v>
      </c>
      <c r="E41" s="14">
        <f t="shared" si="1"/>
        <v>40</v>
      </c>
      <c r="F41" s="14" t="str">
        <f t="shared" si="2"/>
        <v>BUY</v>
      </c>
      <c r="G41" s="14">
        <f t="shared" si="3"/>
        <v>40</v>
      </c>
      <c r="H41" s="14">
        <v>40.0</v>
      </c>
      <c r="I41" s="8">
        <v>8544.77</v>
      </c>
      <c r="J41" s="14">
        <f t="shared" si="4"/>
        <v>341790.8</v>
      </c>
      <c r="L41" s="14">
        <f t="shared" si="5"/>
        <v>345460</v>
      </c>
      <c r="N41" s="14">
        <f t="shared" si="9"/>
        <v>40</v>
      </c>
    </row>
    <row r="42">
      <c r="A42" s="14" t="s">
        <v>259</v>
      </c>
      <c r="B42" s="14">
        <v>0.034013487551614</v>
      </c>
      <c r="C42" s="14">
        <v>291.7</v>
      </c>
      <c r="D42" s="14">
        <v>0.0</v>
      </c>
      <c r="E42" s="14">
        <f t="shared" si="1"/>
        <v>1556</v>
      </c>
      <c r="F42" s="14" t="str">
        <f t="shared" si="2"/>
        <v>BUY</v>
      </c>
      <c r="G42" s="14">
        <f t="shared" si="3"/>
        <v>1556</v>
      </c>
      <c r="H42" s="14">
        <v>1556.0</v>
      </c>
      <c r="I42" s="8">
        <v>282.2</v>
      </c>
      <c r="J42" s="14">
        <f t="shared" si="4"/>
        <v>439103.2</v>
      </c>
      <c r="L42" s="14">
        <f t="shared" si="5"/>
        <v>453885.2</v>
      </c>
      <c r="N42" s="14">
        <f t="shared" si="9"/>
        <v>1556</v>
      </c>
    </row>
    <row r="43">
      <c r="A43" s="14" t="s">
        <v>264</v>
      </c>
      <c r="B43" s="14">
        <v>0.03598171748508141</v>
      </c>
      <c r="C43" s="14">
        <v>2846.8</v>
      </c>
      <c r="D43" s="14">
        <v>0.0</v>
      </c>
      <c r="E43" s="14">
        <f t="shared" si="1"/>
        <v>169</v>
      </c>
      <c r="F43" s="14" t="str">
        <f t="shared" si="2"/>
        <v>BUY</v>
      </c>
      <c r="G43" s="14">
        <f t="shared" si="3"/>
        <v>169</v>
      </c>
      <c r="H43" s="14">
        <v>169.0</v>
      </c>
      <c r="I43" s="8">
        <v>2616.36</v>
      </c>
      <c r="J43" s="14">
        <f t="shared" si="4"/>
        <v>442164.84</v>
      </c>
      <c r="L43" s="14">
        <f t="shared" si="5"/>
        <v>481109.2</v>
      </c>
      <c r="N43" s="14">
        <f t="shared" si="9"/>
        <v>169</v>
      </c>
    </row>
    <row r="44">
      <c r="A44" s="14" t="s">
        <v>121</v>
      </c>
      <c r="B44" s="14">
        <v>0.02947076655704221</v>
      </c>
      <c r="C44" s="14">
        <v>1054.8</v>
      </c>
      <c r="D44" s="14">
        <v>0.0</v>
      </c>
      <c r="E44" s="14">
        <f t="shared" si="1"/>
        <v>373</v>
      </c>
      <c r="F44" s="14" t="str">
        <f t="shared" si="2"/>
        <v>BUY</v>
      </c>
      <c r="G44" s="14">
        <f t="shared" si="3"/>
        <v>373</v>
      </c>
      <c r="H44" s="14">
        <v>373.0</v>
      </c>
      <c r="I44" s="8">
        <v>1046.3</v>
      </c>
      <c r="J44" s="14">
        <f t="shared" si="4"/>
        <v>390269.9</v>
      </c>
      <c r="L44" s="14">
        <f t="shared" si="5"/>
        <v>393440.4</v>
      </c>
      <c r="N44" s="14">
        <f t="shared" si="9"/>
        <v>373</v>
      </c>
    </row>
    <row r="45">
      <c r="A45" s="14" t="s">
        <v>160</v>
      </c>
      <c r="B45" s="14">
        <v>0.02583358876281818</v>
      </c>
      <c r="C45" s="14">
        <v>800.95</v>
      </c>
      <c r="D45" s="14">
        <v>0.0</v>
      </c>
      <c r="E45" s="14">
        <f t="shared" si="1"/>
        <v>430</v>
      </c>
      <c r="F45" s="14" t="str">
        <f t="shared" si="2"/>
        <v>BUY</v>
      </c>
      <c r="G45" s="14">
        <f t="shared" si="3"/>
        <v>430</v>
      </c>
      <c r="H45" s="14">
        <v>430.0</v>
      </c>
      <c r="I45" s="8">
        <v>790.15</v>
      </c>
      <c r="J45" s="14">
        <f t="shared" si="4"/>
        <v>339764.5</v>
      </c>
      <c r="L45" s="14">
        <f t="shared" si="5"/>
        <v>344408.5</v>
      </c>
      <c r="N45" s="14">
        <f t="shared" si="9"/>
        <v>430</v>
      </c>
    </row>
    <row r="46">
      <c r="A46" s="14" t="s">
        <v>273</v>
      </c>
      <c r="B46" s="14">
        <v>0.04316042568428268</v>
      </c>
      <c r="C46" s="14">
        <v>2511.3</v>
      </c>
      <c r="D46" s="14">
        <v>0.0</v>
      </c>
      <c r="E46" s="14">
        <f t="shared" si="1"/>
        <v>229</v>
      </c>
      <c r="F46" s="14" t="str">
        <f t="shared" si="2"/>
        <v>BUY</v>
      </c>
      <c r="G46" s="14">
        <f t="shared" si="3"/>
        <v>229</v>
      </c>
      <c r="H46" s="14">
        <v>229.0</v>
      </c>
      <c r="I46" s="8">
        <v>2607.88</v>
      </c>
      <c r="J46" s="14">
        <f t="shared" si="4"/>
        <v>597204.52</v>
      </c>
      <c r="L46" s="14">
        <f t="shared" si="5"/>
        <v>575087.7</v>
      </c>
      <c r="N46" s="14">
        <f t="shared" si="9"/>
        <v>229</v>
      </c>
    </row>
    <row r="47">
      <c r="A47" s="14" t="s">
        <v>276</v>
      </c>
      <c r="B47" s="14">
        <v>0.02624679572705991</v>
      </c>
      <c r="C47" s="14">
        <v>197.92</v>
      </c>
      <c r="D47" s="14">
        <v>0.0</v>
      </c>
      <c r="E47" s="14">
        <f t="shared" si="1"/>
        <v>1770</v>
      </c>
      <c r="F47" s="14" t="str">
        <f t="shared" si="2"/>
        <v>BUY</v>
      </c>
      <c r="G47" s="14">
        <f t="shared" si="3"/>
        <v>1770</v>
      </c>
      <c r="H47" s="14">
        <v>1770.0</v>
      </c>
      <c r="I47" s="8">
        <v>199.7</v>
      </c>
      <c r="J47" s="14">
        <f t="shared" si="4"/>
        <v>353469</v>
      </c>
      <c r="L47" s="14">
        <f t="shared" si="5"/>
        <v>350318.4</v>
      </c>
      <c r="N47" s="14">
        <f t="shared" si="9"/>
        <v>1770</v>
      </c>
    </row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autoFilter ref="$A$3:$J$47">
    <sortState ref="A3:J47">
      <sortCondition descending="1" ref="F3:F47"/>
    </sortState>
  </autoFilter>
  <mergeCells count="2">
    <mergeCell ref="C2:G2"/>
    <mergeCell ref="H2:J2"/>
  </mergeCells>
  <conditionalFormatting sqref="C10">
    <cfRule type="notContainsBlanks" dxfId="0" priority="1">
      <formula>LEN(TRIM(C10))&gt;0</formula>
    </cfRule>
  </conditionalFormatting>
  <conditionalFormatting sqref="C11">
    <cfRule type="notContainsBlanks" dxfId="0" priority="2">
      <formula>LEN(TRIM(C11))&gt;0</formula>
    </cfRule>
  </conditionalFormatting>
  <conditionalFormatting sqref="C12">
    <cfRule type="notContainsBlanks" dxfId="0" priority="3">
      <formula>LEN(TRIM(C12))&gt;0</formula>
    </cfRule>
  </conditionalFormatting>
  <conditionalFormatting sqref="C13">
    <cfRule type="notContainsBlanks" dxfId="0" priority="4">
      <formula>LEN(TRIM(C13))&gt;0</formula>
    </cfRule>
  </conditionalFormatting>
  <conditionalFormatting sqref="C14">
    <cfRule type="notContainsBlanks" dxfId="0" priority="5">
      <formula>LEN(TRIM(C14))&gt;0</formula>
    </cfRule>
  </conditionalFormatting>
  <conditionalFormatting sqref="C15">
    <cfRule type="notContainsBlanks" dxfId="0" priority="6">
      <formula>LEN(TRIM(C15))&gt;0</formula>
    </cfRule>
  </conditionalFormatting>
  <conditionalFormatting sqref="C16">
    <cfRule type="notContainsBlanks" dxfId="0" priority="7">
      <formula>LEN(TRIM(C16))&gt;0</formula>
    </cfRule>
  </conditionalFormatting>
  <conditionalFormatting sqref="C17">
    <cfRule type="notContainsBlanks" dxfId="0" priority="8">
      <formula>LEN(TRIM(C17))&gt;0</formula>
    </cfRule>
  </conditionalFormatting>
  <conditionalFormatting sqref="C18">
    <cfRule type="notContainsBlanks" dxfId="0" priority="9">
      <formula>LEN(TRIM(C18))&gt;0</formula>
    </cfRule>
  </conditionalFormatting>
  <conditionalFormatting sqref="C19">
    <cfRule type="notContainsBlanks" dxfId="0" priority="10">
      <formula>LEN(TRIM(C19))&gt;0</formula>
    </cfRule>
  </conditionalFormatting>
  <conditionalFormatting sqref="C20:C47">
    <cfRule type="notContainsBlanks" dxfId="0" priority="11">
      <formula>LEN(TRIM(C20))&gt;0</formula>
    </cfRule>
  </conditionalFormatting>
  <conditionalFormatting sqref="C21">
    <cfRule type="notContainsBlanks" dxfId="0" priority="12">
      <formula>LEN(TRIM(C21))&gt;0</formula>
    </cfRule>
  </conditionalFormatting>
  <conditionalFormatting sqref="C22">
    <cfRule type="notContainsBlanks" dxfId="0" priority="13">
      <formula>LEN(TRIM(C22))&gt;0</formula>
    </cfRule>
  </conditionalFormatting>
  <conditionalFormatting sqref="C23">
    <cfRule type="notContainsBlanks" dxfId="0" priority="14">
      <formula>LEN(TRIM(C23))&gt;0</formula>
    </cfRule>
  </conditionalFormatting>
  <conditionalFormatting sqref="C24">
    <cfRule type="notContainsBlanks" dxfId="0" priority="15">
      <formula>LEN(TRIM(C24))&gt;0</formula>
    </cfRule>
  </conditionalFormatting>
  <conditionalFormatting sqref="C25">
    <cfRule type="notContainsBlanks" dxfId="0" priority="16">
      <formula>LEN(TRIM(C25))&gt;0</formula>
    </cfRule>
  </conditionalFormatting>
  <conditionalFormatting sqref="C26">
    <cfRule type="notContainsBlanks" dxfId="0" priority="17">
      <formula>LEN(TRIM(C26))&gt;0</formula>
    </cfRule>
  </conditionalFormatting>
  <conditionalFormatting sqref="C27">
    <cfRule type="notContainsBlanks" dxfId="0" priority="18">
      <formula>LEN(TRIM(C27))&gt;0</formula>
    </cfRule>
  </conditionalFormatting>
  <conditionalFormatting sqref="C28">
    <cfRule type="notContainsBlanks" dxfId="0" priority="19">
      <formula>LEN(TRIM(C28))&gt;0</formula>
    </cfRule>
  </conditionalFormatting>
  <conditionalFormatting sqref="C29">
    <cfRule type="notContainsBlanks" dxfId="0" priority="20">
      <formula>LEN(TRIM(C29))&gt;0</formula>
    </cfRule>
  </conditionalFormatting>
  <conditionalFormatting sqref="C30">
    <cfRule type="notContainsBlanks" dxfId="0" priority="21">
      <formula>LEN(TRIM(C30))&gt;0</formula>
    </cfRule>
  </conditionalFormatting>
  <conditionalFormatting sqref="C31">
    <cfRule type="notContainsBlanks" dxfId="0" priority="22">
      <formula>LEN(TRIM(C31))&gt;0</formula>
    </cfRule>
  </conditionalFormatting>
  <conditionalFormatting sqref="C32">
    <cfRule type="notContainsBlanks" dxfId="0" priority="23">
      <formula>LEN(TRIM(C32))&gt;0</formula>
    </cfRule>
  </conditionalFormatting>
  <conditionalFormatting sqref="C33">
    <cfRule type="notContainsBlanks" dxfId="0" priority="24">
      <formula>LEN(TRIM(C33))&gt;0</formula>
    </cfRule>
  </conditionalFormatting>
  <conditionalFormatting sqref="C34">
    <cfRule type="notContainsBlanks" dxfId="0" priority="25">
      <formula>LEN(TRIM(C34))&gt;0</formula>
    </cfRule>
  </conditionalFormatting>
  <conditionalFormatting sqref="C35">
    <cfRule type="notContainsBlanks" dxfId="0" priority="26">
      <formula>LEN(TRIM(C35))&gt;0</formula>
    </cfRule>
  </conditionalFormatting>
  <conditionalFormatting sqref="C36">
    <cfRule type="notContainsBlanks" dxfId="0" priority="27">
      <formula>LEN(TRIM(C36))&gt;0</formula>
    </cfRule>
  </conditionalFormatting>
  <conditionalFormatting sqref="C37">
    <cfRule type="notContainsBlanks" dxfId="0" priority="28">
      <formula>LEN(TRIM(C37))&gt;0</formula>
    </cfRule>
  </conditionalFormatting>
  <conditionalFormatting sqref="C38">
    <cfRule type="notContainsBlanks" dxfId="0" priority="29">
      <formula>LEN(TRIM(C38))&gt;0</formula>
    </cfRule>
  </conditionalFormatting>
  <conditionalFormatting sqref="C39">
    <cfRule type="notContainsBlanks" dxfId="0" priority="30">
      <formula>LEN(TRIM(C39))&gt;0</formula>
    </cfRule>
  </conditionalFormatting>
  <conditionalFormatting sqref="C4:C47">
    <cfRule type="notContainsBlanks" dxfId="0" priority="31">
      <formula>LEN(TRIM(C4))&gt;0</formula>
    </cfRule>
  </conditionalFormatting>
  <conditionalFormatting sqref="C40">
    <cfRule type="notContainsBlanks" dxfId="0" priority="32">
      <formula>LEN(TRIM(C40))&gt;0</formula>
    </cfRule>
  </conditionalFormatting>
  <conditionalFormatting sqref="C41">
    <cfRule type="notContainsBlanks" dxfId="0" priority="33">
      <formula>LEN(TRIM(C41))&gt;0</formula>
    </cfRule>
  </conditionalFormatting>
  <conditionalFormatting sqref="C42">
    <cfRule type="notContainsBlanks" dxfId="0" priority="34">
      <formula>LEN(TRIM(C42))&gt;0</formula>
    </cfRule>
  </conditionalFormatting>
  <conditionalFormatting sqref="C43">
    <cfRule type="notContainsBlanks" dxfId="0" priority="35">
      <formula>LEN(TRIM(C43))&gt;0</formula>
    </cfRule>
  </conditionalFormatting>
  <conditionalFormatting sqref="C44">
    <cfRule type="notContainsBlanks" dxfId="0" priority="36">
      <formula>LEN(TRIM(C44))&gt;0</formula>
    </cfRule>
  </conditionalFormatting>
  <conditionalFormatting sqref="C45">
    <cfRule type="notContainsBlanks" dxfId="0" priority="37">
      <formula>LEN(TRIM(C45))&gt;0</formula>
    </cfRule>
  </conditionalFormatting>
  <conditionalFormatting sqref="C46">
    <cfRule type="notContainsBlanks" dxfId="0" priority="38">
      <formula>LEN(TRIM(C46))&gt;0</formula>
    </cfRule>
  </conditionalFormatting>
  <conditionalFormatting sqref="C47">
    <cfRule type="notContainsBlanks" dxfId="0" priority="39">
      <formula>LEN(TRIM(C47))&gt;0</formula>
    </cfRule>
  </conditionalFormatting>
  <conditionalFormatting sqref="C5">
    <cfRule type="notContainsBlanks" dxfId="0" priority="40">
      <formula>LEN(TRIM(C5))&gt;0</formula>
    </cfRule>
  </conditionalFormatting>
  <conditionalFormatting sqref="C6">
    <cfRule type="notContainsBlanks" dxfId="0" priority="41">
      <formula>LEN(TRIM(C6))&gt;0</formula>
    </cfRule>
  </conditionalFormatting>
  <conditionalFormatting sqref="C7">
    <cfRule type="notContainsBlanks" dxfId="0" priority="42">
      <formula>LEN(TRIM(C7))&gt;0</formula>
    </cfRule>
  </conditionalFormatting>
  <conditionalFormatting sqref="C8">
    <cfRule type="notContainsBlanks" dxfId="0" priority="43">
      <formula>LEN(TRIM(C8))&gt;0</formula>
    </cfRule>
  </conditionalFormatting>
  <conditionalFormatting sqref="C9">
    <cfRule type="notContainsBlanks" dxfId="0" priority="44">
      <formula>LEN(TRIM(C9))&gt;0</formula>
    </cfRule>
  </conditionalFormatting>
  <conditionalFormatting sqref="D10">
    <cfRule type="notContainsBlanks" dxfId="0" priority="45">
      <formula>LEN(TRIM(D10))&gt;0</formula>
    </cfRule>
  </conditionalFormatting>
  <conditionalFormatting sqref="D11">
    <cfRule type="notContainsBlanks" dxfId="0" priority="46">
      <formula>LEN(TRIM(D11))&gt;0</formula>
    </cfRule>
  </conditionalFormatting>
  <conditionalFormatting sqref="D12">
    <cfRule type="notContainsBlanks" dxfId="0" priority="47">
      <formula>LEN(TRIM(D12))&gt;0</formula>
    </cfRule>
  </conditionalFormatting>
  <conditionalFormatting sqref="D13">
    <cfRule type="notContainsBlanks" dxfId="0" priority="48">
      <formula>LEN(TRIM(D13))&gt;0</formula>
    </cfRule>
  </conditionalFormatting>
  <conditionalFormatting sqref="D14">
    <cfRule type="notContainsBlanks" dxfId="0" priority="49">
      <formula>LEN(TRIM(D14))&gt;0</formula>
    </cfRule>
  </conditionalFormatting>
  <conditionalFormatting sqref="D15">
    <cfRule type="notContainsBlanks" dxfId="0" priority="50">
      <formula>LEN(TRIM(D15))&gt;0</formula>
    </cfRule>
  </conditionalFormatting>
  <conditionalFormatting sqref="D16">
    <cfRule type="notContainsBlanks" dxfId="0" priority="51">
      <formula>LEN(TRIM(D16))&gt;0</formula>
    </cfRule>
  </conditionalFormatting>
  <conditionalFormatting sqref="D17">
    <cfRule type="notContainsBlanks" dxfId="0" priority="52">
      <formula>LEN(TRIM(D17))&gt;0</formula>
    </cfRule>
  </conditionalFormatting>
  <conditionalFormatting sqref="D18">
    <cfRule type="notContainsBlanks" dxfId="0" priority="53">
      <formula>LEN(TRIM(D18))&gt;0</formula>
    </cfRule>
  </conditionalFormatting>
  <conditionalFormatting sqref="D19">
    <cfRule type="notContainsBlanks" dxfId="0" priority="54">
      <formula>LEN(TRIM(D19))&gt;0</formula>
    </cfRule>
  </conditionalFormatting>
  <conditionalFormatting sqref="D20">
    <cfRule type="notContainsBlanks" dxfId="0" priority="55">
      <formula>LEN(TRIM(D20))&gt;0</formula>
    </cfRule>
  </conditionalFormatting>
  <conditionalFormatting sqref="D21">
    <cfRule type="notContainsBlanks" dxfId="0" priority="56">
      <formula>LEN(TRIM(D21))&gt;0</formula>
    </cfRule>
  </conditionalFormatting>
  <conditionalFormatting sqref="D22">
    <cfRule type="notContainsBlanks" dxfId="0" priority="57">
      <formula>LEN(TRIM(D22))&gt;0</formula>
    </cfRule>
  </conditionalFormatting>
  <conditionalFormatting sqref="D23">
    <cfRule type="notContainsBlanks" dxfId="0" priority="58">
      <formula>LEN(TRIM(D23))&gt;0</formula>
    </cfRule>
  </conditionalFormatting>
  <conditionalFormatting sqref="D24">
    <cfRule type="notContainsBlanks" dxfId="0" priority="59">
      <formula>LEN(TRIM(D24))&gt;0</formula>
    </cfRule>
  </conditionalFormatting>
  <conditionalFormatting sqref="D25">
    <cfRule type="notContainsBlanks" dxfId="0" priority="60">
      <formula>LEN(TRIM(D25))&gt;0</formula>
    </cfRule>
  </conditionalFormatting>
  <conditionalFormatting sqref="D26">
    <cfRule type="notContainsBlanks" dxfId="0" priority="61">
      <formula>LEN(TRIM(D26))&gt;0</formula>
    </cfRule>
  </conditionalFormatting>
  <conditionalFormatting sqref="D27">
    <cfRule type="notContainsBlanks" dxfId="0" priority="62">
      <formula>LEN(TRIM(D27))&gt;0</formula>
    </cfRule>
  </conditionalFormatting>
  <conditionalFormatting sqref="D28">
    <cfRule type="notContainsBlanks" dxfId="0" priority="63">
      <formula>LEN(TRIM(D28))&gt;0</formula>
    </cfRule>
  </conditionalFormatting>
  <conditionalFormatting sqref="D29">
    <cfRule type="notContainsBlanks" dxfId="0" priority="64">
      <formula>LEN(TRIM(D29))&gt;0</formula>
    </cfRule>
  </conditionalFormatting>
  <conditionalFormatting sqref="D30">
    <cfRule type="notContainsBlanks" dxfId="0" priority="65">
      <formula>LEN(TRIM(D30))&gt;0</formula>
    </cfRule>
  </conditionalFormatting>
  <conditionalFormatting sqref="D31">
    <cfRule type="notContainsBlanks" dxfId="0" priority="66">
      <formula>LEN(TRIM(D31))&gt;0</formula>
    </cfRule>
  </conditionalFormatting>
  <conditionalFormatting sqref="D32">
    <cfRule type="notContainsBlanks" dxfId="0" priority="67">
      <formula>LEN(TRIM(D32))&gt;0</formula>
    </cfRule>
  </conditionalFormatting>
  <conditionalFormatting sqref="D33">
    <cfRule type="notContainsBlanks" dxfId="0" priority="68">
      <formula>LEN(TRIM(D33))&gt;0</formula>
    </cfRule>
  </conditionalFormatting>
  <conditionalFormatting sqref="D34">
    <cfRule type="notContainsBlanks" dxfId="0" priority="69">
      <formula>LEN(TRIM(D34))&gt;0</formula>
    </cfRule>
  </conditionalFormatting>
  <conditionalFormatting sqref="D35">
    <cfRule type="notContainsBlanks" dxfId="0" priority="70">
      <formula>LEN(TRIM(D35))&gt;0</formula>
    </cfRule>
  </conditionalFormatting>
  <conditionalFormatting sqref="D36">
    <cfRule type="notContainsBlanks" dxfId="0" priority="71">
      <formula>LEN(TRIM(D36))&gt;0</formula>
    </cfRule>
  </conditionalFormatting>
  <conditionalFormatting sqref="D37">
    <cfRule type="notContainsBlanks" dxfId="0" priority="72">
      <formula>LEN(TRIM(D37))&gt;0</formula>
    </cfRule>
  </conditionalFormatting>
  <conditionalFormatting sqref="D38">
    <cfRule type="notContainsBlanks" dxfId="0" priority="73">
      <formula>LEN(TRIM(D38))&gt;0</formula>
    </cfRule>
  </conditionalFormatting>
  <conditionalFormatting sqref="D39">
    <cfRule type="notContainsBlanks" dxfId="0" priority="74">
      <formula>LEN(TRIM(D39))&gt;0</formula>
    </cfRule>
  </conditionalFormatting>
  <conditionalFormatting sqref="D4">
    <cfRule type="notContainsBlanks" dxfId="0" priority="75">
      <formula>LEN(TRIM(D4))&gt;0</formula>
    </cfRule>
  </conditionalFormatting>
  <conditionalFormatting sqref="D40">
    <cfRule type="notContainsBlanks" dxfId="0" priority="76">
      <formula>LEN(TRIM(D40))&gt;0</formula>
    </cfRule>
  </conditionalFormatting>
  <conditionalFormatting sqref="D41">
    <cfRule type="notContainsBlanks" dxfId="0" priority="77">
      <formula>LEN(TRIM(D41))&gt;0</formula>
    </cfRule>
  </conditionalFormatting>
  <conditionalFormatting sqref="D42">
    <cfRule type="notContainsBlanks" dxfId="0" priority="78">
      <formula>LEN(TRIM(D42))&gt;0</formula>
    </cfRule>
  </conditionalFormatting>
  <conditionalFormatting sqref="D43">
    <cfRule type="notContainsBlanks" dxfId="0" priority="79">
      <formula>LEN(TRIM(D43))&gt;0</formula>
    </cfRule>
  </conditionalFormatting>
  <conditionalFormatting sqref="D44">
    <cfRule type="notContainsBlanks" dxfId="0" priority="80">
      <formula>LEN(TRIM(D44))&gt;0</formula>
    </cfRule>
  </conditionalFormatting>
  <conditionalFormatting sqref="D45">
    <cfRule type="notContainsBlanks" dxfId="0" priority="81">
      <formula>LEN(TRIM(D45))&gt;0</formula>
    </cfRule>
  </conditionalFormatting>
  <conditionalFormatting sqref="D46">
    <cfRule type="notContainsBlanks" dxfId="0" priority="82">
      <formula>LEN(TRIM(D46))&gt;0</formula>
    </cfRule>
  </conditionalFormatting>
  <conditionalFormatting sqref="D47">
    <cfRule type="notContainsBlanks" dxfId="0" priority="83">
      <formula>LEN(TRIM(D47))&gt;0</formula>
    </cfRule>
  </conditionalFormatting>
  <conditionalFormatting sqref="D5">
    <cfRule type="notContainsBlanks" dxfId="0" priority="84">
      <formula>LEN(TRIM(D5))&gt;0</formula>
    </cfRule>
  </conditionalFormatting>
  <conditionalFormatting sqref="D6">
    <cfRule type="notContainsBlanks" dxfId="0" priority="85">
      <formula>LEN(TRIM(D6))&gt;0</formula>
    </cfRule>
  </conditionalFormatting>
  <conditionalFormatting sqref="D7">
    <cfRule type="notContainsBlanks" dxfId="0" priority="86">
      <formula>LEN(TRIM(D7))&gt;0</formula>
    </cfRule>
  </conditionalFormatting>
  <conditionalFormatting sqref="D8">
    <cfRule type="notContainsBlanks" dxfId="0" priority="87">
      <formula>LEN(TRIM(D8))&gt;0</formula>
    </cfRule>
  </conditionalFormatting>
  <conditionalFormatting sqref="D9">
    <cfRule type="notContainsBlanks" dxfId="0" priority="88">
      <formula>LEN(TRIM(D9))&gt;0</formula>
    </cfRule>
  </conditionalFormatting>
  <conditionalFormatting sqref="E10">
    <cfRule type="notContainsBlanks" dxfId="0" priority="89">
      <formula>LEN(TRIM(E10))&gt;0</formula>
    </cfRule>
  </conditionalFormatting>
  <conditionalFormatting sqref="E11">
    <cfRule type="notContainsBlanks" dxfId="0" priority="90">
      <formula>LEN(TRIM(E11))&gt;0</formula>
    </cfRule>
  </conditionalFormatting>
  <conditionalFormatting sqref="E12">
    <cfRule type="notContainsBlanks" dxfId="0" priority="91">
      <formula>LEN(TRIM(E12))&gt;0</formula>
    </cfRule>
  </conditionalFormatting>
  <conditionalFormatting sqref="E13">
    <cfRule type="notContainsBlanks" dxfId="0" priority="92">
      <formula>LEN(TRIM(E13))&gt;0</formula>
    </cfRule>
  </conditionalFormatting>
  <conditionalFormatting sqref="E14">
    <cfRule type="notContainsBlanks" dxfId="0" priority="93">
      <formula>LEN(TRIM(E14))&gt;0</formula>
    </cfRule>
  </conditionalFormatting>
  <conditionalFormatting sqref="E15">
    <cfRule type="notContainsBlanks" dxfId="0" priority="94">
      <formula>LEN(TRIM(E15))&gt;0</formula>
    </cfRule>
  </conditionalFormatting>
  <conditionalFormatting sqref="E16">
    <cfRule type="notContainsBlanks" dxfId="0" priority="95">
      <formula>LEN(TRIM(E16))&gt;0</formula>
    </cfRule>
  </conditionalFormatting>
  <conditionalFormatting sqref="E17">
    <cfRule type="notContainsBlanks" dxfId="0" priority="96">
      <formula>LEN(TRIM(E17))&gt;0</formula>
    </cfRule>
  </conditionalFormatting>
  <conditionalFormatting sqref="E18">
    <cfRule type="notContainsBlanks" dxfId="0" priority="97">
      <formula>LEN(TRIM(E18))&gt;0</formula>
    </cfRule>
  </conditionalFormatting>
  <conditionalFormatting sqref="E19">
    <cfRule type="notContainsBlanks" dxfId="0" priority="98">
      <formula>LEN(TRIM(E19))&gt;0</formula>
    </cfRule>
  </conditionalFormatting>
  <conditionalFormatting sqref="E20">
    <cfRule type="notContainsBlanks" dxfId="0" priority="99">
      <formula>LEN(TRIM(E20))&gt;0</formula>
    </cfRule>
  </conditionalFormatting>
  <conditionalFormatting sqref="E21">
    <cfRule type="notContainsBlanks" dxfId="0" priority="100">
      <formula>LEN(TRIM(E21))&gt;0</formula>
    </cfRule>
  </conditionalFormatting>
  <conditionalFormatting sqref="E22">
    <cfRule type="notContainsBlanks" dxfId="0" priority="101">
      <formula>LEN(TRIM(E22))&gt;0</formula>
    </cfRule>
  </conditionalFormatting>
  <conditionalFormatting sqref="E23">
    <cfRule type="notContainsBlanks" dxfId="0" priority="102">
      <formula>LEN(TRIM(E23))&gt;0</formula>
    </cfRule>
  </conditionalFormatting>
  <conditionalFormatting sqref="E24">
    <cfRule type="notContainsBlanks" dxfId="0" priority="103">
      <formula>LEN(TRIM(E24))&gt;0</formula>
    </cfRule>
  </conditionalFormatting>
  <conditionalFormatting sqref="E25">
    <cfRule type="notContainsBlanks" dxfId="0" priority="104">
      <formula>LEN(TRIM(E25))&gt;0</formula>
    </cfRule>
  </conditionalFormatting>
  <conditionalFormatting sqref="E26">
    <cfRule type="notContainsBlanks" dxfId="0" priority="105">
      <formula>LEN(TRIM(E26))&gt;0</formula>
    </cfRule>
  </conditionalFormatting>
  <conditionalFormatting sqref="E27">
    <cfRule type="notContainsBlanks" dxfId="0" priority="106">
      <formula>LEN(TRIM(E27))&gt;0</formula>
    </cfRule>
  </conditionalFormatting>
  <conditionalFormatting sqref="E28">
    <cfRule type="notContainsBlanks" dxfId="0" priority="107">
      <formula>LEN(TRIM(E28))&gt;0</formula>
    </cfRule>
  </conditionalFormatting>
  <conditionalFormatting sqref="E29">
    <cfRule type="notContainsBlanks" dxfId="0" priority="108">
      <formula>LEN(TRIM(E29))&gt;0</formula>
    </cfRule>
  </conditionalFormatting>
  <conditionalFormatting sqref="E30">
    <cfRule type="notContainsBlanks" dxfId="0" priority="109">
      <formula>LEN(TRIM(E30))&gt;0</formula>
    </cfRule>
  </conditionalFormatting>
  <conditionalFormatting sqref="E31">
    <cfRule type="notContainsBlanks" dxfId="0" priority="110">
      <formula>LEN(TRIM(E31))&gt;0</formula>
    </cfRule>
  </conditionalFormatting>
  <conditionalFormatting sqref="E32">
    <cfRule type="notContainsBlanks" dxfId="0" priority="111">
      <formula>LEN(TRIM(E32))&gt;0</formula>
    </cfRule>
  </conditionalFormatting>
  <conditionalFormatting sqref="E33">
    <cfRule type="notContainsBlanks" dxfId="0" priority="112">
      <formula>LEN(TRIM(E33))&gt;0</formula>
    </cfRule>
  </conditionalFormatting>
  <conditionalFormatting sqref="E34">
    <cfRule type="notContainsBlanks" dxfId="0" priority="113">
      <formula>LEN(TRIM(E34))&gt;0</formula>
    </cfRule>
  </conditionalFormatting>
  <conditionalFormatting sqref="E35">
    <cfRule type="notContainsBlanks" dxfId="0" priority="114">
      <formula>LEN(TRIM(E35))&gt;0</formula>
    </cfRule>
  </conditionalFormatting>
  <conditionalFormatting sqref="E36">
    <cfRule type="notContainsBlanks" dxfId="0" priority="115">
      <formula>LEN(TRIM(E36))&gt;0</formula>
    </cfRule>
  </conditionalFormatting>
  <conditionalFormatting sqref="E37">
    <cfRule type="notContainsBlanks" dxfId="0" priority="116">
      <formula>LEN(TRIM(E37))&gt;0</formula>
    </cfRule>
  </conditionalFormatting>
  <conditionalFormatting sqref="E38">
    <cfRule type="notContainsBlanks" dxfId="0" priority="117">
      <formula>LEN(TRIM(E38))&gt;0</formula>
    </cfRule>
  </conditionalFormatting>
  <conditionalFormatting sqref="E39">
    <cfRule type="notContainsBlanks" dxfId="0" priority="118">
      <formula>LEN(TRIM(E39))&gt;0</formula>
    </cfRule>
  </conditionalFormatting>
  <conditionalFormatting sqref="E4">
    <cfRule type="notContainsBlanks" dxfId="0" priority="119">
      <formula>LEN(TRIM(E4))&gt;0</formula>
    </cfRule>
  </conditionalFormatting>
  <conditionalFormatting sqref="E40">
    <cfRule type="notContainsBlanks" dxfId="0" priority="120">
      <formula>LEN(TRIM(E40))&gt;0</formula>
    </cfRule>
  </conditionalFormatting>
  <conditionalFormatting sqref="E41">
    <cfRule type="notContainsBlanks" dxfId="0" priority="121">
      <formula>LEN(TRIM(E41))&gt;0</formula>
    </cfRule>
  </conditionalFormatting>
  <conditionalFormatting sqref="E42">
    <cfRule type="notContainsBlanks" dxfId="0" priority="122">
      <formula>LEN(TRIM(E42))&gt;0</formula>
    </cfRule>
  </conditionalFormatting>
  <conditionalFormatting sqref="E43">
    <cfRule type="notContainsBlanks" dxfId="0" priority="123">
      <formula>LEN(TRIM(E43))&gt;0</formula>
    </cfRule>
  </conditionalFormatting>
  <conditionalFormatting sqref="E44">
    <cfRule type="notContainsBlanks" dxfId="0" priority="124">
      <formula>LEN(TRIM(E44))&gt;0</formula>
    </cfRule>
  </conditionalFormatting>
  <conditionalFormatting sqref="E45">
    <cfRule type="notContainsBlanks" dxfId="0" priority="125">
      <formula>LEN(TRIM(E45))&gt;0</formula>
    </cfRule>
  </conditionalFormatting>
  <conditionalFormatting sqref="E46">
    <cfRule type="notContainsBlanks" dxfId="0" priority="126">
      <formula>LEN(TRIM(E46))&gt;0</formula>
    </cfRule>
  </conditionalFormatting>
  <conditionalFormatting sqref="E47">
    <cfRule type="notContainsBlanks" dxfId="0" priority="127">
      <formula>LEN(TRIM(E47))&gt;0</formula>
    </cfRule>
  </conditionalFormatting>
  <conditionalFormatting sqref="E5">
    <cfRule type="notContainsBlanks" dxfId="0" priority="128">
      <formula>LEN(TRIM(E5))&gt;0</formula>
    </cfRule>
  </conditionalFormatting>
  <conditionalFormatting sqref="E6">
    <cfRule type="notContainsBlanks" dxfId="0" priority="129">
      <formula>LEN(TRIM(E6))&gt;0</formula>
    </cfRule>
  </conditionalFormatting>
  <conditionalFormatting sqref="E7">
    <cfRule type="notContainsBlanks" dxfId="0" priority="130">
      <formula>LEN(TRIM(E7))&gt;0</formula>
    </cfRule>
  </conditionalFormatting>
  <conditionalFormatting sqref="E8">
    <cfRule type="notContainsBlanks" dxfId="0" priority="131">
      <formula>LEN(TRIM(E8))&gt;0</formula>
    </cfRule>
  </conditionalFormatting>
  <conditionalFormatting sqref="E9">
    <cfRule type="notContainsBlanks" dxfId="0" priority="132">
      <formula>LEN(TRIM(E9))&gt;0</formula>
    </cfRule>
  </conditionalFormatting>
  <conditionalFormatting sqref="F10">
    <cfRule type="notContainsBlanks" dxfId="0" priority="133">
      <formula>LEN(TRIM(F10))&gt;0</formula>
    </cfRule>
  </conditionalFormatting>
  <conditionalFormatting sqref="F11">
    <cfRule type="notContainsBlanks" dxfId="0" priority="134">
      <formula>LEN(TRIM(F11))&gt;0</formula>
    </cfRule>
  </conditionalFormatting>
  <conditionalFormatting sqref="F12">
    <cfRule type="notContainsBlanks" dxfId="0" priority="135">
      <formula>LEN(TRIM(F12))&gt;0</formula>
    </cfRule>
  </conditionalFormatting>
  <conditionalFormatting sqref="F13">
    <cfRule type="notContainsBlanks" dxfId="0" priority="136">
      <formula>LEN(TRIM(F13))&gt;0</formula>
    </cfRule>
  </conditionalFormatting>
  <conditionalFormatting sqref="F14">
    <cfRule type="notContainsBlanks" dxfId="0" priority="137">
      <formula>LEN(TRIM(F14))&gt;0</formula>
    </cfRule>
  </conditionalFormatting>
  <conditionalFormatting sqref="F15">
    <cfRule type="notContainsBlanks" dxfId="0" priority="138">
      <formula>LEN(TRIM(F15))&gt;0</formula>
    </cfRule>
  </conditionalFormatting>
  <conditionalFormatting sqref="F16">
    <cfRule type="notContainsBlanks" dxfId="0" priority="139">
      <formula>LEN(TRIM(F16))&gt;0</formula>
    </cfRule>
  </conditionalFormatting>
  <conditionalFormatting sqref="F17">
    <cfRule type="notContainsBlanks" dxfId="0" priority="140">
      <formula>LEN(TRIM(F17))&gt;0</formula>
    </cfRule>
  </conditionalFormatting>
  <conditionalFormatting sqref="F18">
    <cfRule type="notContainsBlanks" dxfId="0" priority="141">
      <formula>LEN(TRIM(F18))&gt;0</formula>
    </cfRule>
  </conditionalFormatting>
  <conditionalFormatting sqref="F19">
    <cfRule type="notContainsBlanks" dxfId="0" priority="142">
      <formula>LEN(TRIM(F19))&gt;0</formula>
    </cfRule>
  </conditionalFormatting>
  <conditionalFormatting sqref="F20">
    <cfRule type="notContainsBlanks" dxfId="0" priority="143">
      <formula>LEN(TRIM(F20))&gt;0</formula>
    </cfRule>
  </conditionalFormatting>
  <conditionalFormatting sqref="F21">
    <cfRule type="notContainsBlanks" dxfId="0" priority="144">
      <formula>LEN(TRIM(F21))&gt;0</formula>
    </cfRule>
  </conditionalFormatting>
  <conditionalFormatting sqref="F22">
    <cfRule type="notContainsBlanks" dxfId="0" priority="145">
      <formula>LEN(TRIM(F22))&gt;0</formula>
    </cfRule>
  </conditionalFormatting>
  <conditionalFormatting sqref="F23">
    <cfRule type="notContainsBlanks" dxfId="0" priority="146">
      <formula>LEN(TRIM(F23))&gt;0</formula>
    </cfRule>
  </conditionalFormatting>
  <conditionalFormatting sqref="F24">
    <cfRule type="notContainsBlanks" dxfId="0" priority="147">
      <formula>LEN(TRIM(F24))&gt;0</formula>
    </cfRule>
  </conditionalFormatting>
  <conditionalFormatting sqref="F25">
    <cfRule type="notContainsBlanks" dxfId="0" priority="148">
      <formula>LEN(TRIM(F25))&gt;0</formula>
    </cfRule>
  </conditionalFormatting>
  <conditionalFormatting sqref="F26">
    <cfRule type="notContainsBlanks" dxfId="0" priority="149">
      <formula>LEN(TRIM(F26))&gt;0</formula>
    </cfRule>
  </conditionalFormatting>
  <conditionalFormatting sqref="F27">
    <cfRule type="notContainsBlanks" dxfId="0" priority="150">
      <formula>LEN(TRIM(F27))&gt;0</formula>
    </cfRule>
  </conditionalFormatting>
  <conditionalFormatting sqref="F28">
    <cfRule type="notContainsBlanks" dxfId="0" priority="151">
      <formula>LEN(TRIM(F28))&gt;0</formula>
    </cfRule>
  </conditionalFormatting>
  <conditionalFormatting sqref="F29">
    <cfRule type="notContainsBlanks" dxfId="0" priority="152">
      <formula>LEN(TRIM(F29))&gt;0</formula>
    </cfRule>
  </conditionalFormatting>
  <conditionalFormatting sqref="F30">
    <cfRule type="notContainsBlanks" dxfId="0" priority="153">
      <formula>LEN(TRIM(F30))&gt;0</formula>
    </cfRule>
  </conditionalFormatting>
  <conditionalFormatting sqref="F31">
    <cfRule type="notContainsBlanks" dxfId="0" priority="154">
      <formula>LEN(TRIM(F31))&gt;0</formula>
    </cfRule>
  </conditionalFormatting>
  <conditionalFormatting sqref="F32">
    <cfRule type="notContainsBlanks" dxfId="0" priority="155">
      <formula>LEN(TRIM(F32))&gt;0</formula>
    </cfRule>
  </conditionalFormatting>
  <conditionalFormatting sqref="F33">
    <cfRule type="notContainsBlanks" dxfId="0" priority="156">
      <formula>LEN(TRIM(F33))&gt;0</formula>
    </cfRule>
  </conditionalFormatting>
  <conditionalFormatting sqref="F34">
    <cfRule type="notContainsBlanks" dxfId="0" priority="157">
      <formula>LEN(TRIM(F34))&gt;0</formula>
    </cfRule>
  </conditionalFormatting>
  <conditionalFormatting sqref="F35">
    <cfRule type="notContainsBlanks" dxfId="0" priority="158">
      <formula>LEN(TRIM(F35))&gt;0</formula>
    </cfRule>
  </conditionalFormatting>
  <conditionalFormatting sqref="F36">
    <cfRule type="notContainsBlanks" dxfId="0" priority="159">
      <formula>LEN(TRIM(F36))&gt;0</formula>
    </cfRule>
  </conditionalFormatting>
  <conditionalFormatting sqref="F37">
    <cfRule type="notContainsBlanks" dxfId="0" priority="160">
      <formula>LEN(TRIM(F37))&gt;0</formula>
    </cfRule>
  </conditionalFormatting>
  <conditionalFormatting sqref="F38">
    <cfRule type="notContainsBlanks" dxfId="0" priority="161">
      <formula>LEN(TRIM(F38))&gt;0</formula>
    </cfRule>
  </conditionalFormatting>
  <conditionalFormatting sqref="F39">
    <cfRule type="notContainsBlanks" dxfId="0" priority="162">
      <formula>LEN(TRIM(F39))&gt;0</formula>
    </cfRule>
  </conditionalFormatting>
  <conditionalFormatting sqref="F4">
    <cfRule type="notContainsBlanks" dxfId="0" priority="163">
      <formula>LEN(TRIM(F4))&gt;0</formula>
    </cfRule>
  </conditionalFormatting>
  <conditionalFormatting sqref="F40">
    <cfRule type="notContainsBlanks" dxfId="0" priority="164">
      <formula>LEN(TRIM(F40))&gt;0</formula>
    </cfRule>
  </conditionalFormatting>
  <conditionalFormatting sqref="F41">
    <cfRule type="notContainsBlanks" dxfId="0" priority="165">
      <formula>LEN(TRIM(F41))&gt;0</formula>
    </cfRule>
  </conditionalFormatting>
  <conditionalFormatting sqref="F42">
    <cfRule type="notContainsBlanks" dxfId="0" priority="166">
      <formula>LEN(TRIM(F42))&gt;0</formula>
    </cfRule>
  </conditionalFormatting>
  <conditionalFormatting sqref="F43">
    <cfRule type="notContainsBlanks" dxfId="0" priority="167">
      <formula>LEN(TRIM(F43))&gt;0</formula>
    </cfRule>
  </conditionalFormatting>
  <conditionalFormatting sqref="F44">
    <cfRule type="notContainsBlanks" dxfId="0" priority="168">
      <formula>LEN(TRIM(F44))&gt;0</formula>
    </cfRule>
  </conditionalFormatting>
  <conditionalFormatting sqref="F45">
    <cfRule type="notContainsBlanks" dxfId="0" priority="169">
      <formula>LEN(TRIM(F45))&gt;0</formula>
    </cfRule>
  </conditionalFormatting>
  <conditionalFormatting sqref="F46">
    <cfRule type="notContainsBlanks" dxfId="0" priority="170">
      <formula>LEN(TRIM(F46))&gt;0</formula>
    </cfRule>
  </conditionalFormatting>
  <conditionalFormatting sqref="F47">
    <cfRule type="notContainsBlanks" dxfId="0" priority="171">
      <formula>LEN(TRIM(F47))&gt;0</formula>
    </cfRule>
  </conditionalFormatting>
  <conditionalFormatting sqref="F5">
    <cfRule type="notContainsBlanks" dxfId="0" priority="172">
      <formula>LEN(TRIM(F5))&gt;0</formula>
    </cfRule>
  </conditionalFormatting>
  <conditionalFormatting sqref="F6">
    <cfRule type="notContainsBlanks" dxfId="0" priority="173">
      <formula>LEN(TRIM(F6))&gt;0</formula>
    </cfRule>
  </conditionalFormatting>
  <conditionalFormatting sqref="F7">
    <cfRule type="notContainsBlanks" dxfId="0" priority="174">
      <formula>LEN(TRIM(F7))&gt;0</formula>
    </cfRule>
  </conditionalFormatting>
  <conditionalFormatting sqref="F8">
    <cfRule type="notContainsBlanks" dxfId="0" priority="175">
      <formula>LEN(TRIM(F8))&gt;0</formula>
    </cfRule>
  </conditionalFormatting>
  <conditionalFormatting sqref="F9">
    <cfRule type="notContainsBlanks" dxfId="0" priority="176">
      <formula>LEN(TRIM(F9))&gt;0</formula>
    </cfRule>
  </conditionalFormatting>
  <conditionalFormatting sqref="G10">
    <cfRule type="notContainsBlanks" dxfId="0" priority="177">
      <formula>LEN(TRIM(G10))&gt;0</formula>
    </cfRule>
  </conditionalFormatting>
  <conditionalFormatting sqref="G11">
    <cfRule type="notContainsBlanks" dxfId="0" priority="178">
      <formula>LEN(TRIM(G11))&gt;0</formula>
    </cfRule>
  </conditionalFormatting>
  <conditionalFormatting sqref="G12">
    <cfRule type="notContainsBlanks" dxfId="0" priority="179">
      <formula>LEN(TRIM(G12))&gt;0</formula>
    </cfRule>
  </conditionalFormatting>
  <conditionalFormatting sqref="G13">
    <cfRule type="notContainsBlanks" dxfId="0" priority="180">
      <formula>LEN(TRIM(G13))&gt;0</formula>
    </cfRule>
  </conditionalFormatting>
  <conditionalFormatting sqref="G14">
    <cfRule type="notContainsBlanks" dxfId="0" priority="181">
      <formula>LEN(TRIM(G14))&gt;0</formula>
    </cfRule>
  </conditionalFormatting>
  <conditionalFormatting sqref="G15">
    <cfRule type="notContainsBlanks" dxfId="0" priority="182">
      <formula>LEN(TRIM(G15))&gt;0</formula>
    </cfRule>
  </conditionalFormatting>
  <conditionalFormatting sqref="G16">
    <cfRule type="notContainsBlanks" dxfId="0" priority="183">
      <formula>LEN(TRIM(G16))&gt;0</formula>
    </cfRule>
  </conditionalFormatting>
  <conditionalFormatting sqref="G17">
    <cfRule type="notContainsBlanks" dxfId="0" priority="184">
      <formula>LEN(TRIM(G17))&gt;0</formula>
    </cfRule>
  </conditionalFormatting>
  <conditionalFormatting sqref="G18">
    <cfRule type="notContainsBlanks" dxfId="0" priority="185">
      <formula>LEN(TRIM(G18))&gt;0</formula>
    </cfRule>
  </conditionalFormatting>
  <conditionalFormatting sqref="G19">
    <cfRule type="notContainsBlanks" dxfId="0" priority="186">
      <formula>LEN(TRIM(G19))&gt;0</formula>
    </cfRule>
  </conditionalFormatting>
  <conditionalFormatting sqref="G20">
    <cfRule type="notContainsBlanks" dxfId="0" priority="187">
      <formula>LEN(TRIM(G20))&gt;0</formula>
    </cfRule>
  </conditionalFormatting>
  <conditionalFormatting sqref="G21">
    <cfRule type="notContainsBlanks" dxfId="0" priority="188">
      <formula>LEN(TRIM(G21))&gt;0</formula>
    </cfRule>
  </conditionalFormatting>
  <conditionalFormatting sqref="G22">
    <cfRule type="notContainsBlanks" dxfId="0" priority="189">
      <formula>LEN(TRIM(G22))&gt;0</formula>
    </cfRule>
  </conditionalFormatting>
  <conditionalFormatting sqref="G23">
    <cfRule type="notContainsBlanks" dxfId="0" priority="190">
      <formula>LEN(TRIM(G23))&gt;0</formula>
    </cfRule>
  </conditionalFormatting>
  <conditionalFormatting sqref="G24">
    <cfRule type="notContainsBlanks" dxfId="0" priority="191">
      <formula>LEN(TRIM(G24))&gt;0</formula>
    </cfRule>
  </conditionalFormatting>
  <conditionalFormatting sqref="G25">
    <cfRule type="notContainsBlanks" dxfId="0" priority="192">
      <formula>LEN(TRIM(G25))&gt;0</formula>
    </cfRule>
  </conditionalFormatting>
  <conditionalFormatting sqref="G26">
    <cfRule type="notContainsBlanks" dxfId="0" priority="193">
      <formula>LEN(TRIM(G26))&gt;0</formula>
    </cfRule>
  </conditionalFormatting>
  <conditionalFormatting sqref="G27">
    <cfRule type="notContainsBlanks" dxfId="0" priority="194">
      <formula>LEN(TRIM(G27))&gt;0</formula>
    </cfRule>
  </conditionalFormatting>
  <conditionalFormatting sqref="G28">
    <cfRule type="notContainsBlanks" dxfId="0" priority="195">
      <formula>LEN(TRIM(G28))&gt;0</formula>
    </cfRule>
  </conditionalFormatting>
  <conditionalFormatting sqref="G29">
    <cfRule type="notContainsBlanks" dxfId="0" priority="196">
      <formula>LEN(TRIM(G29))&gt;0</formula>
    </cfRule>
  </conditionalFormatting>
  <conditionalFormatting sqref="G30">
    <cfRule type="notContainsBlanks" dxfId="0" priority="197">
      <formula>LEN(TRIM(G30))&gt;0</formula>
    </cfRule>
  </conditionalFormatting>
  <conditionalFormatting sqref="G31">
    <cfRule type="notContainsBlanks" dxfId="0" priority="198">
      <formula>LEN(TRIM(G31))&gt;0</formula>
    </cfRule>
  </conditionalFormatting>
  <conditionalFormatting sqref="G32">
    <cfRule type="notContainsBlanks" dxfId="0" priority="199">
      <formula>LEN(TRIM(G32))&gt;0</formula>
    </cfRule>
  </conditionalFormatting>
  <conditionalFormatting sqref="G33">
    <cfRule type="notContainsBlanks" dxfId="0" priority="200">
      <formula>LEN(TRIM(G33))&gt;0</formula>
    </cfRule>
  </conditionalFormatting>
  <conditionalFormatting sqref="G34">
    <cfRule type="notContainsBlanks" dxfId="0" priority="201">
      <formula>LEN(TRIM(G34))&gt;0</formula>
    </cfRule>
  </conditionalFormatting>
  <conditionalFormatting sqref="G35">
    <cfRule type="notContainsBlanks" dxfId="0" priority="202">
      <formula>LEN(TRIM(G35))&gt;0</formula>
    </cfRule>
  </conditionalFormatting>
  <conditionalFormatting sqref="G36">
    <cfRule type="notContainsBlanks" dxfId="0" priority="203">
      <formula>LEN(TRIM(G36))&gt;0</formula>
    </cfRule>
  </conditionalFormatting>
  <conditionalFormatting sqref="G37">
    <cfRule type="notContainsBlanks" dxfId="0" priority="204">
      <formula>LEN(TRIM(G37))&gt;0</formula>
    </cfRule>
  </conditionalFormatting>
  <conditionalFormatting sqref="G38">
    <cfRule type="notContainsBlanks" dxfId="0" priority="205">
      <formula>LEN(TRIM(G38))&gt;0</formula>
    </cfRule>
  </conditionalFormatting>
  <conditionalFormatting sqref="G39">
    <cfRule type="notContainsBlanks" dxfId="0" priority="206">
      <formula>LEN(TRIM(G39))&gt;0</formula>
    </cfRule>
  </conditionalFormatting>
  <conditionalFormatting sqref="G4">
    <cfRule type="notContainsBlanks" dxfId="0" priority="207">
      <formula>LEN(TRIM(G4))&gt;0</formula>
    </cfRule>
  </conditionalFormatting>
  <conditionalFormatting sqref="G40">
    <cfRule type="notContainsBlanks" dxfId="0" priority="208">
      <formula>LEN(TRIM(G40))&gt;0</formula>
    </cfRule>
  </conditionalFormatting>
  <conditionalFormatting sqref="G41">
    <cfRule type="notContainsBlanks" dxfId="0" priority="209">
      <formula>LEN(TRIM(G41))&gt;0</formula>
    </cfRule>
  </conditionalFormatting>
  <conditionalFormatting sqref="G42">
    <cfRule type="notContainsBlanks" dxfId="0" priority="210">
      <formula>LEN(TRIM(G42))&gt;0</formula>
    </cfRule>
  </conditionalFormatting>
  <conditionalFormatting sqref="G43">
    <cfRule type="notContainsBlanks" dxfId="0" priority="211">
      <formula>LEN(TRIM(G43))&gt;0</formula>
    </cfRule>
  </conditionalFormatting>
  <conditionalFormatting sqref="G44">
    <cfRule type="notContainsBlanks" dxfId="0" priority="212">
      <formula>LEN(TRIM(G44))&gt;0</formula>
    </cfRule>
  </conditionalFormatting>
  <conditionalFormatting sqref="G45">
    <cfRule type="notContainsBlanks" dxfId="0" priority="213">
      <formula>LEN(TRIM(G45))&gt;0</formula>
    </cfRule>
  </conditionalFormatting>
  <conditionalFormatting sqref="G46">
    <cfRule type="notContainsBlanks" dxfId="0" priority="214">
      <formula>LEN(TRIM(G46))&gt;0</formula>
    </cfRule>
  </conditionalFormatting>
  <conditionalFormatting sqref="G47">
    <cfRule type="notContainsBlanks" dxfId="0" priority="215">
      <formula>LEN(TRIM(G47))&gt;0</formula>
    </cfRule>
  </conditionalFormatting>
  <conditionalFormatting sqref="G5">
    <cfRule type="notContainsBlanks" dxfId="0" priority="216">
      <formula>LEN(TRIM(G5))&gt;0</formula>
    </cfRule>
  </conditionalFormatting>
  <conditionalFormatting sqref="G6">
    <cfRule type="notContainsBlanks" dxfId="0" priority="217">
      <formula>LEN(TRIM(G6))&gt;0</formula>
    </cfRule>
  </conditionalFormatting>
  <conditionalFormatting sqref="G7">
    <cfRule type="notContainsBlanks" dxfId="0" priority="218">
      <formula>LEN(TRIM(G7))&gt;0</formula>
    </cfRule>
  </conditionalFormatting>
  <conditionalFormatting sqref="G8">
    <cfRule type="notContainsBlanks" dxfId="0" priority="219">
      <formula>LEN(TRIM(G8))&gt;0</formula>
    </cfRule>
  </conditionalFormatting>
  <conditionalFormatting sqref="G9">
    <cfRule type="notContainsBlanks" dxfId="0" priority="220">
      <formula>LEN(TRIM(G9))&gt;0</formula>
    </cfRule>
  </conditionalFormatting>
  <conditionalFormatting sqref="H10">
    <cfRule type="notContainsBlanks" dxfId="1" priority="221">
      <formula>LEN(TRIM(H10))&gt;0</formula>
    </cfRule>
  </conditionalFormatting>
  <conditionalFormatting sqref="H11">
    <cfRule type="notContainsBlanks" dxfId="1" priority="222">
      <formula>LEN(TRIM(H11))&gt;0</formula>
    </cfRule>
  </conditionalFormatting>
  <conditionalFormatting sqref="H12">
    <cfRule type="notContainsBlanks" dxfId="1" priority="223">
      <formula>LEN(TRIM(H12))&gt;0</formula>
    </cfRule>
  </conditionalFormatting>
  <conditionalFormatting sqref="H13">
    <cfRule type="notContainsBlanks" dxfId="1" priority="224">
      <formula>LEN(TRIM(H13))&gt;0</formula>
    </cfRule>
  </conditionalFormatting>
  <conditionalFormatting sqref="H14">
    <cfRule type="notContainsBlanks" dxfId="1" priority="225">
      <formula>LEN(TRIM(H14))&gt;0</formula>
    </cfRule>
  </conditionalFormatting>
  <conditionalFormatting sqref="H15">
    <cfRule type="notContainsBlanks" dxfId="1" priority="226">
      <formula>LEN(TRIM(H15))&gt;0</formula>
    </cfRule>
  </conditionalFormatting>
  <conditionalFormatting sqref="H16">
    <cfRule type="notContainsBlanks" dxfId="1" priority="227">
      <formula>LEN(TRIM(H16))&gt;0</formula>
    </cfRule>
  </conditionalFormatting>
  <conditionalFormatting sqref="H17">
    <cfRule type="notContainsBlanks" dxfId="1" priority="228">
      <formula>LEN(TRIM(H17))&gt;0</formula>
    </cfRule>
  </conditionalFormatting>
  <conditionalFormatting sqref="H18">
    <cfRule type="notContainsBlanks" dxfId="1" priority="229">
      <formula>LEN(TRIM(H18))&gt;0</formula>
    </cfRule>
  </conditionalFormatting>
  <conditionalFormatting sqref="H19">
    <cfRule type="notContainsBlanks" dxfId="1" priority="230">
      <formula>LEN(TRIM(H19))&gt;0</formula>
    </cfRule>
  </conditionalFormatting>
  <conditionalFormatting sqref="H20">
    <cfRule type="notContainsBlanks" dxfId="1" priority="231">
      <formula>LEN(TRIM(H20))&gt;0</formula>
    </cfRule>
  </conditionalFormatting>
  <conditionalFormatting sqref="H21">
    <cfRule type="notContainsBlanks" dxfId="1" priority="232">
      <formula>LEN(TRIM(H21))&gt;0</formula>
    </cfRule>
  </conditionalFormatting>
  <conditionalFormatting sqref="H22">
    <cfRule type="notContainsBlanks" dxfId="1" priority="233">
      <formula>LEN(TRIM(H22))&gt;0</formula>
    </cfRule>
  </conditionalFormatting>
  <conditionalFormatting sqref="H23">
    <cfRule type="notContainsBlanks" dxfId="1" priority="234">
      <formula>LEN(TRIM(H23))&gt;0</formula>
    </cfRule>
  </conditionalFormatting>
  <conditionalFormatting sqref="H24">
    <cfRule type="notContainsBlanks" dxfId="1" priority="235">
      <formula>LEN(TRIM(H24))&gt;0</formula>
    </cfRule>
  </conditionalFormatting>
  <conditionalFormatting sqref="H25">
    <cfRule type="notContainsBlanks" dxfId="1" priority="236">
      <formula>LEN(TRIM(H25))&gt;0</formula>
    </cfRule>
  </conditionalFormatting>
  <conditionalFormatting sqref="H26">
    <cfRule type="notContainsBlanks" dxfId="1" priority="237">
      <formula>LEN(TRIM(H26))&gt;0</formula>
    </cfRule>
  </conditionalFormatting>
  <conditionalFormatting sqref="H27">
    <cfRule type="notContainsBlanks" dxfId="1" priority="238">
      <formula>LEN(TRIM(H27))&gt;0</formula>
    </cfRule>
  </conditionalFormatting>
  <conditionalFormatting sqref="H28">
    <cfRule type="notContainsBlanks" dxfId="1" priority="239">
      <formula>LEN(TRIM(H28))&gt;0</formula>
    </cfRule>
  </conditionalFormatting>
  <conditionalFormatting sqref="H29">
    <cfRule type="notContainsBlanks" dxfId="1" priority="240">
      <formula>LEN(TRIM(H29))&gt;0</formula>
    </cfRule>
  </conditionalFormatting>
  <conditionalFormatting sqref="H30">
    <cfRule type="notContainsBlanks" dxfId="1" priority="241">
      <formula>LEN(TRIM(H30))&gt;0</formula>
    </cfRule>
  </conditionalFormatting>
  <conditionalFormatting sqref="H31">
    <cfRule type="notContainsBlanks" dxfId="1" priority="242">
      <formula>LEN(TRIM(H31))&gt;0</formula>
    </cfRule>
  </conditionalFormatting>
  <conditionalFormatting sqref="H32">
    <cfRule type="notContainsBlanks" dxfId="1" priority="243">
      <formula>LEN(TRIM(H32))&gt;0</formula>
    </cfRule>
  </conditionalFormatting>
  <conditionalFormatting sqref="H33">
    <cfRule type="notContainsBlanks" dxfId="1" priority="244">
      <formula>LEN(TRIM(H33))&gt;0</formula>
    </cfRule>
  </conditionalFormatting>
  <conditionalFormatting sqref="H34">
    <cfRule type="notContainsBlanks" dxfId="1" priority="245">
      <formula>LEN(TRIM(H34))&gt;0</formula>
    </cfRule>
  </conditionalFormatting>
  <conditionalFormatting sqref="H35">
    <cfRule type="notContainsBlanks" dxfId="1" priority="246">
      <formula>LEN(TRIM(H35))&gt;0</formula>
    </cfRule>
  </conditionalFormatting>
  <conditionalFormatting sqref="H36">
    <cfRule type="notContainsBlanks" dxfId="1" priority="247">
      <formula>LEN(TRIM(H36))&gt;0</formula>
    </cfRule>
  </conditionalFormatting>
  <conditionalFormatting sqref="H37">
    <cfRule type="notContainsBlanks" dxfId="1" priority="248">
      <formula>LEN(TRIM(H37))&gt;0</formula>
    </cfRule>
  </conditionalFormatting>
  <conditionalFormatting sqref="H38">
    <cfRule type="notContainsBlanks" dxfId="1" priority="249">
      <formula>LEN(TRIM(H38))&gt;0</formula>
    </cfRule>
  </conditionalFormatting>
  <conditionalFormatting sqref="H39">
    <cfRule type="notContainsBlanks" dxfId="1" priority="250">
      <formula>LEN(TRIM(H39))&gt;0</formula>
    </cfRule>
  </conditionalFormatting>
  <conditionalFormatting sqref="H4">
    <cfRule type="notContainsBlanks" dxfId="1" priority="251">
      <formula>LEN(TRIM(H4))&gt;0</formula>
    </cfRule>
  </conditionalFormatting>
  <conditionalFormatting sqref="H40">
    <cfRule type="notContainsBlanks" dxfId="1" priority="252">
      <formula>LEN(TRIM(H40))&gt;0</formula>
    </cfRule>
  </conditionalFormatting>
  <conditionalFormatting sqref="H41">
    <cfRule type="notContainsBlanks" dxfId="1" priority="253">
      <formula>LEN(TRIM(H41))&gt;0</formula>
    </cfRule>
  </conditionalFormatting>
  <conditionalFormatting sqref="H42">
    <cfRule type="notContainsBlanks" dxfId="1" priority="254">
      <formula>LEN(TRIM(H42))&gt;0</formula>
    </cfRule>
  </conditionalFormatting>
  <conditionalFormatting sqref="H43">
    <cfRule type="notContainsBlanks" dxfId="1" priority="255">
      <formula>LEN(TRIM(H43))&gt;0</formula>
    </cfRule>
  </conditionalFormatting>
  <conditionalFormatting sqref="H44">
    <cfRule type="notContainsBlanks" dxfId="1" priority="256">
      <formula>LEN(TRIM(H44))&gt;0</formula>
    </cfRule>
  </conditionalFormatting>
  <conditionalFormatting sqref="H45">
    <cfRule type="notContainsBlanks" dxfId="1" priority="257">
      <formula>LEN(TRIM(H45))&gt;0</formula>
    </cfRule>
  </conditionalFormatting>
  <conditionalFormatting sqref="H46">
    <cfRule type="notContainsBlanks" dxfId="1" priority="258">
      <formula>LEN(TRIM(H46))&gt;0</formula>
    </cfRule>
  </conditionalFormatting>
  <conditionalFormatting sqref="H47">
    <cfRule type="notContainsBlanks" dxfId="1" priority="259">
      <formula>LEN(TRIM(H47))&gt;0</formula>
    </cfRule>
  </conditionalFormatting>
  <conditionalFormatting sqref="H5">
    <cfRule type="notContainsBlanks" dxfId="1" priority="260">
      <formula>LEN(TRIM(H5))&gt;0</formula>
    </cfRule>
  </conditionalFormatting>
  <conditionalFormatting sqref="H6">
    <cfRule type="notContainsBlanks" dxfId="1" priority="261">
      <formula>LEN(TRIM(H6))&gt;0</formula>
    </cfRule>
  </conditionalFormatting>
  <conditionalFormatting sqref="H7">
    <cfRule type="notContainsBlanks" dxfId="1" priority="262">
      <formula>LEN(TRIM(H7))&gt;0</formula>
    </cfRule>
  </conditionalFormatting>
  <conditionalFormatting sqref="H8">
    <cfRule type="notContainsBlanks" dxfId="1" priority="263">
      <formula>LEN(TRIM(H8))&gt;0</formula>
    </cfRule>
  </conditionalFormatting>
  <conditionalFormatting sqref="H9">
    <cfRule type="notContainsBlanks" dxfId="1" priority="264">
      <formula>LEN(TRIM(H9))&gt;0</formula>
    </cfRule>
  </conditionalFormatting>
  <conditionalFormatting sqref="I10">
    <cfRule type="notContainsBlanks" dxfId="1" priority="265">
      <formula>LEN(TRIM(I10))&gt;0</formula>
    </cfRule>
  </conditionalFormatting>
  <conditionalFormatting sqref="I11">
    <cfRule type="notContainsBlanks" dxfId="1" priority="266">
      <formula>LEN(TRIM(I11))&gt;0</formula>
    </cfRule>
  </conditionalFormatting>
  <conditionalFormatting sqref="I12">
    <cfRule type="notContainsBlanks" dxfId="1" priority="267">
      <formula>LEN(TRIM(I12))&gt;0</formula>
    </cfRule>
  </conditionalFormatting>
  <conditionalFormatting sqref="I13">
    <cfRule type="notContainsBlanks" dxfId="1" priority="268">
      <formula>LEN(TRIM(I13))&gt;0</formula>
    </cfRule>
  </conditionalFormatting>
  <conditionalFormatting sqref="I14">
    <cfRule type="notContainsBlanks" dxfId="1" priority="269">
      <formula>LEN(TRIM(I14))&gt;0</formula>
    </cfRule>
  </conditionalFormatting>
  <conditionalFormatting sqref="I15">
    <cfRule type="notContainsBlanks" dxfId="1" priority="270">
      <formula>LEN(TRIM(I15))&gt;0</formula>
    </cfRule>
  </conditionalFormatting>
  <conditionalFormatting sqref="I16">
    <cfRule type="notContainsBlanks" dxfId="1" priority="271">
      <formula>LEN(TRIM(I16))&gt;0</formula>
    </cfRule>
  </conditionalFormatting>
  <conditionalFormatting sqref="I17">
    <cfRule type="notContainsBlanks" dxfId="1" priority="272">
      <formula>LEN(TRIM(I17))&gt;0</formula>
    </cfRule>
  </conditionalFormatting>
  <conditionalFormatting sqref="I18">
    <cfRule type="notContainsBlanks" dxfId="1" priority="273">
      <formula>LEN(TRIM(I18))&gt;0</formula>
    </cfRule>
  </conditionalFormatting>
  <conditionalFormatting sqref="I19">
    <cfRule type="notContainsBlanks" dxfId="1" priority="274">
      <formula>LEN(TRIM(I19))&gt;0</formula>
    </cfRule>
  </conditionalFormatting>
  <conditionalFormatting sqref="I20">
    <cfRule type="notContainsBlanks" dxfId="1" priority="275">
      <formula>LEN(TRIM(I20))&gt;0</formula>
    </cfRule>
  </conditionalFormatting>
  <conditionalFormatting sqref="I21">
    <cfRule type="notContainsBlanks" dxfId="1" priority="276">
      <formula>LEN(TRIM(I21))&gt;0</formula>
    </cfRule>
  </conditionalFormatting>
  <conditionalFormatting sqref="I22">
    <cfRule type="notContainsBlanks" dxfId="1" priority="277">
      <formula>LEN(TRIM(I22))&gt;0</formula>
    </cfRule>
  </conditionalFormatting>
  <conditionalFormatting sqref="I23">
    <cfRule type="notContainsBlanks" dxfId="1" priority="278">
      <formula>LEN(TRIM(I23))&gt;0</formula>
    </cfRule>
  </conditionalFormatting>
  <conditionalFormatting sqref="I24">
    <cfRule type="notContainsBlanks" dxfId="1" priority="279">
      <formula>LEN(TRIM(I24))&gt;0</formula>
    </cfRule>
  </conditionalFormatting>
  <conditionalFormatting sqref="I25">
    <cfRule type="notContainsBlanks" dxfId="1" priority="280">
      <formula>LEN(TRIM(I25))&gt;0</formula>
    </cfRule>
  </conditionalFormatting>
  <conditionalFormatting sqref="I26">
    <cfRule type="notContainsBlanks" dxfId="1" priority="281">
      <formula>LEN(TRIM(I26))&gt;0</formula>
    </cfRule>
  </conditionalFormatting>
  <conditionalFormatting sqref="I27">
    <cfRule type="notContainsBlanks" dxfId="1" priority="282">
      <formula>LEN(TRIM(I27))&gt;0</formula>
    </cfRule>
  </conditionalFormatting>
  <conditionalFormatting sqref="I28">
    <cfRule type="notContainsBlanks" dxfId="1" priority="283">
      <formula>LEN(TRIM(I28))&gt;0</formula>
    </cfRule>
  </conditionalFormatting>
  <conditionalFormatting sqref="I29">
    <cfRule type="notContainsBlanks" dxfId="1" priority="284">
      <formula>LEN(TRIM(I29))&gt;0</formula>
    </cfRule>
  </conditionalFormatting>
  <conditionalFormatting sqref="I30">
    <cfRule type="notContainsBlanks" dxfId="1" priority="285">
      <formula>LEN(TRIM(I30))&gt;0</formula>
    </cfRule>
  </conditionalFormatting>
  <conditionalFormatting sqref="I31">
    <cfRule type="notContainsBlanks" dxfId="1" priority="286">
      <formula>LEN(TRIM(I31))&gt;0</formula>
    </cfRule>
  </conditionalFormatting>
  <conditionalFormatting sqref="I32">
    <cfRule type="notContainsBlanks" dxfId="1" priority="287">
      <formula>LEN(TRIM(I32))&gt;0</formula>
    </cfRule>
  </conditionalFormatting>
  <conditionalFormatting sqref="I33">
    <cfRule type="notContainsBlanks" dxfId="1" priority="288">
      <formula>LEN(TRIM(I33))&gt;0</formula>
    </cfRule>
  </conditionalFormatting>
  <conditionalFormatting sqref="I34">
    <cfRule type="notContainsBlanks" dxfId="1" priority="289">
      <formula>LEN(TRIM(I34))&gt;0</formula>
    </cfRule>
  </conditionalFormatting>
  <conditionalFormatting sqref="I35">
    <cfRule type="notContainsBlanks" dxfId="1" priority="290">
      <formula>LEN(TRIM(I35))&gt;0</formula>
    </cfRule>
  </conditionalFormatting>
  <conditionalFormatting sqref="I36">
    <cfRule type="notContainsBlanks" dxfId="1" priority="291">
      <formula>LEN(TRIM(I36))&gt;0</formula>
    </cfRule>
  </conditionalFormatting>
  <conditionalFormatting sqref="I37">
    <cfRule type="notContainsBlanks" dxfId="1" priority="292">
      <formula>LEN(TRIM(I37))&gt;0</formula>
    </cfRule>
  </conditionalFormatting>
  <conditionalFormatting sqref="I38">
    <cfRule type="notContainsBlanks" dxfId="1" priority="293">
      <formula>LEN(TRIM(I38))&gt;0</formula>
    </cfRule>
  </conditionalFormatting>
  <conditionalFormatting sqref="I39">
    <cfRule type="notContainsBlanks" dxfId="1" priority="294">
      <formula>LEN(TRIM(I39))&gt;0</formula>
    </cfRule>
  </conditionalFormatting>
  <conditionalFormatting sqref="I4">
    <cfRule type="notContainsBlanks" dxfId="1" priority="295">
      <formula>LEN(TRIM(I4))&gt;0</formula>
    </cfRule>
  </conditionalFormatting>
  <conditionalFormatting sqref="I40">
    <cfRule type="notContainsBlanks" dxfId="1" priority="296">
      <formula>LEN(TRIM(I40))&gt;0</formula>
    </cfRule>
  </conditionalFormatting>
  <conditionalFormatting sqref="I41">
    <cfRule type="notContainsBlanks" dxfId="1" priority="297">
      <formula>LEN(TRIM(I41))&gt;0</formula>
    </cfRule>
  </conditionalFormatting>
  <conditionalFormatting sqref="I42">
    <cfRule type="notContainsBlanks" dxfId="1" priority="298">
      <formula>LEN(TRIM(I42))&gt;0</formula>
    </cfRule>
  </conditionalFormatting>
  <conditionalFormatting sqref="I43">
    <cfRule type="notContainsBlanks" dxfId="1" priority="299">
      <formula>LEN(TRIM(I43))&gt;0</formula>
    </cfRule>
  </conditionalFormatting>
  <conditionalFormatting sqref="I44">
    <cfRule type="notContainsBlanks" dxfId="1" priority="300">
      <formula>LEN(TRIM(I44))&gt;0</formula>
    </cfRule>
  </conditionalFormatting>
  <conditionalFormatting sqref="I45">
    <cfRule type="notContainsBlanks" dxfId="1" priority="301">
      <formula>LEN(TRIM(I45))&gt;0</formula>
    </cfRule>
  </conditionalFormatting>
  <conditionalFormatting sqref="I46">
    <cfRule type="notContainsBlanks" dxfId="1" priority="302">
      <formula>LEN(TRIM(I46))&gt;0</formula>
    </cfRule>
  </conditionalFormatting>
  <conditionalFormatting sqref="I47">
    <cfRule type="notContainsBlanks" dxfId="1" priority="303">
      <formula>LEN(TRIM(I47))&gt;0</formula>
    </cfRule>
  </conditionalFormatting>
  <conditionalFormatting sqref="I5">
    <cfRule type="notContainsBlanks" dxfId="1" priority="304">
      <formula>LEN(TRIM(I5))&gt;0</formula>
    </cfRule>
  </conditionalFormatting>
  <conditionalFormatting sqref="I6">
    <cfRule type="notContainsBlanks" dxfId="1" priority="305">
      <formula>LEN(TRIM(I6))&gt;0</formula>
    </cfRule>
  </conditionalFormatting>
  <conditionalFormatting sqref="I7">
    <cfRule type="notContainsBlanks" dxfId="1" priority="306">
      <formula>LEN(TRIM(I7))&gt;0</formula>
    </cfRule>
  </conditionalFormatting>
  <conditionalFormatting sqref="I8">
    <cfRule type="notContainsBlanks" dxfId="1" priority="307">
      <formula>LEN(TRIM(I8))&gt;0</formula>
    </cfRule>
  </conditionalFormatting>
  <conditionalFormatting sqref="I9">
    <cfRule type="notContainsBlanks" dxfId="1" priority="308">
      <formula>LEN(TRIM(I9))&gt;0</formula>
    </cfRule>
  </conditionalFormatting>
  <conditionalFormatting sqref="J10">
    <cfRule type="notContainsBlanks" dxfId="1" priority="309">
      <formula>LEN(TRIM(J10))&gt;0</formula>
    </cfRule>
  </conditionalFormatting>
  <conditionalFormatting sqref="J11">
    <cfRule type="notContainsBlanks" dxfId="1" priority="310">
      <formula>LEN(TRIM(J11))&gt;0</formula>
    </cfRule>
  </conditionalFormatting>
  <conditionalFormatting sqref="J12">
    <cfRule type="notContainsBlanks" dxfId="1" priority="311">
      <formula>LEN(TRIM(J12))&gt;0</formula>
    </cfRule>
  </conditionalFormatting>
  <conditionalFormatting sqref="J13">
    <cfRule type="notContainsBlanks" dxfId="1" priority="312">
      <formula>LEN(TRIM(J13))&gt;0</formula>
    </cfRule>
  </conditionalFormatting>
  <conditionalFormatting sqref="J14">
    <cfRule type="notContainsBlanks" dxfId="1" priority="313">
      <formula>LEN(TRIM(J14))&gt;0</formula>
    </cfRule>
  </conditionalFormatting>
  <conditionalFormatting sqref="J15">
    <cfRule type="notContainsBlanks" dxfId="1" priority="314">
      <formula>LEN(TRIM(J15))&gt;0</formula>
    </cfRule>
  </conditionalFormatting>
  <conditionalFormatting sqref="J16">
    <cfRule type="notContainsBlanks" dxfId="1" priority="315">
      <formula>LEN(TRIM(J16))&gt;0</formula>
    </cfRule>
  </conditionalFormatting>
  <conditionalFormatting sqref="J17">
    <cfRule type="notContainsBlanks" dxfId="1" priority="316">
      <formula>LEN(TRIM(J17))&gt;0</formula>
    </cfRule>
  </conditionalFormatting>
  <conditionalFormatting sqref="J18">
    <cfRule type="notContainsBlanks" dxfId="1" priority="317">
      <formula>LEN(TRIM(J18))&gt;0</formula>
    </cfRule>
  </conditionalFormatting>
  <conditionalFormatting sqref="J19">
    <cfRule type="notContainsBlanks" dxfId="1" priority="318">
      <formula>LEN(TRIM(J19))&gt;0</formula>
    </cfRule>
  </conditionalFormatting>
  <conditionalFormatting sqref="J20">
    <cfRule type="notContainsBlanks" dxfId="1" priority="319">
      <formula>LEN(TRIM(J20))&gt;0</formula>
    </cfRule>
  </conditionalFormatting>
  <conditionalFormatting sqref="J21">
    <cfRule type="notContainsBlanks" dxfId="1" priority="320">
      <formula>LEN(TRIM(J21))&gt;0</formula>
    </cfRule>
  </conditionalFormatting>
  <conditionalFormatting sqref="J22">
    <cfRule type="notContainsBlanks" dxfId="1" priority="321">
      <formula>LEN(TRIM(J22))&gt;0</formula>
    </cfRule>
  </conditionalFormatting>
  <conditionalFormatting sqref="J23">
    <cfRule type="notContainsBlanks" dxfId="1" priority="322">
      <formula>LEN(TRIM(J23))&gt;0</formula>
    </cfRule>
  </conditionalFormatting>
  <conditionalFormatting sqref="J24">
    <cfRule type="notContainsBlanks" dxfId="1" priority="323">
      <formula>LEN(TRIM(J24))&gt;0</formula>
    </cfRule>
  </conditionalFormatting>
  <conditionalFormatting sqref="J25">
    <cfRule type="notContainsBlanks" dxfId="1" priority="324">
      <formula>LEN(TRIM(J25))&gt;0</formula>
    </cfRule>
  </conditionalFormatting>
  <conditionalFormatting sqref="J26">
    <cfRule type="notContainsBlanks" dxfId="1" priority="325">
      <formula>LEN(TRIM(J26))&gt;0</formula>
    </cfRule>
  </conditionalFormatting>
  <conditionalFormatting sqref="J27">
    <cfRule type="notContainsBlanks" dxfId="1" priority="326">
      <formula>LEN(TRIM(J27))&gt;0</formula>
    </cfRule>
  </conditionalFormatting>
  <conditionalFormatting sqref="J28">
    <cfRule type="notContainsBlanks" dxfId="1" priority="327">
      <formula>LEN(TRIM(J28))&gt;0</formula>
    </cfRule>
  </conditionalFormatting>
  <conditionalFormatting sqref="J29">
    <cfRule type="notContainsBlanks" dxfId="1" priority="328">
      <formula>LEN(TRIM(J29))&gt;0</formula>
    </cfRule>
  </conditionalFormatting>
  <conditionalFormatting sqref="J30">
    <cfRule type="notContainsBlanks" dxfId="1" priority="329">
      <formula>LEN(TRIM(J30))&gt;0</formula>
    </cfRule>
  </conditionalFormatting>
  <conditionalFormatting sqref="J31">
    <cfRule type="notContainsBlanks" dxfId="1" priority="330">
      <formula>LEN(TRIM(J31))&gt;0</formula>
    </cfRule>
  </conditionalFormatting>
  <conditionalFormatting sqref="J32">
    <cfRule type="notContainsBlanks" dxfId="1" priority="331">
      <formula>LEN(TRIM(J32))&gt;0</formula>
    </cfRule>
  </conditionalFormatting>
  <conditionalFormatting sqref="J33">
    <cfRule type="notContainsBlanks" dxfId="1" priority="332">
      <formula>LEN(TRIM(J33))&gt;0</formula>
    </cfRule>
  </conditionalFormatting>
  <conditionalFormatting sqref="J34">
    <cfRule type="notContainsBlanks" dxfId="1" priority="333">
      <formula>LEN(TRIM(J34))&gt;0</formula>
    </cfRule>
  </conditionalFormatting>
  <conditionalFormatting sqref="J35">
    <cfRule type="notContainsBlanks" dxfId="1" priority="334">
      <formula>LEN(TRIM(J35))&gt;0</formula>
    </cfRule>
  </conditionalFormatting>
  <conditionalFormatting sqref="J36">
    <cfRule type="notContainsBlanks" dxfId="1" priority="335">
      <formula>LEN(TRIM(J36))&gt;0</formula>
    </cfRule>
  </conditionalFormatting>
  <conditionalFormatting sqref="J37">
    <cfRule type="notContainsBlanks" dxfId="1" priority="336">
      <formula>LEN(TRIM(J37))&gt;0</formula>
    </cfRule>
  </conditionalFormatting>
  <conditionalFormatting sqref="J38">
    <cfRule type="notContainsBlanks" dxfId="1" priority="337">
      <formula>LEN(TRIM(J38))&gt;0</formula>
    </cfRule>
  </conditionalFormatting>
  <conditionalFormatting sqref="J39">
    <cfRule type="notContainsBlanks" dxfId="1" priority="338">
      <formula>LEN(TRIM(J39))&gt;0</formula>
    </cfRule>
  </conditionalFormatting>
  <conditionalFormatting sqref="J4">
    <cfRule type="notContainsBlanks" dxfId="1" priority="339">
      <formula>LEN(TRIM(J4))&gt;0</formula>
    </cfRule>
  </conditionalFormatting>
  <conditionalFormatting sqref="J40">
    <cfRule type="notContainsBlanks" dxfId="1" priority="340">
      <formula>LEN(TRIM(J40))&gt;0</formula>
    </cfRule>
  </conditionalFormatting>
  <conditionalFormatting sqref="J41">
    <cfRule type="notContainsBlanks" dxfId="1" priority="341">
      <formula>LEN(TRIM(J41))&gt;0</formula>
    </cfRule>
  </conditionalFormatting>
  <conditionalFormatting sqref="J42">
    <cfRule type="notContainsBlanks" dxfId="1" priority="342">
      <formula>LEN(TRIM(J42))&gt;0</formula>
    </cfRule>
  </conditionalFormatting>
  <conditionalFormatting sqref="J43">
    <cfRule type="notContainsBlanks" dxfId="1" priority="343">
      <formula>LEN(TRIM(J43))&gt;0</formula>
    </cfRule>
  </conditionalFormatting>
  <conditionalFormatting sqref="J44">
    <cfRule type="notContainsBlanks" dxfId="1" priority="344">
      <formula>LEN(TRIM(J44))&gt;0</formula>
    </cfRule>
  </conditionalFormatting>
  <conditionalFormatting sqref="J45">
    <cfRule type="notContainsBlanks" dxfId="1" priority="345">
      <formula>LEN(TRIM(J45))&gt;0</formula>
    </cfRule>
  </conditionalFormatting>
  <conditionalFormatting sqref="J46">
    <cfRule type="notContainsBlanks" dxfId="1" priority="346">
      <formula>LEN(TRIM(J46))&gt;0</formula>
    </cfRule>
  </conditionalFormatting>
  <conditionalFormatting sqref="J47">
    <cfRule type="notContainsBlanks" dxfId="1" priority="347">
      <formula>LEN(TRIM(J47))&gt;0</formula>
    </cfRule>
  </conditionalFormatting>
  <conditionalFormatting sqref="J5">
    <cfRule type="notContainsBlanks" dxfId="1" priority="348">
      <formula>LEN(TRIM(J5))&gt;0</formula>
    </cfRule>
  </conditionalFormatting>
  <conditionalFormatting sqref="J6">
    <cfRule type="notContainsBlanks" dxfId="1" priority="349">
      <formula>LEN(TRIM(J6))&gt;0</formula>
    </cfRule>
  </conditionalFormatting>
  <conditionalFormatting sqref="J7">
    <cfRule type="notContainsBlanks" dxfId="1" priority="350">
      <formula>LEN(TRIM(J7))&gt;0</formula>
    </cfRule>
  </conditionalFormatting>
  <conditionalFormatting sqref="J8">
    <cfRule type="notContainsBlanks" dxfId="1" priority="351">
      <formula>LEN(TRIM(J8))&gt;0</formula>
    </cfRule>
  </conditionalFormatting>
  <conditionalFormatting sqref="J9">
    <cfRule type="notContainsBlanks" dxfId="1" priority="352">
      <formula>LEN(TRIM(J9))&gt;0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8" t="s">
        <v>184</v>
      </c>
      <c r="B1" s="8" t="s">
        <v>185</v>
      </c>
      <c r="C1" s="8" t="s">
        <v>186</v>
      </c>
      <c r="D1" s="8" t="s">
        <v>187</v>
      </c>
      <c r="E1" s="22" t="s">
        <v>188</v>
      </c>
      <c r="F1" s="8" t="s">
        <v>189</v>
      </c>
      <c r="G1" s="8" t="s">
        <v>190</v>
      </c>
      <c r="H1" s="23" t="s">
        <v>191</v>
      </c>
      <c r="I1" s="8" t="s">
        <v>192</v>
      </c>
    </row>
    <row r="2">
      <c r="A2" s="8" t="s">
        <v>193</v>
      </c>
      <c r="B2" s="24">
        <v>45538.0</v>
      </c>
      <c r="C2" s="8">
        <v>23788.0</v>
      </c>
      <c r="D2" s="8">
        <v>22840.0</v>
      </c>
      <c r="E2" s="25">
        <f t="shared" ref="E2:E4" si="1">(D2-C2)/C2%</f>
        <v>-3.985202623</v>
      </c>
      <c r="F2" s="14">
        <f>-'hpc39_5 cash ledger'!G219</f>
        <v>19981205.54</v>
      </c>
      <c r="G2" s="14">
        <f>hpc39_5!G153</f>
        <v>19358186.11</v>
      </c>
      <c r="H2" s="26">
        <f>(G2-F2)/F2%</f>
        <v>-3.118027232</v>
      </c>
      <c r="I2" s="26">
        <f>H2-E2</f>
        <v>0.8671753913</v>
      </c>
    </row>
    <row r="3">
      <c r="A3" s="8" t="s">
        <v>199</v>
      </c>
      <c r="B3" s="24">
        <v>45610.0</v>
      </c>
      <c r="C3" s="8">
        <v>21963.0</v>
      </c>
      <c r="D3" s="8">
        <v>22840.0</v>
      </c>
      <c r="E3" s="25">
        <f t="shared" si="1"/>
        <v>3.99307927</v>
      </c>
      <c r="H3" s="26"/>
    </row>
    <row r="4">
      <c r="A4" s="8" t="s">
        <v>200</v>
      </c>
      <c r="B4" s="24">
        <v>45659.0</v>
      </c>
      <c r="C4" s="8">
        <v>22819.0</v>
      </c>
      <c r="D4" s="8">
        <v>22840.0</v>
      </c>
      <c r="E4" s="25">
        <f t="shared" si="1"/>
        <v>0.09202857268</v>
      </c>
      <c r="H4" s="26"/>
    </row>
    <row r="5">
      <c r="E5" s="25"/>
      <c r="H5" s="26"/>
    </row>
    <row r="6">
      <c r="E6" s="25"/>
      <c r="H6" s="26"/>
    </row>
    <row r="7">
      <c r="E7" s="25"/>
      <c r="H7" s="26"/>
    </row>
    <row r="8">
      <c r="E8" s="25"/>
      <c r="H8" s="26"/>
    </row>
    <row r="9">
      <c r="E9" s="25"/>
      <c r="H9" s="26"/>
    </row>
    <row r="10">
      <c r="E10" s="25"/>
      <c r="H10" s="26"/>
    </row>
    <row r="11">
      <c r="E11" s="25"/>
      <c r="H11" s="26"/>
    </row>
    <row r="12">
      <c r="E12" s="25"/>
      <c r="H12" s="26"/>
    </row>
    <row r="13">
      <c r="E13" s="25"/>
      <c r="H13" s="26"/>
    </row>
    <row r="14">
      <c r="E14" s="25"/>
      <c r="H14" s="26"/>
    </row>
    <row r="15">
      <c r="E15" s="25"/>
      <c r="H15" s="26"/>
    </row>
    <row r="16">
      <c r="E16" s="25"/>
      <c r="H16" s="26"/>
    </row>
    <row r="17">
      <c r="E17" s="25"/>
      <c r="H17" s="26"/>
    </row>
    <row r="18">
      <c r="E18" s="25"/>
      <c r="H18" s="26"/>
    </row>
    <row r="19">
      <c r="E19" s="25"/>
      <c r="H19" s="26"/>
    </row>
    <row r="20">
      <c r="E20" s="25"/>
      <c r="H20" s="26"/>
    </row>
    <row r="21">
      <c r="E21" s="25"/>
      <c r="H21" s="26"/>
    </row>
    <row r="22">
      <c r="E22" s="25"/>
      <c r="H22" s="26"/>
    </row>
    <row r="23">
      <c r="E23" s="25"/>
      <c r="H23" s="26"/>
    </row>
    <row r="24">
      <c r="E24" s="25"/>
      <c r="H24" s="26"/>
    </row>
    <row r="25">
      <c r="E25" s="25"/>
      <c r="H25" s="26"/>
    </row>
    <row r="26">
      <c r="E26" s="25"/>
      <c r="H26" s="26"/>
    </row>
    <row r="27">
      <c r="E27" s="25"/>
      <c r="H27" s="26"/>
    </row>
    <row r="28">
      <c r="E28" s="25"/>
      <c r="H28" s="26"/>
    </row>
    <row r="29">
      <c r="E29" s="25"/>
      <c r="H29" s="26"/>
    </row>
    <row r="30">
      <c r="E30" s="25"/>
      <c r="H30" s="26"/>
    </row>
    <row r="31">
      <c r="E31" s="25"/>
      <c r="H31" s="26"/>
    </row>
    <row r="32">
      <c r="E32" s="25"/>
      <c r="H32" s="26"/>
    </row>
    <row r="33">
      <c r="E33" s="25"/>
      <c r="H33" s="26"/>
    </row>
    <row r="34">
      <c r="E34" s="25"/>
      <c r="H34" s="26"/>
    </row>
    <row r="35">
      <c r="E35" s="25"/>
      <c r="H35" s="26"/>
    </row>
    <row r="36">
      <c r="E36" s="25"/>
      <c r="H36" s="26"/>
    </row>
    <row r="37">
      <c r="E37" s="25"/>
      <c r="H37" s="26"/>
    </row>
    <row r="38">
      <c r="E38" s="25"/>
      <c r="H38" s="26"/>
    </row>
    <row r="39">
      <c r="E39" s="25"/>
      <c r="H39" s="26"/>
    </row>
    <row r="40">
      <c r="E40" s="25"/>
      <c r="H40" s="26"/>
    </row>
    <row r="41">
      <c r="E41" s="25"/>
      <c r="H41" s="26"/>
    </row>
    <row r="42">
      <c r="E42" s="25"/>
      <c r="H42" s="26"/>
    </row>
    <row r="43">
      <c r="E43" s="25"/>
      <c r="H43" s="26"/>
    </row>
    <row r="44">
      <c r="E44" s="25"/>
      <c r="H44" s="26"/>
    </row>
    <row r="45">
      <c r="E45" s="25"/>
      <c r="H45" s="26"/>
    </row>
    <row r="46">
      <c r="E46" s="25"/>
      <c r="H46" s="26"/>
    </row>
    <row r="47">
      <c r="E47" s="25"/>
      <c r="H47" s="26"/>
    </row>
    <row r="48">
      <c r="E48" s="25"/>
      <c r="H48" s="26"/>
    </row>
    <row r="49">
      <c r="E49" s="25"/>
      <c r="H49" s="26"/>
    </row>
    <row r="50">
      <c r="E50" s="25"/>
      <c r="H50" s="26"/>
    </row>
    <row r="51">
      <c r="E51" s="25"/>
      <c r="H51" s="26"/>
    </row>
    <row r="52">
      <c r="E52" s="25"/>
      <c r="H52" s="26"/>
    </row>
    <row r="53">
      <c r="E53" s="25"/>
      <c r="H53" s="26"/>
    </row>
    <row r="54">
      <c r="E54" s="25"/>
      <c r="H54" s="26"/>
    </row>
    <row r="55">
      <c r="E55" s="25"/>
      <c r="H55" s="26"/>
    </row>
    <row r="56">
      <c r="E56" s="25"/>
      <c r="H56" s="26"/>
    </row>
    <row r="57">
      <c r="E57" s="25"/>
      <c r="H57" s="26"/>
    </row>
    <row r="58">
      <c r="E58" s="25"/>
      <c r="H58" s="26"/>
    </row>
    <row r="59">
      <c r="E59" s="25"/>
      <c r="H59" s="26"/>
    </row>
    <row r="60">
      <c r="E60" s="25"/>
      <c r="H60" s="26"/>
    </row>
    <row r="61">
      <c r="E61" s="25"/>
      <c r="H61" s="26"/>
    </row>
    <row r="62">
      <c r="E62" s="25"/>
      <c r="H62" s="26"/>
    </row>
    <row r="63">
      <c r="E63" s="25"/>
      <c r="H63" s="26"/>
    </row>
    <row r="64">
      <c r="E64" s="25"/>
      <c r="H64" s="26"/>
    </row>
    <row r="65">
      <c r="E65" s="25"/>
      <c r="H65" s="26"/>
    </row>
    <row r="66">
      <c r="E66" s="25"/>
      <c r="H66" s="26"/>
    </row>
    <row r="67">
      <c r="E67" s="25"/>
      <c r="H67" s="26"/>
    </row>
    <row r="68">
      <c r="E68" s="25"/>
      <c r="H68" s="26"/>
    </row>
    <row r="69">
      <c r="E69" s="25"/>
      <c r="H69" s="26"/>
    </row>
    <row r="70">
      <c r="E70" s="25"/>
      <c r="H70" s="26"/>
    </row>
    <row r="71">
      <c r="E71" s="25"/>
      <c r="H71" s="26"/>
    </row>
    <row r="72">
      <c r="E72" s="25"/>
      <c r="H72" s="26"/>
    </row>
    <row r="73">
      <c r="E73" s="25"/>
      <c r="H73" s="26"/>
    </row>
    <row r="74">
      <c r="E74" s="25"/>
      <c r="H74" s="26"/>
    </row>
    <row r="75">
      <c r="E75" s="25"/>
      <c r="H75" s="26"/>
    </row>
    <row r="76">
      <c r="E76" s="25"/>
      <c r="H76" s="26"/>
    </row>
    <row r="77">
      <c r="E77" s="25"/>
      <c r="H77" s="26"/>
    </row>
    <row r="78">
      <c r="E78" s="25"/>
      <c r="H78" s="26"/>
    </row>
    <row r="79">
      <c r="E79" s="25"/>
      <c r="H79" s="26"/>
    </row>
    <row r="80">
      <c r="E80" s="25"/>
      <c r="H80" s="26"/>
    </row>
    <row r="81">
      <c r="E81" s="25"/>
      <c r="H81" s="26"/>
    </row>
    <row r="82">
      <c r="E82" s="25"/>
      <c r="H82" s="26"/>
    </row>
    <row r="83">
      <c r="E83" s="25"/>
      <c r="H83" s="26"/>
    </row>
    <row r="84">
      <c r="E84" s="25"/>
      <c r="H84" s="26"/>
    </row>
    <row r="85">
      <c r="E85" s="25"/>
      <c r="H85" s="26"/>
    </row>
    <row r="86">
      <c r="E86" s="25"/>
      <c r="H86" s="26"/>
    </row>
    <row r="87">
      <c r="E87" s="25"/>
      <c r="H87" s="26"/>
    </row>
    <row r="88">
      <c r="E88" s="25"/>
      <c r="H88" s="26"/>
    </row>
    <row r="89">
      <c r="E89" s="25"/>
      <c r="H89" s="26"/>
    </row>
    <row r="90">
      <c r="E90" s="25"/>
      <c r="H90" s="26"/>
    </row>
    <row r="91">
      <c r="E91" s="25"/>
      <c r="H91" s="26"/>
    </row>
    <row r="92">
      <c r="E92" s="25"/>
      <c r="H92" s="26"/>
    </row>
    <row r="93">
      <c r="E93" s="25"/>
      <c r="H93" s="26"/>
    </row>
    <row r="94">
      <c r="E94" s="25"/>
      <c r="H94" s="26"/>
    </row>
    <row r="95">
      <c r="E95" s="25"/>
      <c r="H95" s="26"/>
    </row>
    <row r="96">
      <c r="E96" s="25"/>
      <c r="H96" s="26"/>
    </row>
    <row r="97">
      <c r="E97" s="25"/>
      <c r="H97" s="26"/>
    </row>
    <row r="98">
      <c r="E98" s="25"/>
      <c r="H98" s="26"/>
    </row>
    <row r="99">
      <c r="E99" s="25"/>
      <c r="H99" s="26"/>
    </row>
    <row r="100">
      <c r="E100" s="25"/>
      <c r="H100" s="26"/>
    </row>
    <row r="101">
      <c r="E101" s="25"/>
      <c r="H101" s="26"/>
    </row>
    <row r="102">
      <c r="E102" s="25"/>
      <c r="H102" s="26"/>
    </row>
    <row r="103">
      <c r="E103" s="25"/>
      <c r="H103" s="26"/>
    </row>
    <row r="104">
      <c r="E104" s="25"/>
      <c r="H104" s="26"/>
    </row>
    <row r="105">
      <c r="E105" s="25"/>
      <c r="H105" s="26"/>
    </row>
    <row r="106">
      <c r="E106" s="25"/>
      <c r="H106" s="26"/>
    </row>
    <row r="107">
      <c r="E107" s="25"/>
      <c r="H107" s="26"/>
    </row>
    <row r="108">
      <c r="E108" s="25"/>
      <c r="H108" s="26"/>
    </row>
    <row r="109">
      <c r="E109" s="25"/>
      <c r="H109" s="26"/>
    </row>
    <row r="110">
      <c r="E110" s="25"/>
      <c r="H110" s="26"/>
    </row>
    <row r="111">
      <c r="E111" s="25"/>
      <c r="H111" s="26"/>
    </row>
    <row r="112">
      <c r="E112" s="25"/>
      <c r="H112" s="26"/>
    </row>
    <row r="113">
      <c r="E113" s="25"/>
      <c r="H113" s="26"/>
    </row>
    <row r="114">
      <c r="E114" s="25"/>
      <c r="H114" s="26"/>
    </row>
    <row r="115">
      <c r="E115" s="25"/>
      <c r="H115" s="26"/>
    </row>
    <row r="116">
      <c r="E116" s="25"/>
      <c r="H116" s="26"/>
    </row>
    <row r="117">
      <c r="E117" s="25"/>
      <c r="H117" s="26"/>
    </row>
    <row r="118">
      <c r="E118" s="25"/>
      <c r="H118" s="26"/>
    </row>
    <row r="119">
      <c r="E119" s="25"/>
      <c r="H119" s="26"/>
    </row>
    <row r="120">
      <c r="E120" s="25"/>
      <c r="H120" s="26"/>
    </row>
    <row r="121">
      <c r="E121" s="25"/>
      <c r="H121" s="26"/>
    </row>
    <row r="122">
      <c r="E122" s="25"/>
      <c r="H122" s="26"/>
    </row>
    <row r="123">
      <c r="E123" s="25"/>
      <c r="H123" s="26"/>
    </row>
    <row r="124">
      <c r="E124" s="25"/>
      <c r="H124" s="26"/>
    </row>
    <row r="125">
      <c r="E125" s="25"/>
      <c r="H125" s="26"/>
    </row>
    <row r="126">
      <c r="E126" s="25"/>
      <c r="H126" s="26"/>
    </row>
    <row r="127">
      <c r="E127" s="25"/>
      <c r="H127" s="26"/>
    </row>
    <row r="128">
      <c r="E128" s="25"/>
      <c r="H128" s="26"/>
    </row>
    <row r="129">
      <c r="E129" s="25"/>
      <c r="H129" s="26"/>
    </row>
    <row r="130">
      <c r="E130" s="25"/>
      <c r="H130" s="26"/>
    </row>
    <row r="131">
      <c r="E131" s="25"/>
      <c r="H131" s="26"/>
    </row>
    <row r="132">
      <c r="E132" s="25"/>
      <c r="H132" s="26"/>
    </row>
    <row r="133">
      <c r="E133" s="25"/>
      <c r="H133" s="26"/>
    </row>
    <row r="134">
      <c r="E134" s="25"/>
      <c r="H134" s="26"/>
    </row>
    <row r="135">
      <c r="E135" s="25"/>
      <c r="H135" s="26"/>
    </row>
    <row r="136">
      <c r="E136" s="25"/>
      <c r="H136" s="26"/>
    </row>
    <row r="137">
      <c r="E137" s="25"/>
      <c r="H137" s="26"/>
    </row>
    <row r="138">
      <c r="E138" s="25"/>
      <c r="H138" s="26"/>
    </row>
    <row r="139">
      <c r="E139" s="25"/>
      <c r="H139" s="26"/>
    </row>
    <row r="140">
      <c r="E140" s="25"/>
      <c r="H140" s="26"/>
    </row>
    <row r="141">
      <c r="E141" s="25"/>
      <c r="H141" s="26"/>
    </row>
    <row r="142">
      <c r="E142" s="25"/>
      <c r="H142" s="26"/>
    </row>
    <row r="143">
      <c r="E143" s="25"/>
      <c r="H143" s="26"/>
    </row>
    <row r="144">
      <c r="E144" s="25"/>
      <c r="H144" s="26"/>
    </row>
    <row r="145">
      <c r="E145" s="25"/>
      <c r="H145" s="26"/>
    </row>
    <row r="146">
      <c r="E146" s="25"/>
      <c r="H146" s="26"/>
    </row>
    <row r="147">
      <c r="E147" s="25"/>
      <c r="H147" s="26"/>
    </row>
    <row r="148">
      <c r="E148" s="25"/>
      <c r="H148" s="26"/>
    </row>
    <row r="149">
      <c r="E149" s="25"/>
      <c r="H149" s="26"/>
    </row>
    <row r="150">
      <c r="E150" s="25"/>
      <c r="H150" s="26"/>
    </row>
    <row r="151">
      <c r="E151" s="25"/>
      <c r="H151" s="26"/>
    </row>
    <row r="152">
      <c r="E152" s="25"/>
      <c r="H152" s="26"/>
    </row>
    <row r="153">
      <c r="E153" s="25"/>
      <c r="H153" s="26"/>
    </row>
    <row r="154">
      <c r="E154" s="25"/>
      <c r="H154" s="26"/>
    </row>
    <row r="155">
      <c r="E155" s="25"/>
      <c r="H155" s="26"/>
    </row>
    <row r="156">
      <c r="E156" s="25"/>
      <c r="H156" s="26"/>
    </row>
    <row r="157">
      <c r="E157" s="25"/>
      <c r="H157" s="26"/>
    </row>
    <row r="158">
      <c r="E158" s="25"/>
      <c r="H158" s="26"/>
    </row>
    <row r="159">
      <c r="E159" s="25"/>
      <c r="H159" s="26"/>
    </row>
    <row r="160">
      <c r="E160" s="25"/>
      <c r="H160" s="26"/>
    </row>
    <row r="161">
      <c r="E161" s="25"/>
      <c r="H161" s="26"/>
    </row>
    <row r="162">
      <c r="E162" s="25"/>
      <c r="H162" s="26"/>
    </row>
    <row r="163">
      <c r="E163" s="25"/>
      <c r="H163" s="26"/>
    </row>
    <row r="164">
      <c r="E164" s="25"/>
      <c r="H164" s="26"/>
    </row>
    <row r="165">
      <c r="E165" s="25"/>
      <c r="H165" s="26"/>
    </row>
    <row r="166">
      <c r="E166" s="25"/>
      <c r="H166" s="26"/>
    </row>
    <row r="167">
      <c r="E167" s="25"/>
      <c r="H167" s="26"/>
    </row>
    <row r="168">
      <c r="E168" s="25"/>
      <c r="H168" s="26"/>
    </row>
    <row r="169">
      <c r="E169" s="25"/>
      <c r="H169" s="26"/>
    </row>
    <row r="170">
      <c r="E170" s="25"/>
      <c r="H170" s="26"/>
    </row>
    <row r="171">
      <c r="E171" s="25"/>
      <c r="H171" s="26"/>
    </row>
    <row r="172">
      <c r="E172" s="25"/>
      <c r="H172" s="26"/>
    </row>
    <row r="173">
      <c r="E173" s="25"/>
      <c r="H173" s="26"/>
    </row>
    <row r="174">
      <c r="E174" s="25"/>
      <c r="H174" s="26"/>
    </row>
    <row r="175">
      <c r="E175" s="25"/>
      <c r="H175" s="26"/>
    </row>
    <row r="176">
      <c r="E176" s="25"/>
      <c r="H176" s="26"/>
    </row>
    <row r="177">
      <c r="E177" s="25"/>
      <c r="H177" s="26"/>
    </row>
    <row r="178">
      <c r="E178" s="25"/>
      <c r="H178" s="26"/>
    </row>
    <row r="179">
      <c r="E179" s="25"/>
      <c r="H179" s="26"/>
    </row>
    <row r="180">
      <c r="E180" s="25"/>
      <c r="H180" s="26"/>
    </row>
    <row r="181">
      <c r="E181" s="25"/>
      <c r="H181" s="26"/>
    </row>
    <row r="182">
      <c r="E182" s="25"/>
      <c r="H182" s="26"/>
    </row>
    <row r="183">
      <c r="E183" s="25"/>
      <c r="H183" s="26"/>
    </row>
    <row r="184">
      <c r="E184" s="25"/>
      <c r="H184" s="26"/>
    </row>
    <row r="185">
      <c r="E185" s="25"/>
      <c r="H185" s="26"/>
    </row>
    <row r="186">
      <c r="E186" s="25"/>
      <c r="H186" s="26"/>
    </row>
    <row r="187">
      <c r="E187" s="25"/>
      <c r="H187" s="26"/>
    </row>
    <row r="188">
      <c r="E188" s="25"/>
      <c r="H188" s="26"/>
    </row>
    <row r="189">
      <c r="E189" s="25"/>
      <c r="H189" s="26"/>
    </row>
    <row r="190">
      <c r="E190" s="25"/>
      <c r="H190" s="26"/>
    </row>
    <row r="191">
      <c r="E191" s="25"/>
      <c r="H191" s="26"/>
    </row>
    <row r="192">
      <c r="E192" s="25"/>
      <c r="H192" s="26"/>
    </row>
    <row r="193">
      <c r="E193" s="25"/>
      <c r="H193" s="26"/>
    </row>
    <row r="194">
      <c r="E194" s="25"/>
      <c r="H194" s="26"/>
    </row>
    <row r="195">
      <c r="E195" s="25"/>
      <c r="H195" s="26"/>
    </row>
    <row r="196">
      <c r="E196" s="25"/>
      <c r="H196" s="26"/>
    </row>
    <row r="197">
      <c r="E197" s="25"/>
      <c r="H197" s="26"/>
    </row>
    <row r="198">
      <c r="E198" s="25"/>
      <c r="H198" s="26"/>
    </row>
    <row r="199">
      <c r="E199" s="25"/>
      <c r="H199" s="26"/>
    </row>
    <row r="200">
      <c r="E200" s="25"/>
      <c r="H200" s="26"/>
    </row>
    <row r="201">
      <c r="E201" s="25"/>
      <c r="H201" s="26"/>
    </row>
    <row r="202">
      <c r="E202" s="25"/>
      <c r="H202" s="26"/>
    </row>
    <row r="203">
      <c r="E203" s="25"/>
      <c r="H203" s="26"/>
    </row>
    <row r="204">
      <c r="E204" s="25"/>
      <c r="H204" s="26"/>
    </row>
    <row r="205">
      <c r="E205" s="25"/>
      <c r="H205" s="26"/>
    </row>
    <row r="206">
      <c r="E206" s="25"/>
      <c r="H206" s="26"/>
    </row>
    <row r="207">
      <c r="E207" s="25"/>
      <c r="H207" s="26"/>
    </row>
    <row r="208">
      <c r="E208" s="25"/>
      <c r="H208" s="26"/>
    </row>
    <row r="209">
      <c r="E209" s="25"/>
      <c r="H209" s="26"/>
    </row>
    <row r="210">
      <c r="E210" s="25"/>
      <c r="H210" s="26"/>
    </row>
    <row r="211">
      <c r="E211" s="25"/>
      <c r="H211" s="26"/>
    </row>
    <row r="212">
      <c r="E212" s="25"/>
      <c r="H212" s="26"/>
    </row>
    <row r="213">
      <c r="E213" s="25"/>
      <c r="H213" s="26"/>
    </row>
    <row r="214">
      <c r="E214" s="25"/>
      <c r="H214" s="26"/>
    </row>
    <row r="215">
      <c r="E215" s="25"/>
      <c r="H215" s="26"/>
    </row>
    <row r="216">
      <c r="E216" s="25"/>
      <c r="H216" s="26"/>
    </row>
    <row r="217">
      <c r="E217" s="25"/>
      <c r="H217" s="26"/>
    </row>
    <row r="218">
      <c r="E218" s="25"/>
      <c r="H218" s="26"/>
    </row>
    <row r="219">
      <c r="E219" s="25"/>
      <c r="H219" s="26"/>
    </row>
    <row r="220">
      <c r="E220" s="25"/>
      <c r="H220" s="26"/>
    </row>
    <row r="221">
      <c r="E221" s="25"/>
      <c r="H221" s="26"/>
    </row>
    <row r="222">
      <c r="E222" s="25"/>
      <c r="H222" s="26"/>
    </row>
    <row r="223">
      <c r="E223" s="25"/>
      <c r="H223" s="26"/>
    </row>
    <row r="224">
      <c r="E224" s="25"/>
      <c r="H224" s="26"/>
    </row>
    <row r="225">
      <c r="E225" s="25"/>
      <c r="H225" s="26"/>
    </row>
    <row r="226">
      <c r="E226" s="25"/>
      <c r="H226" s="26"/>
    </row>
    <row r="227">
      <c r="E227" s="25"/>
      <c r="H227" s="26"/>
    </row>
    <row r="228">
      <c r="E228" s="25"/>
      <c r="H228" s="26"/>
    </row>
    <row r="229">
      <c r="E229" s="25"/>
      <c r="H229" s="26"/>
    </row>
    <row r="230">
      <c r="E230" s="25"/>
      <c r="H230" s="26"/>
    </row>
    <row r="231">
      <c r="E231" s="25"/>
      <c r="H231" s="26"/>
    </row>
    <row r="232">
      <c r="E232" s="25"/>
      <c r="H232" s="26"/>
    </row>
    <row r="233">
      <c r="E233" s="25"/>
      <c r="H233" s="26"/>
    </row>
    <row r="234">
      <c r="E234" s="25"/>
      <c r="H234" s="26"/>
    </row>
    <row r="235">
      <c r="E235" s="25"/>
      <c r="H235" s="26"/>
    </row>
    <row r="236">
      <c r="E236" s="25"/>
      <c r="H236" s="26"/>
    </row>
    <row r="237">
      <c r="E237" s="25"/>
      <c r="H237" s="26"/>
    </row>
    <row r="238">
      <c r="E238" s="25"/>
      <c r="H238" s="26"/>
    </row>
    <row r="239">
      <c r="E239" s="25"/>
      <c r="H239" s="26"/>
    </row>
    <row r="240">
      <c r="E240" s="25"/>
      <c r="H240" s="26"/>
    </row>
    <row r="241">
      <c r="E241" s="25"/>
      <c r="H241" s="26"/>
    </row>
    <row r="242">
      <c r="E242" s="25"/>
      <c r="H242" s="26"/>
    </row>
    <row r="243">
      <c r="E243" s="25"/>
      <c r="H243" s="26"/>
    </row>
    <row r="244">
      <c r="E244" s="25"/>
      <c r="H244" s="26"/>
    </row>
    <row r="245">
      <c r="E245" s="25"/>
      <c r="H245" s="26"/>
    </row>
    <row r="246">
      <c r="E246" s="25"/>
      <c r="H246" s="26"/>
    </row>
    <row r="247">
      <c r="E247" s="25"/>
      <c r="H247" s="26"/>
    </row>
    <row r="248">
      <c r="E248" s="25"/>
      <c r="H248" s="26"/>
    </row>
    <row r="249">
      <c r="E249" s="25"/>
      <c r="H249" s="26"/>
    </row>
    <row r="250">
      <c r="E250" s="25"/>
      <c r="H250" s="26"/>
    </row>
    <row r="251">
      <c r="E251" s="25"/>
      <c r="H251" s="26"/>
    </row>
    <row r="252">
      <c r="E252" s="25"/>
      <c r="H252" s="26"/>
    </row>
    <row r="253">
      <c r="E253" s="25"/>
      <c r="H253" s="26"/>
    </row>
    <row r="254">
      <c r="E254" s="25"/>
      <c r="H254" s="26"/>
    </row>
    <row r="255">
      <c r="E255" s="25"/>
      <c r="H255" s="26"/>
    </row>
    <row r="256">
      <c r="E256" s="25"/>
      <c r="H256" s="26"/>
    </row>
    <row r="257">
      <c r="E257" s="25"/>
      <c r="H257" s="26"/>
    </row>
    <row r="258">
      <c r="E258" s="25"/>
      <c r="H258" s="26"/>
    </row>
    <row r="259">
      <c r="E259" s="25"/>
      <c r="H259" s="26"/>
    </row>
    <row r="260">
      <c r="E260" s="25"/>
      <c r="H260" s="26"/>
    </row>
    <row r="261">
      <c r="E261" s="25"/>
      <c r="H261" s="26"/>
    </row>
    <row r="262">
      <c r="E262" s="25"/>
      <c r="H262" s="26"/>
    </row>
    <row r="263">
      <c r="E263" s="25"/>
      <c r="H263" s="26"/>
    </row>
    <row r="264">
      <c r="E264" s="25"/>
      <c r="H264" s="26"/>
    </row>
    <row r="265">
      <c r="E265" s="25"/>
      <c r="H265" s="26"/>
    </row>
    <row r="266">
      <c r="E266" s="25"/>
      <c r="H266" s="26"/>
    </row>
    <row r="267">
      <c r="E267" s="25"/>
      <c r="H267" s="26"/>
    </row>
    <row r="268">
      <c r="E268" s="25"/>
      <c r="H268" s="26"/>
    </row>
    <row r="269">
      <c r="E269" s="25"/>
      <c r="H269" s="26"/>
    </row>
    <row r="270">
      <c r="E270" s="25"/>
      <c r="H270" s="26"/>
    </row>
    <row r="271">
      <c r="E271" s="25"/>
      <c r="H271" s="26"/>
    </row>
    <row r="272">
      <c r="E272" s="25"/>
      <c r="H272" s="26"/>
    </row>
    <row r="273">
      <c r="E273" s="25"/>
      <c r="H273" s="26"/>
    </row>
    <row r="274">
      <c r="E274" s="25"/>
      <c r="H274" s="26"/>
    </row>
    <row r="275">
      <c r="E275" s="25"/>
      <c r="H275" s="26"/>
    </row>
    <row r="276">
      <c r="E276" s="25"/>
      <c r="H276" s="26"/>
    </row>
    <row r="277">
      <c r="E277" s="25"/>
      <c r="H277" s="26"/>
    </row>
    <row r="278">
      <c r="E278" s="25"/>
      <c r="H278" s="26"/>
    </row>
    <row r="279">
      <c r="E279" s="25"/>
      <c r="H279" s="26"/>
    </row>
    <row r="280">
      <c r="E280" s="25"/>
      <c r="H280" s="26"/>
    </row>
    <row r="281">
      <c r="E281" s="25"/>
      <c r="H281" s="26"/>
    </row>
    <row r="282">
      <c r="E282" s="25"/>
      <c r="H282" s="26"/>
    </row>
    <row r="283">
      <c r="E283" s="25"/>
      <c r="H283" s="26"/>
    </row>
    <row r="284">
      <c r="E284" s="25"/>
      <c r="H284" s="26"/>
    </row>
    <row r="285">
      <c r="E285" s="25"/>
      <c r="H285" s="26"/>
    </row>
    <row r="286">
      <c r="E286" s="25"/>
      <c r="H286" s="26"/>
    </row>
    <row r="287">
      <c r="E287" s="25"/>
      <c r="H287" s="26"/>
    </row>
    <row r="288">
      <c r="E288" s="25"/>
      <c r="H288" s="26"/>
    </row>
    <row r="289">
      <c r="E289" s="25"/>
      <c r="H289" s="26"/>
    </row>
    <row r="290">
      <c r="E290" s="25"/>
      <c r="H290" s="26"/>
    </row>
    <row r="291">
      <c r="E291" s="25"/>
      <c r="H291" s="26"/>
    </row>
    <row r="292">
      <c r="E292" s="25"/>
      <c r="H292" s="26"/>
    </row>
    <row r="293">
      <c r="E293" s="25"/>
      <c r="H293" s="26"/>
    </row>
    <row r="294">
      <c r="E294" s="25"/>
      <c r="H294" s="26"/>
    </row>
    <row r="295">
      <c r="E295" s="25"/>
      <c r="H295" s="26"/>
    </row>
    <row r="296">
      <c r="E296" s="25"/>
      <c r="H296" s="26"/>
    </row>
    <row r="297">
      <c r="E297" s="25"/>
      <c r="H297" s="26"/>
    </row>
    <row r="298">
      <c r="E298" s="25"/>
      <c r="H298" s="26"/>
    </row>
    <row r="299">
      <c r="E299" s="25"/>
      <c r="H299" s="26"/>
    </row>
    <row r="300">
      <c r="E300" s="25"/>
      <c r="H300" s="26"/>
    </row>
    <row r="301">
      <c r="E301" s="25"/>
      <c r="H301" s="26"/>
    </row>
    <row r="302">
      <c r="E302" s="25"/>
      <c r="H302" s="26"/>
    </row>
    <row r="303">
      <c r="E303" s="25"/>
      <c r="H303" s="26"/>
    </row>
    <row r="304">
      <c r="E304" s="25"/>
      <c r="H304" s="26"/>
    </row>
    <row r="305">
      <c r="E305" s="25"/>
      <c r="H305" s="26"/>
    </row>
    <row r="306">
      <c r="E306" s="25"/>
      <c r="H306" s="26"/>
    </row>
    <row r="307">
      <c r="E307" s="25"/>
      <c r="H307" s="26"/>
    </row>
    <row r="308">
      <c r="E308" s="25"/>
      <c r="H308" s="26"/>
    </row>
    <row r="309">
      <c r="E309" s="25"/>
      <c r="H309" s="26"/>
    </row>
    <row r="310">
      <c r="E310" s="25"/>
      <c r="H310" s="26"/>
    </row>
    <row r="311">
      <c r="E311" s="25"/>
      <c r="H311" s="26"/>
    </row>
    <row r="312">
      <c r="E312" s="25"/>
      <c r="H312" s="26"/>
    </row>
    <row r="313">
      <c r="E313" s="25"/>
      <c r="H313" s="26"/>
    </row>
    <row r="314">
      <c r="E314" s="25"/>
      <c r="H314" s="26"/>
    </row>
    <row r="315">
      <c r="E315" s="25"/>
      <c r="H315" s="26"/>
    </row>
    <row r="316">
      <c r="E316" s="25"/>
      <c r="H316" s="26"/>
    </row>
    <row r="317">
      <c r="E317" s="25"/>
      <c r="H317" s="26"/>
    </row>
    <row r="318">
      <c r="E318" s="25"/>
      <c r="H318" s="26"/>
    </row>
    <row r="319">
      <c r="E319" s="25"/>
      <c r="H319" s="26"/>
    </row>
    <row r="320">
      <c r="E320" s="25"/>
      <c r="H320" s="26"/>
    </row>
    <row r="321">
      <c r="E321" s="25"/>
      <c r="H321" s="26"/>
    </row>
    <row r="322">
      <c r="E322" s="25"/>
      <c r="H322" s="26"/>
    </row>
    <row r="323">
      <c r="E323" s="25"/>
      <c r="H323" s="26"/>
    </row>
    <row r="324">
      <c r="E324" s="25"/>
      <c r="H324" s="26"/>
    </row>
    <row r="325">
      <c r="E325" s="25"/>
      <c r="H325" s="26"/>
    </row>
    <row r="326">
      <c r="E326" s="25"/>
      <c r="H326" s="26"/>
    </row>
    <row r="327">
      <c r="E327" s="25"/>
      <c r="H327" s="26"/>
    </row>
    <row r="328">
      <c r="E328" s="25"/>
      <c r="H328" s="26"/>
    </row>
    <row r="329">
      <c r="E329" s="25"/>
      <c r="H329" s="26"/>
    </row>
    <row r="330">
      <c r="E330" s="25"/>
      <c r="H330" s="26"/>
    </row>
    <row r="331">
      <c r="E331" s="25"/>
      <c r="H331" s="26"/>
    </row>
    <row r="332">
      <c r="E332" s="25"/>
      <c r="H332" s="26"/>
    </row>
    <row r="333">
      <c r="E333" s="25"/>
      <c r="H333" s="26"/>
    </row>
    <row r="334">
      <c r="E334" s="25"/>
      <c r="H334" s="26"/>
    </row>
    <row r="335">
      <c r="E335" s="25"/>
      <c r="H335" s="26"/>
    </row>
    <row r="336">
      <c r="E336" s="25"/>
      <c r="H336" s="26"/>
    </row>
    <row r="337">
      <c r="E337" s="25"/>
      <c r="H337" s="26"/>
    </row>
    <row r="338">
      <c r="E338" s="25"/>
      <c r="H338" s="26"/>
    </row>
    <row r="339">
      <c r="E339" s="25"/>
      <c r="H339" s="26"/>
    </row>
    <row r="340">
      <c r="E340" s="25"/>
      <c r="H340" s="26"/>
    </row>
    <row r="341">
      <c r="E341" s="25"/>
      <c r="H341" s="26"/>
    </row>
    <row r="342">
      <c r="E342" s="25"/>
      <c r="H342" s="26"/>
    </row>
    <row r="343">
      <c r="E343" s="25"/>
      <c r="H343" s="26"/>
    </row>
    <row r="344">
      <c r="E344" s="25"/>
      <c r="H344" s="26"/>
    </row>
    <row r="345">
      <c r="E345" s="25"/>
      <c r="H345" s="26"/>
    </row>
    <row r="346">
      <c r="E346" s="25"/>
      <c r="H346" s="26"/>
    </row>
    <row r="347">
      <c r="E347" s="25"/>
      <c r="H347" s="26"/>
    </row>
    <row r="348">
      <c r="E348" s="25"/>
      <c r="H348" s="26"/>
    </row>
    <row r="349">
      <c r="E349" s="25"/>
      <c r="H349" s="26"/>
    </row>
    <row r="350">
      <c r="E350" s="25"/>
      <c r="H350" s="26"/>
    </row>
    <row r="351">
      <c r="E351" s="25"/>
      <c r="H351" s="26"/>
    </row>
    <row r="352">
      <c r="E352" s="25"/>
      <c r="H352" s="26"/>
    </row>
    <row r="353">
      <c r="E353" s="25"/>
      <c r="H353" s="26"/>
    </row>
    <row r="354">
      <c r="E354" s="25"/>
      <c r="H354" s="26"/>
    </row>
    <row r="355">
      <c r="E355" s="25"/>
      <c r="H355" s="26"/>
    </row>
    <row r="356">
      <c r="E356" s="25"/>
      <c r="H356" s="26"/>
    </row>
    <row r="357">
      <c r="E357" s="25"/>
      <c r="H357" s="26"/>
    </row>
    <row r="358">
      <c r="E358" s="25"/>
      <c r="H358" s="26"/>
    </row>
    <row r="359">
      <c r="E359" s="25"/>
      <c r="H359" s="26"/>
    </row>
    <row r="360">
      <c r="E360" s="25"/>
      <c r="H360" s="26"/>
    </row>
    <row r="361">
      <c r="E361" s="25"/>
      <c r="H361" s="26"/>
    </row>
    <row r="362">
      <c r="E362" s="25"/>
      <c r="H362" s="26"/>
    </row>
    <row r="363">
      <c r="E363" s="25"/>
      <c r="H363" s="26"/>
    </row>
    <row r="364">
      <c r="E364" s="25"/>
      <c r="H364" s="26"/>
    </row>
    <row r="365">
      <c r="E365" s="25"/>
      <c r="H365" s="26"/>
    </row>
    <row r="366">
      <c r="E366" s="25"/>
      <c r="H366" s="26"/>
    </row>
    <row r="367">
      <c r="E367" s="25"/>
      <c r="H367" s="26"/>
    </row>
    <row r="368">
      <c r="E368" s="25"/>
      <c r="H368" s="26"/>
    </row>
    <row r="369">
      <c r="E369" s="25"/>
      <c r="H369" s="26"/>
    </row>
    <row r="370">
      <c r="E370" s="25"/>
      <c r="H370" s="26"/>
    </row>
    <row r="371">
      <c r="E371" s="25"/>
      <c r="H371" s="26"/>
    </row>
    <row r="372">
      <c r="E372" s="25"/>
      <c r="H372" s="26"/>
    </row>
    <row r="373">
      <c r="E373" s="25"/>
      <c r="H373" s="26"/>
    </row>
    <row r="374">
      <c r="E374" s="25"/>
      <c r="H374" s="26"/>
    </row>
    <row r="375">
      <c r="E375" s="25"/>
      <c r="H375" s="26"/>
    </row>
    <row r="376">
      <c r="E376" s="25"/>
      <c r="H376" s="26"/>
    </row>
    <row r="377">
      <c r="E377" s="25"/>
      <c r="H377" s="26"/>
    </row>
    <row r="378">
      <c r="E378" s="25"/>
      <c r="H378" s="26"/>
    </row>
    <row r="379">
      <c r="E379" s="25"/>
      <c r="H379" s="26"/>
    </row>
    <row r="380">
      <c r="E380" s="25"/>
      <c r="H380" s="26"/>
    </row>
    <row r="381">
      <c r="E381" s="25"/>
      <c r="H381" s="26"/>
    </row>
    <row r="382">
      <c r="E382" s="25"/>
      <c r="H382" s="26"/>
    </row>
    <row r="383">
      <c r="E383" s="25"/>
      <c r="H383" s="26"/>
    </row>
    <row r="384">
      <c r="E384" s="25"/>
      <c r="H384" s="26"/>
    </row>
    <row r="385">
      <c r="E385" s="25"/>
      <c r="H385" s="26"/>
    </row>
    <row r="386">
      <c r="E386" s="25"/>
      <c r="H386" s="26"/>
    </row>
    <row r="387">
      <c r="E387" s="25"/>
      <c r="H387" s="26"/>
    </row>
    <row r="388">
      <c r="E388" s="25"/>
      <c r="H388" s="26"/>
    </row>
    <row r="389">
      <c r="E389" s="25"/>
      <c r="H389" s="26"/>
    </row>
    <row r="390">
      <c r="E390" s="25"/>
      <c r="H390" s="26"/>
    </row>
    <row r="391">
      <c r="E391" s="25"/>
      <c r="H391" s="26"/>
    </row>
    <row r="392">
      <c r="E392" s="25"/>
      <c r="H392" s="26"/>
    </row>
    <row r="393">
      <c r="E393" s="25"/>
      <c r="H393" s="26"/>
    </row>
    <row r="394">
      <c r="E394" s="25"/>
      <c r="H394" s="26"/>
    </row>
    <row r="395">
      <c r="E395" s="25"/>
      <c r="H395" s="26"/>
    </row>
    <row r="396">
      <c r="E396" s="25"/>
      <c r="H396" s="26"/>
    </row>
    <row r="397">
      <c r="E397" s="25"/>
      <c r="H397" s="26"/>
    </row>
    <row r="398">
      <c r="E398" s="25"/>
      <c r="H398" s="26"/>
    </row>
    <row r="399">
      <c r="E399" s="25"/>
      <c r="H399" s="26"/>
    </row>
    <row r="400">
      <c r="E400" s="25"/>
      <c r="H400" s="26"/>
    </row>
    <row r="401">
      <c r="E401" s="25"/>
      <c r="H401" s="26"/>
    </row>
    <row r="402">
      <c r="E402" s="25"/>
      <c r="H402" s="26"/>
    </row>
    <row r="403">
      <c r="E403" s="25"/>
      <c r="H403" s="26"/>
    </row>
    <row r="404">
      <c r="E404" s="25"/>
      <c r="H404" s="26"/>
    </row>
    <row r="405">
      <c r="E405" s="25"/>
      <c r="H405" s="26"/>
    </row>
    <row r="406">
      <c r="E406" s="25"/>
      <c r="H406" s="26"/>
    </row>
    <row r="407">
      <c r="E407" s="25"/>
      <c r="H407" s="26"/>
    </row>
    <row r="408">
      <c r="E408" s="25"/>
      <c r="H408" s="26"/>
    </row>
    <row r="409">
      <c r="E409" s="25"/>
      <c r="H409" s="26"/>
    </row>
    <row r="410">
      <c r="E410" s="25"/>
      <c r="H410" s="26"/>
    </row>
    <row r="411">
      <c r="E411" s="25"/>
      <c r="H411" s="26"/>
    </row>
    <row r="412">
      <c r="E412" s="25"/>
      <c r="H412" s="26"/>
    </row>
    <row r="413">
      <c r="E413" s="25"/>
      <c r="H413" s="26"/>
    </row>
    <row r="414">
      <c r="E414" s="25"/>
      <c r="H414" s="26"/>
    </row>
    <row r="415">
      <c r="E415" s="25"/>
      <c r="H415" s="26"/>
    </row>
    <row r="416">
      <c r="E416" s="25"/>
      <c r="H416" s="26"/>
    </row>
    <row r="417">
      <c r="E417" s="25"/>
      <c r="H417" s="26"/>
    </row>
    <row r="418">
      <c r="E418" s="25"/>
      <c r="H418" s="26"/>
    </row>
    <row r="419">
      <c r="E419" s="25"/>
      <c r="H419" s="26"/>
    </row>
    <row r="420">
      <c r="E420" s="25"/>
      <c r="H420" s="26"/>
    </row>
    <row r="421">
      <c r="E421" s="25"/>
      <c r="H421" s="26"/>
    </row>
    <row r="422">
      <c r="E422" s="25"/>
      <c r="H422" s="26"/>
    </row>
    <row r="423">
      <c r="E423" s="25"/>
      <c r="H423" s="26"/>
    </row>
    <row r="424">
      <c r="E424" s="25"/>
      <c r="H424" s="26"/>
    </row>
    <row r="425">
      <c r="E425" s="25"/>
      <c r="H425" s="26"/>
    </row>
    <row r="426">
      <c r="E426" s="25"/>
      <c r="H426" s="26"/>
    </row>
    <row r="427">
      <c r="E427" s="25"/>
      <c r="H427" s="26"/>
    </row>
    <row r="428">
      <c r="E428" s="25"/>
      <c r="H428" s="26"/>
    </row>
    <row r="429">
      <c r="E429" s="25"/>
      <c r="H429" s="26"/>
    </row>
    <row r="430">
      <c r="E430" s="25"/>
      <c r="H430" s="26"/>
    </row>
    <row r="431">
      <c r="E431" s="25"/>
      <c r="H431" s="26"/>
    </row>
    <row r="432">
      <c r="E432" s="25"/>
      <c r="H432" s="26"/>
    </row>
    <row r="433">
      <c r="E433" s="25"/>
      <c r="H433" s="26"/>
    </row>
    <row r="434">
      <c r="E434" s="25"/>
      <c r="H434" s="26"/>
    </row>
    <row r="435">
      <c r="E435" s="25"/>
      <c r="H435" s="26"/>
    </row>
    <row r="436">
      <c r="E436" s="25"/>
      <c r="H436" s="26"/>
    </row>
    <row r="437">
      <c r="E437" s="25"/>
      <c r="H437" s="26"/>
    </row>
    <row r="438">
      <c r="E438" s="25"/>
      <c r="H438" s="26"/>
    </row>
    <row r="439">
      <c r="E439" s="25"/>
      <c r="H439" s="26"/>
    </row>
    <row r="440">
      <c r="E440" s="25"/>
      <c r="H440" s="26"/>
    </row>
    <row r="441">
      <c r="E441" s="25"/>
      <c r="H441" s="26"/>
    </row>
    <row r="442">
      <c r="E442" s="25"/>
      <c r="H442" s="26"/>
    </row>
    <row r="443">
      <c r="E443" s="25"/>
      <c r="H443" s="26"/>
    </row>
    <row r="444">
      <c r="E444" s="25"/>
      <c r="H444" s="26"/>
    </row>
    <row r="445">
      <c r="E445" s="25"/>
      <c r="H445" s="26"/>
    </row>
    <row r="446">
      <c r="E446" s="25"/>
      <c r="H446" s="26"/>
    </row>
    <row r="447">
      <c r="E447" s="25"/>
      <c r="H447" s="26"/>
    </row>
    <row r="448">
      <c r="E448" s="25"/>
      <c r="H448" s="26"/>
    </row>
    <row r="449">
      <c r="E449" s="25"/>
      <c r="H449" s="26"/>
    </row>
    <row r="450">
      <c r="E450" s="25"/>
      <c r="H450" s="26"/>
    </row>
    <row r="451">
      <c r="E451" s="25"/>
      <c r="H451" s="26"/>
    </row>
    <row r="452">
      <c r="E452" s="25"/>
      <c r="H452" s="26"/>
    </row>
    <row r="453">
      <c r="E453" s="25"/>
      <c r="H453" s="26"/>
    </row>
    <row r="454">
      <c r="E454" s="25"/>
      <c r="H454" s="26"/>
    </row>
    <row r="455">
      <c r="E455" s="25"/>
      <c r="H455" s="26"/>
    </row>
    <row r="456">
      <c r="E456" s="25"/>
      <c r="H456" s="26"/>
    </row>
    <row r="457">
      <c r="E457" s="25"/>
      <c r="H457" s="26"/>
    </row>
    <row r="458">
      <c r="E458" s="25"/>
      <c r="H458" s="26"/>
    </row>
    <row r="459">
      <c r="E459" s="25"/>
      <c r="H459" s="26"/>
    </row>
    <row r="460">
      <c r="E460" s="25"/>
      <c r="H460" s="26"/>
    </row>
    <row r="461">
      <c r="E461" s="25"/>
      <c r="H461" s="26"/>
    </row>
    <row r="462">
      <c r="E462" s="25"/>
      <c r="H462" s="26"/>
    </row>
    <row r="463">
      <c r="E463" s="25"/>
      <c r="H463" s="26"/>
    </row>
    <row r="464">
      <c r="E464" s="25"/>
      <c r="H464" s="26"/>
    </row>
    <row r="465">
      <c r="E465" s="25"/>
      <c r="H465" s="26"/>
    </row>
    <row r="466">
      <c r="E466" s="25"/>
      <c r="H466" s="26"/>
    </row>
    <row r="467">
      <c r="E467" s="25"/>
      <c r="H467" s="26"/>
    </row>
    <row r="468">
      <c r="E468" s="25"/>
      <c r="H468" s="26"/>
    </row>
    <row r="469">
      <c r="E469" s="25"/>
      <c r="H469" s="26"/>
    </row>
    <row r="470">
      <c r="E470" s="25"/>
      <c r="H470" s="26"/>
    </row>
    <row r="471">
      <c r="E471" s="25"/>
      <c r="H471" s="26"/>
    </row>
    <row r="472">
      <c r="E472" s="25"/>
      <c r="H472" s="26"/>
    </row>
    <row r="473">
      <c r="E473" s="25"/>
      <c r="H473" s="26"/>
    </row>
    <row r="474">
      <c r="E474" s="25"/>
      <c r="H474" s="26"/>
    </row>
    <row r="475">
      <c r="E475" s="25"/>
      <c r="H475" s="26"/>
    </row>
    <row r="476">
      <c r="E476" s="25"/>
      <c r="H476" s="26"/>
    </row>
    <row r="477">
      <c r="E477" s="25"/>
      <c r="H477" s="26"/>
    </row>
    <row r="478">
      <c r="E478" s="25"/>
      <c r="H478" s="26"/>
    </row>
    <row r="479">
      <c r="E479" s="25"/>
      <c r="H479" s="26"/>
    </row>
    <row r="480">
      <c r="E480" s="25"/>
      <c r="H480" s="26"/>
    </row>
    <row r="481">
      <c r="E481" s="25"/>
      <c r="H481" s="26"/>
    </row>
    <row r="482">
      <c r="E482" s="25"/>
      <c r="H482" s="26"/>
    </row>
    <row r="483">
      <c r="E483" s="25"/>
      <c r="H483" s="26"/>
    </row>
    <row r="484">
      <c r="E484" s="25"/>
      <c r="H484" s="26"/>
    </row>
    <row r="485">
      <c r="E485" s="25"/>
      <c r="H485" s="26"/>
    </row>
    <row r="486">
      <c r="E486" s="25"/>
      <c r="H486" s="26"/>
    </row>
    <row r="487">
      <c r="E487" s="25"/>
      <c r="H487" s="26"/>
    </row>
    <row r="488">
      <c r="E488" s="25"/>
      <c r="H488" s="26"/>
    </row>
    <row r="489">
      <c r="E489" s="25"/>
      <c r="H489" s="26"/>
    </row>
    <row r="490">
      <c r="E490" s="25"/>
      <c r="H490" s="26"/>
    </row>
    <row r="491">
      <c r="E491" s="25"/>
      <c r="H491" s="26"/>
    </row>
    <row r="492">
      <c r="E492" s="25"/>
      <c r="H492" s="26"/>
    </row>
    <row r="493">
      <c r="E493" s="25"/>
      <c r="H493" s="26"/>
    </row>
    <row r="494">
      <c r="E494" s="25"/>
      <c r="H494" s="26"/>
    </row>
    <row r="495">
      <c r="E495" s="25"/>
      <c r="H495" s="26"/>
    </row>
    <row r="496">
      <c r="E496" s="25"/>
      <c r="H496" s="26"/>
    </row>
    <row r="497">
      <c r="E497" s="25"/>
      <c r="H497" s="26"/>
    </row>
    <row r="498">
      <c r="E498" s="25"/>
      <c r="H498" s="26"/>
    </row>
    <row r="499">
      <c r="E499" s="25"/>
      <c r="H499" s="26"/>
    </row>
    <row r="500">
      <c r="E500" s="25"/>
      <c r="H500" s="26"/>
    </row>
    <row r="501">
      <c r="E501" s="25"/>
      <c r="H501" s="26"/>
    </row>
    <row r="502">
      <c r="E502" s="25"/>
      <c r="H502" s="26"/>
    </row>
    <row r="503">
      <c r="E503" s="25"/>
      <c r="H503" s="26"/>
    </row>
    <row r="504">
      <c r="E504" s="25"/>
      <c r="H504" s="26"/>
    </row>
    <row r="505">
      <c r="E505" s="25"/>
      <c r="H505" s="26"/>
    </row>
    <row r="506">
      <c r="E506" s="25"/>
      <c r="H506" s="26"/>
    </row>
    <row r="507">
      <c r="E507" s="25"/>
      <c r="H507" s="26"/>
    </row>
    <row r="508">
      <c r="E508" s="25"/>
      <c r="H508" s="26"/>
    </row>
    <row r="509">
      <c r="E509" s="25"/>
      <c r="H509" s="26"/>
    </row>
    <row r="510">
      <c r="E510" s="25"/>
      <c r="H510" s="26"/>
    </row>
    <row r="511">
      <c r="E511" s="25"/>
      <c r="H511" s="26"/>
    </row>
    <row r="512">
      <c r="E512" s="25"/>
      <c r="H512" s="26"/>
    </row>
    <row r="513">
      <c r="E513" s="25"/>
      <c r="H513" s="26"/>
    </row>
    <row r="514">
      <c r="E514" s="25"/>
      <c r="H514" s="26"/>
    </row>
    <row r="515">
      <c r="E515" s="25"/>
      <c r="H515" s="26"/>
    </row>
    <row r="516">
      <c r="E516" s="25"/>
      <c r="H516" s="26"/>
    </row>
    <row r="517">
      <c r="E517" s="25"/>
      <c r="H517" s="26"/>
    </row>
    <row r="518">
      <c r="E518" s="25"/>
      <c r="H518" s="26"/>
    </row>
    <row r="519">
      <c r="E519" s="25"/>
      <c r="H519" s="26"/>
    </row>
    <row r="520">
      <c r="E520" s="25"/>
      <c r="H520" s="26"/>
    </row>
    <row r="521">
      <c r="E521" s="25"/>
      <c r="H521" s="26"/>
    </row>
    <row r="522">
      <c r="E522" s="25"/>
      <c r="H522" s="26"/>
    </row>
    <row r="523">
      <c r="E523" s="25"/>
      <c r="H523" s="26"/>
    </row>
    <row r="524">
      <c r="E524" s="25"/>
      <c r="H524" s="26"/>
    </row>
    <row r="525">
      <c r="E525" s="25"/>
      <c r="H525" s="26"/>
    </row>
    <row r="526">
      <c r="E526" s="25"/>
      <c r="H526" s="26"/>
    </row>
    <row r="527">
      <c r="E527" s="25"/>
      <c r="H527" s="26"/>
    </row>
    <row r="528">
      <c r="E528" s="25"/>
      <c r="H528" s="26"/>
    </row>
    <row r="529">
      <c r="E529" s="25"/>
      <c r="H529" s="26"/>
    </row>
    <row r="530">
      <c r="E530" s="25"/>
      <c r="H530" s="26"/>
    </row>
    <row r="531">
      <c r="E531" s="25"/>
      <c r="H531" s="26"/>
    </row>
    <row r="532">
      <c r="E532" s="25"/>
      <c r="H532" s="26"/>
    </row>
    <row r="533">
      <c r="E533" s="25"/>
      <c r="H533" s="26"/>
    </row>
    <row r="534">
      <c r="E534" s="25"/>
      <c r="H534" s="26"/>
    </row>
    <row r="535">
      <c r="E535" s="25"/>
      <c r="H535" s="26"/>
    </row>
    <row r="536">
      <c r="E536" s="25"/>
      <c r="H536" s="26"/>
    </row>
    <row r="537">
      <c r="E537" s="25"/>
      <c r="H537" s="26"/>
    </row>
    <row r="538">
      <c r="E538" s="25"/>
      <c r="H538" s="26"/>
    </row>
    <row r="539">
      <c r="E539" s="25"/>
      <c r="H539" s="26"/>
    </row>
    <row r="540">
      <c r="E540" s="25"/>
      <c r="H540" s="26"/>
    </row>
    <row r="541">
      <c r="E541" s="25"/>
      <c r="H541" s="26"/>
    </row>
    <row r="542">
      <c r="E542" s="25"/>
      <c r="H542" s="26"/>
    </row>
    <row r="543">
      <c r="E543" s="25"/>
      <c r="H543" s="26"/>
    </row>
    <row r="544">
      <c r="E544" s="25"/>
      <c r="H544" s="26"/>
    </row>
    <row r="545">
      <c r="E545" s="25"/>
      <c r="H545" s="26"/>
    </row>
    <row r="546">
      <c r="E546" s="25"/>
      <c r="H546" s="26"/>
    </row>
    <row r="547">
      <c r="E547" s="25"/>
      <c r="H547" s="26"/>
    </row>
    <row r="548">
      <c r="E548" s="25"/>
      <c r="H548" s="26"/>
    </row>
    <row r="549">
      <c r="E549" s="25"/>
      <c r="H549" s="26"/>
    </row>
    <row r="550">
      <c r="E550" s="25"/>
      <c r="H550" s="26"/>
    </row>
    <row r="551">
      <c r="E551" s="25"/>
      <c r="H551" s="26"/>
    </row>
    <row r="552">
      <c r="E552" s="25"/>
      <c r="H552" s="26"/>
    </row>
    <row r="553">
      <c r="E553" s="25"/>
      <c r="H553" s="26"/>
    </row>
    <row r="554">
      <c r="E554" s="25"/>
      <c r="H554" s="26"/>
    </row>
    <row r="555">
      <c r="E555" s="25"/>
      <c r="H555" s="26"/>
    </row>
    <row r="556">
      <c r="E556" s="25"/>
      <c r="H556" s="26"/>
    </row>
    <row r="557">
      <c r="E557" s="25"/>
      <c r="H557" s="26"/>
    </row>
    <row r="558">
      <c r="E558" s="25"/>
      <c r="H558" s="26"/>
    </row>
    <row r="559">
      <c r="E559" s="25"/>
      <c r="H559" s="26"/>
    </row>
    <row r="560">
      <c r="E560" s="25"/>
      <c r="H560" s="26"/>
    </row>
    <row r="561">
      <c r="E561" s="25"/>
      <c r="H561" s="26"/>
    </row>
    <row r="562">
      <c r="E562" s="25"/>
      <c r="H562" s="26"/>
    </row>
    <row r="563">
      <c r="E563" s="25"/>
      <c r="H563" s="26"/>
    </row>
    <row r="564">
      <c r="E564" s="25"/>
      <c r="H564" s="26"/>
    </row>
    <row r="565">
      <c r="E565" s="25"/>
      <c r="H565" s="26"/>
    </row>
    <row r="566">
      <c r="E566" s="25"/>
      <c r="H566" s="26"/>
    </row>
    <row r="567">
      <c r="E567" s="25"/>
      <c r="H567" s="26"/>
    </row>
    <row r="568">
      <c r="E568" s="25"/>
      <c r="H568" s="26"/>
    </row>
    <row r="569">
      <c r="E569" s="25"/>
      <c r="H569" s="26"/>
    </row>
    <row r="570">
      <c r="E570" s="25"/>
      <c r="H570" s="26"/>
    </row>
    <row r="571">
      <c r="E571" s="25"/>
      <c r="H571" s="26"/>
    </row>
    <row r="572">
      <c r="E572" s="25"/>
      <c r="H572" s="26"/>
    </row>
    <row r="573">
      <c r="E573" s="25"/>
      <c r="H573" s="26"/>
    </row>
    <row r="574">
      <c r="E574" s="25"/>
      <c r="H574" s="26"/>
    </row>
    <row r="575">
      <c r="E575" s="25"/>
      <c r="H575" s="26"/>
    </row>
    <row r="576">
      <c r="E576" s="25"/>
      <c r="H576" s="26"/>
    </row>
    <row r="577">
      <c r="E577" s="25"/>
      <c r="H577" s="26"/>
    </row>
    <row r="578">
      <c r="E578" s="25"/>
      <c r="H578" s="26"/>
    </row>
    <row r="579">
      <c r="E579" s="25"/>
      <c r="H579" s="26"/>
    </row>
    <row r="580">
      <c r="E580" s="25"/>
      <c r="H580" s="26"/>
    </row>
    <row r="581">
      <c r="E581" s="25"/>
      <c r="H581" s="26"/>
    </row>
    <row r="582">
      <c r="E582" s="25"/>
      <c r="H582" s="26"/>
    </row>
    <row r="583">
      <c r="E583" s="25"/>
      <c r="H583" s="26"/>
    </row>
    <row r="584">
      <c r="E584" s="25"/>
      <c r="H584" s="26"/>
    </row>
    <row r="585">
      <c r="E585" s="25"/>
      <c r="H585" s="26"/>
    </row>
    <row r="586">
      <c r="E586" s="25"/>
      <c r="H586" s="26"/>
    </row>
    <row r="587">
      <c r="E587" s="25"/>
      <c r="H587" s="26"/>
    </row>
    <row r="588">
      <c r="E588" s="25"/>
      <c r="H588" s="26"/>
    </row>
    <row r="589">
      <c r="E589" s="25"/>
      <c r="H589" s="26"/>
    </row>
    <row r="590">
      <c r="E590" s="25"/>
      <c r="H590" s="26"/>
    </row>
    <row r="591">
      <c r="E591" s="25"/>
      <c r="H591" s="26"/>
    </row>
    <row r="592">
      <c r="E592" s="25"/>
      <c r="H592" s="26"/>
    </row>
    <row r="593">
      <c r="E593" s="25"/>
      <c r="H593" s="26"/>
    </row>
    <row r="594">
      <c r="E594" s="25"/>
      <c r="H594" s="26"/>
    </row>
    <row r="595">
      <c r="E595" s="25"/>
      <c r="H595" s="26"/>
    </row>
    <row r="596">
      <c r="E596" s="25"/>
      <c r="H596" s="26"/>
    </row>
    <row r="597">
      <c r="E597" s="25"/>
      <c r="H597" s="26"/>
    </row>
    <row r="598">
      <c r="E598" s="25"/>
      <c r="H598" s="26"/>
    </row>
    <row r="599">
      <c r="E599" s="25"/>
      <c r="H599" s="26"/>
    </row>
    <row r="600">
      <c r="E600" s="25"/>
      <c r="H600" s="26"/>
    </row>
    <row r="601">
      <c r="E601" s="25"/>
      <c r="H601" s="26"/>
    </row>
    <row r="602">
      <c r="E602" s="25"/>
      <c r="H602" s="26"/>
    </row>
    <row r="603">
      <c r="E603" s="25"/>
      <c r="H603" s="26"/>
    </row>
    <row r="604">
      <c r="E604" s="25"/>
      <c r="H604" s="26"/>
    </row>
    <row r="605">
      <c r="E605" s="25"/>
      <c r="H605" s="26"/>
    </row>
    <row r="606">
      <c r="E606" s="25"/>
      <c r="H606" s="26"/>
    </row>
    <row r="607">
      <c r="E607" s="25"/>
      <c r="H607" s="26"/>
    </row>
    <row r="608">
      <c r="E608" s="25"/>
      <c r="H608" s="26"/>
    </row>
    <row r="609">
      <c r="E609" s="25"/>
      <c r="H609" s="26"/>
    </row>
    <row r="610">
      <c r="E610" s="25"/>
      <c r="H610" s="26"/>
    </row>
    <row r="611">
      <c r="E611" s="25"/>
      <c r="H611" s="26"/>
    </row>
    <row r="612">
      <c r="E612" s="25"/>
      <c r="H612" s="26"/>
    </row>
    <row r="613">
      <c r="E613" s="25"/>
      <c r="H613" s="26"/>
    </row>
    <row r="614">
      <c r="E614" s="25"/>
      <c r="H614" s="26"/>
    </row>
    <row r="615">
      <c r="E615" s="25"/>
      <c r="H615" s="26"/>
    </row>
    <row r="616">
      <c r="E616" s="25"/>
      <c r="H616" s="26"/>
    </row>
    <row r="617">
      <c r="E617" s="25"/>
      <c r="H617" s="26"/>
    </row>
    <row r="618">
      <c r="E618" s="25"/>
      <c r="H618" s="26"/>
    </row>
    <row r="619">
      <c r="E619" s="25"/>
      <c r="H619" s="26"/>
    </row>
    <row r="620">
      <c r="E620" s="25"/>
      <c r="H620" s="26"/>
    </row>
    <row r="621">
      <c r="E621" s="25"/>
      <c r="H621" s="26"/>
    </row>
    <row r="622">
      <c r="E622" s="25"/>
      <c r="H622" s="26"/>
    </row>
    <row r="623">
      <c r="E623" s="25"/>
      <c r="H623" s="26"/>
    </row>
    <row r="624">
      <c r="E624" s="25"/>
      <c r="H624" s="26"/>
    </row>
    <row r="625">
      <c r="E625" s="25"/>
      <c r="H625" s="26"/>
    </row>
    <row r="626">
      <c r="E626" s="25"/>
      <c r="H626" s="26"/>
    </row>
    <row r="627">
      <c r="E627" s="25"/>
      <c r="H627" s="26"/>
    </row>
    <row r="628">
      <c r="E628" s="25"/>
      <c r="H628" s="26"/>
    </row>
    <row r="629">
      <c r="E629" s="25"/>
      <c r="H629" s="26"/>
    </row>
    <row r="630">
      <c r="E630" s="25"/>
      <c r="H630" s="26"/>
    </row>
    <row r="631">
      <c r="E631" s="25"/>
      <c r="H631" s="26"/>
    </row>
    <row r="632">
      <c r="E632" s="25"/>
      <c r="H632" s="26"/>
    </row>
    <row r="633">
      <c r="E633" s="25"/>
      <c r="H633" s="26"/>
    </row>
    <row r="634">
      <c r="E634" s="25"/>
      <c r="H634" s="26"/>
    </row>
    <row r="635">
      <c r="E635" s="25"/>
      <c r="H635" s="26"/>
    </row>
    <row r="636">
      <c r="E636" s="25"/>
      <c r="H636" s="26"/>
    </row>
    <row r="637">
      <c r="E637" s="25"/>
      <c r="H637" s="26"/>
    </row>
    <row r="638">
      <c r="E638" s="25"/>
      <c r="H638" s="26"/>
    </row>
    <row r="639">
      <c r="E639" s="25"/>
      <c r="H639" s="26"/>
    </row>
    <row r="640">
      <c r="E640" s="25"/>
      <c r="H640" s="26"/>
    </row>
    <row r="641">
      <c r="E641" s="25"/>
      <c r="H641" s="26"/>
    </row>
    <row r="642">
      <c r="E642" s="25"/>
      <c r="H642" s="26"/>
    </row>
    <row r="643">
      <c r="E643" s="25"/>
      <c r="H643" s="26"/>
    </row>
    <row r="644">
      <c r="E644" s="25"/>
      <c r="H644" s="26"/>
    </row>
    <row r="645">
      <c r="E645" s="25"/>
      <c r="H645" s="26"/>
    </row>
    <row r="646">
      <c r="E646" s="25"/>
      <c r="H646" s="26"/>
    </row>
    <row r="647">
      <c r="E647" s="25"/>
      <c r="H647" s="26"/>
    </row>
    <row r="648">
      <c r="E648" s="25"/>
      <c r="H648" s="26"/>
    </row>
    <row r="649">
      <c r="E649" s="25"/>
      <c r="H649" s="26"/>
    </row>
    <row r="650">
      <c r="E650" s="25"/>
      <c r="H650" s="26"/>
    </row>
    <row r="651">
      <c r="E651" s="25"/>
      <c r="H651" s="26"/>
    </row>
    <row r="652">
      <c r="E652" s="25"/>
      <c r="H652" s="26"/>
    </row>
    <row r="653">
      <c r="E653" s="25"/>
      <c r="H653" s="26"/>
    </row>
    <row r="654">
      <c r="E654" s="25"/>
      <c r="H654" s="26"/>
    </row>
    <row r="655">
      <c r="E655" s="25"/>
      <c r="H655" s="26"/>
    </row>
    <row r="656">
      <c r="E656" s="25"/>
      <c r="H656" s="26"/>
    </row>
    <row r="657">
      <c r="E657" s="25"/>
      <c r="H657" s="26"/>
    </row>
    <row r="658">
      <c r="E658" s="25"/>
      <c r="H658" s="26"/>
    </row>
    <row r="659">
      <c r="E659" s="25"/>
      <c r="H659" s="26"/>
    </row>
    <row r="660">
      <c r="E660" s="25"/>
      <c r="H660" s="26"/>
    </row>
    <row r="661">
      <c r="E661" s="25"/>
      <c r="H661" s="26"/>
    </row>
    <row r="662">
      <c r="E662" s="25"/>
      <c r="H662" s="26"/>
    </row>
    <row r="663">
      <c r="E663" s="25"/>
      <c r="H663" s="26"/>
    </row>
    <row r="664">
      <c r="E664" s="25"/>
      <c r="H664" s="26"/>
    </row>
    <row r="665">
      <c r="E665" s="25"/>
      <c r="H665" s="26"/>
    </row>
    <row r="666">
      <c r="E666" s="25"/>
      <c r="H666" s="26"/>
    </row>
    <row r="667">
      <c r="E667" s="25"/>
      <c r="H667" s="26"/>
    </row>
    <row r="668">
      <c r="E668" s="25"/>
      <c r="H668" s="26"/>
    </row>
    <row r="669">
      <c r="E669" s="25"/>
      <c r="H669" s="26"/>
    </row>
    <row r="670">
      <c r="E670" s="25"/>
      <c r="H670" s="26"/>
    </row>
    <row r="671">
      <c r="E671" s="25"/>
      <c r="H671" s="26"/>
    </row>
    <row r="672">
      <c r="E672" s="25"/>
      <c r="H672" s="26"/>
    </row>
    <row r="673">
      <c r="E673" s="25"/>
      <c r="H673" s="26"/>
    </row>
    <row r="674">
      <c r="E674" s="25"/>
      <c r="H674" s="26"/>
    </row>
    <row r="675">
      <c r="E675" s="25"/>
      <c r="H675" s="26"/>
    </row>
    <row r="676">
      <c r="E676" s="25"/>
      <c r="H676" s="26"/>
    </row>
    <row r="677">
      <c r="E677" s="25"/>
      <c r="H677" s="26"/>
    </row>
    <row r="678">
      <c r="E678" s="25"/>
      <c r="H678" s="26"/>
    </row>
    <row r="679">
      <c r="E679" s="25"/>
      <c r="H679" s="26"/>
    </row>
    <row r="680">
      <c r="E680" s="25"/>
      <c r="H680" s="26"/>
    </row>
    <row r="681">
      <c r="E681" s="25"/>
      <c r="H681" s="26"/>
    </row>
    <row r="682">
      <c r="E682" s="25"/>
      <c r="H682" s="26"/>
    </row>
    <row r="683">
      <c r="E683" s="25"/>
      <c r="H683" s="26"/>
    </row>
    <row r="684">
      <c r="E684" s="25"/>
      <c r="H684" s="26"/>
    </row>
    <row r="685">
      <c r="E685" s="25"/>
      <c r="H685" s="26"/>
    </row>
    <row r="686">
      <c r="E686" s="25"/>
      <c r="H686" s="26"/>
    </row>
    <row r="687">
      <c r="E687" s="25"/>
      <c r="H687" s="26"/>
    </row>
    <row r="688">
      <c r="E688" s="25"/>
      <c r="H688" s="26"/>
    </row>
    <row r="689">
      <c r="E689" s="25"/>
      <c r="H689" s="26"/>
    </row>
    <row r="690">
      <c r="E690" s="25"/>
      <c r="H690" s="26"/>
    </row>
    <row r="691">
      <c r="E691" s="25"/>
      <c r="H691" s="26"/>
    </row>
    <row r="692">
      <c r="E692" s="25"/>
      <c r="H692" s="26"/>
    </row>
    <row r="693">
      <c r="E693" s="25"/>
      <c r="H693" s="26"/>
    </row>
    <row r="694">
      <c r="E694" s="25"/>
      <c r="H694" s="26"/>
    </row>
    <row r="695">
      <c r="E695" s="25"/>
      <c r="H695" s="26"/>
    </row>
    <row r="696">
      <c r="E696" s="25"/>
      <c r="H696" s="26"/>
    </row>
    <row r="697">
      <c r="E697" s="25"/>
      <c r="H697" s="26"/>
    </row>
    <row r="698">
      <c r="E698" s="25"/>
      <c r="H698" s="26"/>
    </row>
    <row r="699">
      <c r="E699" s="25"/>
      <c r="H699" s="26"/>
    </row>
    <row r="700">
      <c r="E700" s="25"/>
      <c r="H700" s="26"/>
    </row>
    <row r="701">
      <c r="E701" s="25"/>
      <c r="H701" s="26"/>
    </row>
    <row r="702">
      <c r="E702" s="25"/>
      <c r="H702" s="26"/>
    </row>
    <row r="703">
      <c r="E703" s="25"/>
      <c r="H703" s="26"/>
    </row>
    <row r="704">
      <c r="E704" s="25"/>
      <c r="H704" s="26"/>
    </row>
    <row r="705">
      <c r="E705" s="25"/>
      <c r="H705" s="26"/>
    </row>
    <row r="706">
      <c r="E706" s="25"/>
      <c r="H706" s="26"/>
    </row>
    <row r="707">
      <c r="E707" s="25"/>
      <c r="H707" s="26"/>
    </row>
    <row r="708">
      <c r="E708" s="25"/>
      <c r="H708" s="26"/>
    </row>
    <row r="709">
      <c r="E709" s="25"/>
      <c r="H709" s="26"/>
    </row>
    <row r="710">
      <c r="E710" s="25"/>
      <c r="H710" s="26"/>
    </row>
    <row r="711">
      <c r="E711" s="25"/>
      <c r="H711" s="26"/>
    </row>
    <row r="712">
      <c r="E712" s="25"/>
      <c r="H712" s="26"/>
    </row>
    <row r="713">
      <c r="E713" s="25"/>
      <c r="H713" s="26"/>
    </row>
    <row r="714">
      <c r="E714" s="25"/>
      <c r="H714" s="26"/>
    </row>
    <row r="715">
      <c r="E715" s="25"/>
      <c r="H715" s="26"/>
    </row>
    <row r="716">
      <c r="E716" s="25"/>
      <c r="H716" s="26"/>
    </row>
    <row r="717">
      <c r="E717" s="25"/>
      <c r="H717" s="26"/>
    </row>
    <row r="718">
      <c r="E718" s="25"/>
      <c r="H718" s="26"/>
    </row>
    <row r="719">
      <c r="E719" s="25"/>
      <c r="H719" s="26"/>
    </row>
    <row r="720">
      <c r="E720" s="25"/>
      <c r="H720" s="26"/>
    </row>
    <row r="721">
      <c r="E721" s="25"/>
      <c r="H721" s="26"/>
    </row>
    <row r="722">
      <c r="E722" s="25"/>
      <c r="H722" s="26"/>
    </row>
    <row r="723">
      <c r="E723" s="25"/>
      <c r="H723" s="26"/>
    </row>
    <row r="724">
      <c r="E724" s="25"/>
      <c r="H724" s="26"/>
    </row>
    <row r="725">
      <c r="E725" s="25"/>
      <c r="H725" s="26"/>
    </row>
    <row r="726">
      <c r="E726" s="25"/>
      <c r="H726" s="26"/>
    </row>
    <row r="727">
      <c r="E727" s="25"/>
      <c r="H727" s="26"/>
    </row>
    <row r="728">
      <c r="E728" s="25"/>
      <c r="H728" s="26"/>
    </row>
    <row r="729">
      <c r="E729" s="25"/>
      <c r="H729" s="26"/>
    </row>
    <row r="730">
      <c r="E730" s="25"/>
      <c r="H730" s="26"/>
    </row>
    <row r="731">
      <c r="E731" s="25"/>
      <c r="H731" s="26"/>
    </row>
    <row r="732">
      <c r="E732" s="25"/>
      <c r="H732" s="26"/>
    </row>
    <row r="733">
      <c r="E733" s="25"/>
      <c r="H733" s="26"/>
    </row>
    <row r="734">
      <c r="E734" s="25"/>
      <c r="H734" s="26"/>
    </row>
    <row r="735">
      <c r="E735" s="25"/>
      <c r="H735" s="26"/>
    </row>
    <row r="736">
      <c r="E736" s="25"/>
      <c r="H736" s="26"/>
    </row>
    <row r="737">
      <c r="E737" s="25"/>
      <c r="H737" s="26"/>
    </row>
    <row r="738">
      <c r="E738" s="25"/>
      <c r="H738" s="26"/>
    </row>
    <row r="739">
      <c r="E739" s="25"/>
      <c r="H739" s="26"/>
    </row>
    <row r="740">
      <c r="E740" s="25"/>
      <c r="H740" s="26"/>
    </row>
    <row r="741">
      <c r="E741" s="25"/>
      <c r="H741" s="26"/>
    </row>
    <row r="742">
      <c r="E742" s="25"/>
      <c r="H742" s="26"/>
    </row>
    <row r="743">
      <c r="E743" s="25"/>
      <c r="H743" s="26"/>
    </row>
    <row r="744">
      <c r="E744" s="25"/>
      <c r="H744" s="26"/>
    </row>
    <row r="745">
      <c r="E745" s="25"/>
      <c r="H745" s="26"/>
    </row>
    <row r="746">
      <c r="E746" s="25"/>
      <c r="H746" s="26"/>
    </row>
    <row r="747">
      <c r="E747" s="25"/>
      <c r="H747" s="26"/>
    </row>
    <row r="748">
      <c r="E748" s="25"/>
      <c r="H748" s="26"/>
    </row>
    <row r="749">
      <c r="E749" s="25"/>
      <c r="H749" s="26"/>
    </row>
    <row r="750">
      <c r="E750" s="25"/>
      <c r="H750" s="26"/>
    </row>
    <row r="751">
      <c r="E751" s="25"/>
      <c r="H751" s="26"/>
    </row>
    <row r="752">
      <c r="E752" s="25"/>
      <c r="H752" s="26"/>
    </row>
    <row r="753">
      <c r="E753" s="25"/>
      <c r="H753" s="26"/>
    </row>
    <row r="754">
      <c r="E754" s="25"/>
      <c r="H754" s="26"/>
    </row>
    <row r="755">
      <c r="E755" s="25"/>
      <c r="H755" s="26"/>
    </row>
    <row r="756">
      <c r="E756" s="25"/>
      <c r="H756" s="26"/>
    </row>
    <row r="757">
      <c r="E757" s="25"/>
      <c r="H757" s="26"/>
    </row>
    <row r="758">
      <c r="E758" s="25"/>
      <c r="H758" s="26"/>
    </row>
    <row r="759">
      <c r="E759" s="25"/>
      <c r="H759" s="26"/>
    </row>
    <row r="760">
      <c r="E760" s="25"/>
      <c r="H760" s="26"/>
    </row>
    <row r="761">
      <c r="E761" s="25"/>
      <c r="H761" s="26"/>
    </row>
    <row r="762">
      <c r="E762" s="25"/>
      <c r="H762" s="26"/>
    </row>
    <row r="763">
      <c r="E763" s="25"/>
      <c r="H763" s="26"/>
    </row>
    <row r="764">
      <c r="E764" s="25"/>
      <c r="H764" s="26"/>
    </row>
    <row r="765">
      <c r="E765" s="25"/>
      <c r="H765" s="26"/>
    </row>
    <row r="766">
      <c r="E766" s="25"/>
      <c r="H766" s="26"/>
    </row>
    <row r="767">
      <c r="E767" s="25"/>
      <c r="H767" s="26"/>
    </row>
    <row r="768">
      <c r="E768" s="25"/>
      <c r="H768" s="26"/>
    </row>
    <row r="769">
      <c r="E769" s="25"/>
      <c r="H769" s="26"/>
    </row>
    <row r="770">
      <c r="E770" s="25"/>
      <c r="H770" s="26"/>
    </row>
    <row r="771">
      <c r="E771" s="25"/>
      <c r="H771" s="26"/>
    </row>
    <row r="772">
      <c r="E772" s="25"/>
      <c r="H772" s="26"/>
    </row>
    <row r="773">
      <c r="E773" s="25"/>
      <c r="H773" s="26"/>
    </row>
    <row r="774">
      <c r="E774" s="25"/>
      <c r="H774" s="26"/>
    </row>
    <row r="775">
      <c r="E775" s="25"/>
      <c r="H775" s="26"/>
    </row>
    <row r="776">
      <c r="E776" s="25"/>
      <c r="H776" s="26"/>
    </row>
    <row r="777">
      <c r="E777" s="25"/>
      <c r="H777" s="26"/>
    </row>
    <row r="778">
      <c r="E778" s="25"/>
      <c r="H778" s="26"/>
    </row>
    <row r="779">
      <c r="E779" s="25"/>
      <c r="H779" s="26"/>
    </row>
    <row r="780">
      <c r="E780" s="25"/>
      <c r="H780" s="26"/>
    </row>
    <row r="781">
      <c r="E781" s="25"/>
      <c r="H781" s="26"/>
    </row>
    <row r="782">
      <c r="E782" s="25"/>
      <c r="H782" s="26"/>
    </row>
    <row r="783">
      <c r="E783" s="25"/>
      <c r="H783" s="26"/>
    </row>
    <row r="784">
      <c r="E784" s="25"/>
      <c r="H784" s="26"/>
    </row>
    <row r="785">
      <c r="E785" s="25"/>
      <c r="H785" s="26"/>
    </row>
    <row r="786">
      <c r="E786" s="25"/>
      <c r="H786" s="26"/>
    </row>
    <row r="787">
      <c r="E787" s="25"/>
      <c r="H787" s="26"/>
    </row>
    <row r="788">
      <c r="E788" s="25"/>
      <c r="H788" s="26"/>
    </row>
    <row r="789">
      <c r="E789" s="25"/>
      <c r="H789" s="26"/>
    </row>
    <row r="790">
      <c r="E790" s="25"/>
      <c r="H790" s="26"/>
    </row>
    <row r="791">
      <c r="E791" s="25"/>
      <c r="H791" s="26"/>
    </row>
    <row r="792">
      <c r="E792" s="25"/>
      <c r="H792" s="26"/>
    </row>
    <row r="793">
      <c r="E793" s="25"/>
      <c r="H793" s="26"/>
    </row>
    <row r="794">
      <c r="E794" s="25"/>
      <c r="H794" s="26"/>
    </row>
    <row r="795">
      <c r="E795" s="25"/>
      <c r="H795" s="26"/>
    </row>
    <row r="796">
      <c r="E796" s="25"/>
      <c r="H796" s="26"/>
    </row>
    <row r="797">
      <c r="E797" s="25"/>
      <c r="H797" s="26"/>
    </row>
    <row r="798">
      <c r="E798" s="25"/>
      <c r="H798" s="26"/>
    </row>
    <row r="799">
      <c r="E799" s="25"/>
      <c r="H799" s="26"/>
    </row>
    <row r="800">
      <c r="E800" s="25"/>
      <c r="H800" s="26"/>
    </row>
    <row r="801">
      <c r="E801" s="25"/>
      <c r="H801" s="26"/>
    </row>
    <row r="802">
      <c r="E802" s="25"/>
      <c r="H802" s="26"/>
    </row>
    <row r="803">
      <c r="E803" s="25"/>
      <c r="H803" s="26"/>
    </row>
    <row r="804">
      <c r="E804" s="25"/>
      <c r="H804" s="26"/>
    </row>
    <row r="805">
      <c r="E805" s="25"/>
      <c r="H805" s="26"/>
    </row>
    <row r="806">
      <c r="E806" s="25"/>
      <c r="H806" s="26"/>
    </row>
    <row r="807">
      <c r="E807" s="25"/>
      <c r="H807" s="26"/>
    </row>
    <row r="808">
      <c r="E808" s="25"/>
      <c r="H808" s="26"/>
    </row>
    <row r="809">
      <c r="E809" s="25"/>
      <c r="H809" s="26"/>
    </row>
    <row r="810">
      <c r="E810" s="25"/>
      <c r="H810" s="26"/>
    </row>
    <row r="811">
      <c r="E811" s="25"/>
      <c r="H811" s="26"/>
    </row>
    <row r="812">
      <c r="E812" s="25"/>
      <c r="H812" s="26"/>
    </row>
    <row r="813">
      <c r="E813" s="25"/>
      <c r="H813" s="26"/>
    </row>
    <row r="814">
      <c r="E814" s="25"/>
      <c r="H814" s="26"/>
    </row>
    <row r="815">
      <c r="E815" s="25"/>
      <c r="H815" s="26"/>
    </row>
    <row r="816">
      <c r="E816" s="25"/>
      <c r="H816" s="26"/>
    </row>
    <row r="817">
      <c r="E817" s="25"/>
      <c r="H817" s="26"/>
    </row>
    <row r="818">
      <c r="E818" s="25"/>
      <c r="H818" s="26"/>
    </row>
    <row r="819">
      <c r="E819" s="25"/>
      <c r="H819" s="26"/>
    </row>
    <row r="820">
      <c r="E820" s="25"/>
      <c r="H820" s="26"/>
    </row>
    <row r="821">
      <c r="E821" s="25"/>
      <c r="H821" s="26"/>
    </row>
    <row r="822">
      <c r="E822" s="25"/>
      <c r="H822" s="26"/>
    </row>
    <row r="823">
      <c r="E823" s="25"/>
      <c r="H823" s="26"/>
    </row>
    <row r="824">
      <c r="E824" s="25"/>
      <c r="H824" s="26"/>
    </row>
    <row r="825">
      <c r="E825" s="25"/>
      <c r="H825" s="26"/>
    </row>
    <row r="826">
      <c r="E826" s="25"/>
      <c r="H826" s="26"/>
    </row>
    <row r="827">
      <c r="E827" s="25"/>
      <c r="H827" s="26"/>
    </row>
    <row r="828">
      <c r="E828" s="25"/>
      <c r="H828" s="26"/>
    </row>
    <row r="829">
      <c r="E829" s="25"/>
      <c r="H829" s="26"/>
    </row>
    <row r="830">
      <c r="E830" s="25"/>
      <c r="H830" s="26"/>
    </row>
    <row r="831">
      <c r="E831" s="25"/>
      <c r="H831" s="26"/>
    </row>
    <row r="832">
      <c r="E832" s="25"/>
      <c r="H832" s="26"/>
    </row>
    <row r="833">
      <c r="E833" s="25"/>
      <c r="H833" s="26"/>
    </row>
    <row r="834">
      <c r="E834" s="25"/>
      <c r="H834" s="26"/>
    </row>
    <row r="835">
      <c r="E835" s="25"/>
      <c r="H835" s="26"/>
    </row>
    <row r="836">
      <c r="E836" s="25"/>
      <c r="H836" s="26"/>
    </row>
    <row r="837">
      <c r="E837" s="25"/>
      <c r="H837" s="26"/>
    </row>
    <row r="838">
      <c r="E838" s="25"/>
      <c r="H838" s="26"/>
    </row>
    <row r="839">
      <c r="E839" s="25"/>
      <c r="H839" s="26"/>
    </row>
    <row r="840">
      <c r="E840" s="25"/>
      <c r="H840" s="26"/>
    </row>
    <row r="841">
      <c r="E841" s="25"/>
      <c r="H841" s="26"/>
    </row>
    <row r="842">
      <c r="E842" s="25"/>
      <c r="H842" s="26"/>
    </row>
    <row r="843">
      <c r="E843" s="25"/>
      <c r="H843" s="26"/>
    </row>
    <row r="844">
      <c r="E844" s="25"/>
      <c r="H844" s="26"/>
    </row>
    <row r="845">
      <c r="E845" s="25"/>
      <c r="H845" s="26"/>
    </row>
    <row r="846">
      <c r="E846" s="25"/>
      <c r="H846" s="26"/>
    </row>
    <row r="847">
      <c r="E847" s="25"/>
      <c r="H847" s="26"/>
    </row>
    <row r="848">
      <c r="E848" s="25"/>
      <c r="H848" s="26"/>
    </row>
    <row r="849">
      <c r="E849" s="25"/>
      <c r="H849" s="26"/>
    </row>
    <row r="850">
      <c r="E850" s="25"/>
      <c r="H850" s="26"/>
    </row>
    <row r="851">
      <c r="E851" s="25"/>
      <c r="H851" s="26"/>
    </row>
    <row r="852">
      <c r="E852" s="25"/>
      <c r="H852" s="26"/>
    </row>
    <row r="853">
      <c r="E853" s="25"/>
      <c r="H853" s="26"/>
    </row>
    <row r="854">
      <c r="E854" s="25"/>
      <c r="H854" s="26"/>
    </row>
    <row r="855">
      <c r="E855" s="25"/>
      <c r="H855" s="26"/>
    </row>
    <row r="856">
      <c r="E856" s="25"/>
      <c r="H856" s="26"/>
    </row>
    <row r="857">
      <c r="E857" s="25"/>
      <c r="H857" s="26"/>
    </row>
    <row r="858">
      <c r="E858" s="25"/>
      <c r="H858" s="26"/>
    </row>
    <row r="859">
      <c r="E859" s="25"/>
      <c r="H859" s="26"/>
    </row>
    <row r="860">
      <c r="E860" s="25"/>
      <c r="H860" s="26"/>
    </row>
    <row r="861">
      <c r="E861" s="25"/>
      <c r="H861" s="26"/>
    </row>
    <row r="862">
      <c r="E862" s="25"/>
      <c r="H862" s="26"/>
    </row>
    <row r="863">
      <c r="E863" s="25"/>
      <c r="H863" s="26"/>
    </row>
    <row r="864">
      <c r="E864" s="25"/>
      <c r="H864" s="26"/>
    </row>
    <row r="865">
      <c r="E865" s="25"/>
      <c r="H865" s="26"/>
    </row>
    <row r="866">
      <c r="E866" s="25"/>
      <c r="H866" s="26"/>
    </row>
    <row r="867">
      <c r="E867" s="25"/>
      <c r="H867" s="26"/>
    </row>
    <row r="868">
      <c r="E868" s="25"/>
      <c r="H868" s="26"/>
    </row>
    <row r="869">
      <c r="E869" s="25"/>
      <c r="H869" s="26"/>
    </row>
    <row r="870">
      <c r="E870" s="25"/>
      <c r="H870" s="26"/>
    </row>
    <row r="871">
      <c r="E871" s="25"/>
      <c r="H871" s="26"/>
    </row>
    <row r="872">
      <c r="E872" s="25"/>
      <c r="H872" s="26"/>
    </row>
    <row r="873">
      <c r="E873" s="25"/>
      <c r="H873" s="26"/>
    </row>
    <row r="874">
      <c r="E874" s="25"/>
      <c r="H874" s="26"/>
    </row>
    <row r="875">
      <c r="E875" s="25"/>
      <c r="H875" s="26"/>
    </row>
    <row r="876">
      <c r="E876" s="25"/>
      <c r="H876" s="26"/>
    </row>
    <row r="877">
      <c r="E877" s="25"/>
      <c r="H877" s="26"/>
    </row>
    <row r="878">
      <c r="E878" s="25"/>
      <c r="H878" s="26"/>
    </row>
    <row r="879">
      <c r="E879" s="25"/>
      <c r="H879" s="26"/>
    </row>
    <row r="880">
      <c r="E880" s="25"/>
      <c r="H880" s="26"/>
    </row>
    <row r="881">
      <c r="E881" s="25"/>
      <c r="H881" s="26"/>
    </row>
    <row r="882">
      <c r="E882" s="25"/>
      <c r="H882" s="26"/>
    </row>
    <row r="883">
      <c r="E883" s="25"/>
      <c r="H883" s="26"/>
    </row>
    <row r="884">
      <c r="E884" s="25"/>
      <c r="H884" s="26"/>
    </row>
    <row r="885">
      <c r="E885" s="25"/>
      <c r="H885" s="26"/>
    </row>
    <row r="886">
      <c r="E886" s="25"/>
      <c r="H886" s="26"/>
    </row>
    <row r="887">
      <c r="E887" s="25"/>
      <c r="H887" s="26"/>
    </row>
    <row r="888">
      <c r="E888" s="25"/>
      <c r="H888" s="26"/>
    </row>
    <row r="889">
      <c r="E889" s="25"/>
      <c r="H889" s="26"/>
    </row>
    <row r="890">
      <c r="E890" s="25"/>
      <c r="H890" s="26"/>
    </row>
    <row r="891">
      <c r="E891" s="25"/>
      <c r="H891" s="26"/>
    </row>
    <row r="892">
      <c r="E892" s="25"/>
      <c r="H892" s="26"/>
    </row>
    <row r="893">
      <c r="E893" s="25"/>
      <c r="H893" s="26"/>
    </row>
    <row r="894">
      <c r="E894" s="25"/>
      <c r="H894" s="26"/>
    </row>
    <row r="895">
      <c r="E895" s="25"/>
      <c r="H895" s="26"/>
    </row>
    <row r="896">
      <c r="E896" s="25"/>
      <c r="H896" s="26"/>
    </row>
    <row r="897">
      <c r="E897" s="25"/>
      <c r="H897" s="26"/>
    </row>
    <row r="898">
      <c r="E898" s="25"/>
      <c r="H898" s="26"/>
    </row>
    <row r="899">
      <c r="E899" s="25"/>
      <c r="H899" s="26"/>
    </row>
    <row r="900">
      <c r="E900" s="25"/>
      <c r="H900" s="26"/>
    </row>
    <row r="901">
      <c r="E901" s="25"/>
      <c r="H901" s="26"/>
    </row>
    <row r="902">
      <c r="E902" s="25"/>
      <c r="H902" s="26"/>
    </row>
    <row r="903">
      <c r="E903" s="25"/>
      <c r="H903" s="26"/>
    </row>
    <row r="904">
      <c r="E904" s="25"/>
      <c r="H904" s="26"/>
    </row>
    <row r="905">
      <c r="E905" s="25"/>
      <c r="H905" s="26"/>
    </row>
    <row r="906">
      <c r="E906" s="25"/>
      <c r="H906" s="26"/>
    </row>
    <row r="907">
      <c r="E907" s="25"/>
      <c r="H907" s="26"/>
    </row>
    <row r="908">
      <c r="E908" s="25"/>
      <c r="H908" s="26"/>
    </row>
    <row r="909">
      <c r="E909" s="25"/>
      <c r="H909" s="26"/>
    </row>
    <row r="910">
      <c r="E910" s="25"/>
      <c r="H910" s="26"/>
    </row>
    <row r="911">
      <c r="E911" s="25"/>
      <c r="H911" s="26"/>
    </row>
    <row r="912">
      <c r="E912" s="25"/>
      <c r="H912" s="26"/>
    </row>
    <row r="913">
      <c r="E913" s="25"/>
      <c r="H913" s="26"/>
    </row>
    <row r="914">
      <c r="E914" s="25"/>
      <c r="H914" s="26"/>
    </row>
    <row r="915">
      <c r="E915" s="25"/>
      <c r="H915" s="26"/>
    </row>
    <row r="916">
      <c r="E916" s="25"/>
      <c r="H916" s="26"/>
    </row>
    <row r="917">
      <c r="E917" s="25"/>
      <c r="H917" s="26"/>
    </row>
    <row r="918">
      <c r="E918" s="25"/>
      <c r="H918" s="26"/>
    </row>
    <row r="919">
      <c r="E919" s="25"/>
      <c r="H919" s="26"/>
    </row>
    <row r="920">
      <c r="E920" s="25"/>
      <c r="H920" s="26"/>
    </row>
    <row r="921">
      <c r="E921" s="25"/>
      <c r="H921" s="26"/>
    </row>
    <row r="922">
      <c r="E922" s="25"/>
      <c r="H922" s="26"/>
    </row>
    <row r="923">
      <c r="E923" s="25"/>
      <c r="H923" s="26"/>
    </row>
    <row r="924">
      <c r="E924" s="25"/>
      <c r="H924" s="26"/>
    </row>
    <row r="925">
      <c r="E925" s="25"/>
      <c r="H925" s="26"/>
    </row>
    <row r="926">
      <c r="E926" s="25"/>
      <c r="H926" s="26"/>
    </row>
    <row r="927">
      <c r="E927" s="25"/>
      <c r="H927" s="26"/>
    </row>
    <row r="928">
      <c r="E928" s="25"/>
      <c r="H928" s="26"/>
    </row>
    <row r="929">
      <c r="E929" s="25"/>
      <c r="H929" s="26"/>
    </row>
    <row r="930">
      <c r="E930" s="25"/>
      <c r="H930" s="26"/>
    </row>
    <row r="931">
      <c r="E931" s="25"/>
      <c r="H931" s="26"/>
    </row>
    <row r="932">
      <c r="E932" s="25"/>
      <c r="H932" s="26"/>
    </row>
    <row r="933">
      <c r="E933" s="25"/>
      <c r="H933" s="26"/>
    </row>
    <row r="934">
      <c r="E934" s="25"/>
      <c r="H934" s="26"/>
    </row>
    <row r="935">
      <c r="E935" s="25"/>
      <c r="H935" s="26"/>
    </row>
    <row r="936">
      <c r="E936" s="25"/>
      <c r="H936" s="26"/>
    </row>
    <row r="937">
      <c r="E937" s="25"/>
      <c r="H937" s="26"/>
    </row>
    <row r="938">
      <c r="E938" s="25"/>
      <c r="H938" s="26"/>
    </row>
    <row r="939">
      <c r="E939" s="25"/>
      <c r="H939" s="26"/>
    </row>
    <row r="940">
      <c r="E940" s="25"/>
      <c r="H940" s="26"/>
    </row>
    <row r="941">
      <c r="E941" s="25"/>
      <c r="H941" s="26"/>
    </row>
    <row r="942">
      <c r="E942" s="25"/>
      <c r="H942" s="26"/>
    </row>
    <row r="943">
      <c r="E943" s="25"/>
      <c r="H943" s="26"/>
    </row>
    <row r="944">
      <c r="E944" s="25"/>
      <c r="H944" s="26"/>
    </row>
    <row r="945">
      <c r="E945" s="25"/>
      <c r="H945" s="26"/>
    </row>
    <row r="946">
      <c r="E946" s="25"/>
      <c r="H946" s="26"/>
    </row>
    <row r="947">
      <c r="E947" s="25"/>
      <c r="H947" s="26"/>
    </row>
    <row r="948">
      <c r="E948" s="25"/>
      <c r="H948" s="26"/>
    </row>
    <row r="949">
      <c r="E949" s="25"/>
      <c r="H949" s="26"/>
    </row>
    <row r="950">
      <c r="E950" s="25"/>
      <c r="H950" s="26"/>
    </row>
    <row r="951">
      <c r="E951" s="25"/>
      <c r="H951" s="26"/>
    </row>
    <row r="952">
      <c r="E952" s="25"/>
      <c r="H952" s="26"/>
    </row>
    <row r="953">
      <c r="E953" s="25"/>
      <c r="H953" s="26"/>
    </row>
    <row r="954">
      <c r="E954" s="25"/>
      <c r="H954" s="26"/>
    </row>
    <row r="955">
      <c r="E955" s="25"/>
      <c r="H955" s="26"/>
    </row>
    <row r="956">
      <c r="E956" s="25"/>
      <c r="H956" s="26"/>
    </row>
    <row r="957">
      <c r="E957" s="25"/>
      <c r="H957" s="26"/>
    </row>
    <row r="958">
      <c r="E958" s="25"/>
      <c r="H958" s="26"/>
    </row>
    <row r="959">
      <c r="E959" s="25"/>
      <c r="H959" s="26"/>
    </row>
    <row r="960">
      <c r="E960" s="25"/>
      <c r="H960" s="26"/>
    </row>
    <row r="961">
      <c r="E961" s="25"/>
      <c r="H961" s="26"/>
    </row>
    <row r="962">
      <c r="E962" s="25"/>
      <c r="H962" s="26"/>
    </row>
    <row r="963">
      <c r="E963" s="25"/>
      <c r="H963" s="26"/>
    </row>
    <row r="964">
      <c r="E964" s="25"/>
      <c r="H964" s="26"/>
    </row>
    <row r="965">
      <c r="E965" s="25"/>
      <c r="H965" s="26"/>
    </row>
    <row r="966">
      <c r="E966" s="25"/>
      <c r="H966" s="26"/>
    </row>
    <row r="967">
      <c r="E967" s="25"/>
      <c r="H967" s="26"/>
    </row>
    <row r="968">
      <c r="E968" s="25"/>
      <c r="H968" s="26"/>
    </row>
    <row r="969">
      <c r="E969" s="25"/>
      <c r="H969" s="26"/>
    </row>
    <row r="970">
      <c r="E970" s="25"/>
      <c r="H970" s="26"/>
    </row>
    <row r="971">
      <c r="E971" s="25"/>
      <c r="H971" s="26"/>
    </row>
    <row r="972">
      <c r="E972" s="25"/>
      <c r="H972" s="26"/>
    </row>
    <row r="973">
      <c r="E973" s="25"/>
      <c r="H973" s="26"/>
    </row>
    <row r="974">
      <c r="E974" s="25"/>
      <c r="H974" s="26"/>
    </row>
    <row r="975">
      <c r="E975" s="25"/>
      <c r="H975" s="26"/>
    </row>
    <row r="976">
      <c r="E976" s="25"/>
      <c r="H976" s="26"/>
    </row>
    <row r="977">
      <c r="E977" s="25"/>
      <c r="H977" s="26"/>
    </row>
    <row r="978">
      <c r="E978" s="25"/>
      <c r="H978" s="26"/>
    </row>
    <row r="979">
      <c r="E979" s="25"/>
      <c r="H979" s="26"/>
    </row>
    <row r="980">
      <c r="E980" s="25"/>
      <c r="H980" s="26"/>
    </row>
    <row r="981">
      <c r="E981" s="25"/>
      <c r="H981" s="26"/>
    </row>
    <row r="982">
      <c r="E982" s="25"/>
      <c r="H982" s="26"/>
    </row>
    <row r="983">
      <c r="E983" s="25"/>
      <c r="H983" s="26"/>
    </row>
    <row r="984">
      <c r="E984" s="25"/>
      <c r="H984" s="26"/>
    </row>
    <row r="985">
      <c r="E985" s="25"/>
      <c r="H985" s="26"/>
    </row>
    <row r="986">
      <c r="E986" s="25"/>
      <c r="H986" s="26"/>
    </row>
    <row r="987">
      <c r="E987" s="25"/>
      <c r="H987" s="26"/>
    </row>
    <row r="988">
      <c r="E988" s="25"/>
      <c r="H988" s="26"/>
    </row>
    <row r="989">
      <c r="E989" s="25"/>
      <c r="H989" s="26"/>
    </row>
    <row r="990">
      <c r="E990" s="25"/>
      <c r="H990" s="26"/>
    </row>
    <row r="991">
      <c r="E991" s="25"/>
      <c r="H991" s="26"/>
    </row>
    <row r="992">
      <c r="E992" s="25"/>
      <c r="H992" s="26"/>
    </row>
    <row r="993">
      <c r="E993" s="25"/>
      <c r="H993" s="26"/>
    </row>
    <row r="994">
      <c r="E994" s="25"/>
      <c r="H994" s="26"/>
    </row>
    <row r="995">
      <c r="E995" s="25"/>
      <c r="H995" s="26"/>
    </row>
    <row r="996">
      <c r="E996" s="25"/>
      <c r="H996" s="26"/>
    </row>
    <row r="997">
      <c r="E997" s="25"/>
      <c r="H997" s="26"/>
    </row>
    <row r="998">
      <c r="E998" s="25"/>
      <c r="H998" s="26"/>
    </row>
    <row r="999">
      <c r="E999" s="25"/>
      <c r="H999" s="26"/>
    </row>
    <row r="1000">
      <c r="E1000" s="25"/>
      <c r="H1000" s="2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1" width="15.71"/>
    <col customWidth="1" min="12" max="27" width="8.71"/>
  </cols>
  <sheetData>
    <row r="1">
      <c r="A1" s="2" t="s">
        <v>1</v>
      </c>
      <c r="B1" s="2">
        <v>2.3215067E7</v>
      </c>
    </row>
    <row r="2">
      <c r="C2" s="5" t="s">
        <v>6</v>
      </c>
      <c r="D2" s="6"/>
      <c r="E2" s="6"/>
      <c r="F2" s="6"/>
      <c r="G2" s="7"/>
      <c r="H2" s="9"/>
      <c r="I2" s="5" t="s">
        <v>13</v>
      </c>
      <c r="J2" s="6"/>
      <c r="K2" s="7"/>
    </row>
    <row r="3">
      <c r="A3" s="2" t="s">
        <v>17</v>
      </c>
      <c r="B3" s="2" t="s">
        <v>18</v>
      </c>
      <c r="C3" s="2" t="s">
        <v>20</v>
      </c>
      <c r="D3" s="2" t="s">
        <v>21</v>
      </c>
      <c r="E3" s="2" t="s">
        <v>23</v>
      </c>
      <c r="F3" s="2" t="s">
        <v>25</v>
      </c>
      <c r="G3" s="2" t="s">
        <v>26</v>
      </c>
      <c r="H3" s="2"/>
      <c r="I3" s="2" t="s">
        <v>27</v>
      </c>
      <c r="J3" s="2" t="s">
        <v>29</v>
      </c>
      <c r="K3" s="2" t="s">
        <v>30</v>
      </c>
      <c r="L3" s="8" t="s">
        <v>40</v>
      </c>
    </row>
    <row r="4" hidden="1">
      <c r="A4" s="14" t="s">
        <v>37</v>
      </c>
      <c r="B4" s="14">
        <v>0.02473082104546281</v>
      </c>
      <c r="C4" s="14">
        <v>350.3</v>
      </c>
      <c r="D4" s="14">
        <v>2115.0</v>
      </c>
      <c r="E4" s="14">
        <f t="shared" ref="E4:E48" si="1">ROUND($B$1 * B4 / C4, 0)</f>
        <v>1639</v>
      </c>
      <c r="F4" s="14" t="str">
        <f t="shared" ref="F4:F48" si="2">IF(G4&gt;0, "BUY", IF(G4&lt;0, "SELL", "FLAT"))</f>
        <v>SELL</v>
      </c>
      <c r="G4" s="14">
        <f t="shared" ref="G4:G48" si="3">E4-D4</f>
        <v>-476</v>
      </c>
      <c r="H4" s="14">
        <f>E4*C4</f>
        <v>574141.7</v>
      </c>
      <c r="I4" s="14">
        <v>-476.0</v>
      </c>
      <c r="J4" s="8">
        <v>357.33</v>
      </c>
      <c r="K4" s="14">
        <f t="shared" ref="K4:K48" si="4">J4 * I4</f>
        <v>-170089.08</v>
      </c>
      <c r="L4" s="14">
        <f t="shared" ref="L4:L5" si="5">D4+I4</f>
        <v>1639</v>
      </c>
    </row>
    <row r="5" hidden="1">
      <c r="A5" s="14" t="s">
        <v>34</v>
      </c>
      <c r="B5" s="14">
        <v>0.03138402094428699</v>
      </c>
      <c r="C5" s="14">
        <v>3596.2</v>
      </c>
      <c r="D5" s="14">
        <v>204.0</v>
      </c>
      <c r="E5" s="14">
        <f t="shared" si="1"/>
        <v>203</v>
      </c>
      <c r="F5" s="14" t="str">
        <f t="shared" si="2"/>
        <v>SELL</v>
      </c>
      <c r="G5" s="14">
        <f t="shared" si="3"/>
        <v>-1</v>
      </c>
      <c r="H5" s="14">
        <f t="shared" ref="H5:H48" si="6">C5*G5</f>
        <v>-3596.2</v>
      </c>
      <c r="I5" s="14">
        <v>-1.0</v>
      </c>
      <c r="J5" s="8">
        <v>3615.0</v>
      </c>
      <c r="K5" s="14">
        <f t="shared" si="4"/>
        <v>-3615</v>
      </c>
      <c r="L5" s="14">
        <f t="shared" si="5"/>
        <v>203</v>
      </c>
    </row>
    <row r="6" hidden="1">
      <c r="A6" s="14" t="s">
        <v>93</v>
      </c>
      <c r="B6" s="14">
        <v>0.0</v>
      </c>
      <c r="C6" s="14">
        <v>825.25</v>
      </c>
      <c r="D6" s="14">
        <v>584.0</v>
      </c>
      <c r="E6" s="14">
        <f t="shared" si="1"/>
        <v>0</v>
      </c>
      <c r="F6" s="14" t="str">
        <f t="shared" si="2"/>
        <v>SELL</v>
      </c>
      <c r="G6" s="14">
        <f t="shared" si="3"/>
        <v>-584</v>
      </c>
      <c r="H6" s="14">
        <f t="shared" si="6"/>
        <v>-481946</v>
      </c>
      <c r="I6" s="14">
        <v>-584.0</v>
      </c>
      <c r="J6" s="8">
        <v>844.0</v>
      </c>
      <c r="K6" s="14">
        <f t="shared" si="4"/>
        <v>-492896</v>
      </c>
    </row>
    <row r="7" hidden="1">
      <c r="A7" s="14" t="s">
        <v>51</v>
      </c>
      <c r="B7" s="14">
        <v>0.0</v>
      </c>
      <c r="C7" s="14">
        <v>159.2</v>
      </c>
      <c r="D7" s="14">
        <v>4011.0</v>
      </c>
      <c r="E7" s="14">
        <f t="shared" si="1"/>
        <v>0</v>
      </c>
      <c r="F7" s="14" t="str">
        <f t="shared" si="2"/>
        <v>SELL</v>
      </c>
      <c r="G7" s="14">
        <f t="shared" si="3"/>
        <v>-4011</v>
      </c>
      <c r="H7" s="14">
        <f t="shared" si="6"/>
        <v>-638551.2</v>
      </c>
      <c r="I7" s="14">
        <v>-4011.0</v>
      </c>
      <c r="J7" s="8">
        <v>159.1</v>
      </c>
      <c r="K7" s="14">
        <f t="shared" si="4"/>
        <v>-638150.1</v>
      </c>
    </row>
    <row r="8" hidden="1">
      <c r="A8" s="14" t="s">
        <v>54</v>
      </c>
      <c r="B8" s="14">
        <v>0.0</v>
      </c>
      <c r="C8" s="14">
        <v>1019.6</v>
      </c>
      <c r="D8" s="14">
        <v>594.0</v>
      </c>
      <c r="E8" s="14">
        <f t="shared" si="1"/>
        <v>0</v>
      </c>
      <c r="F8" s="14" t="str">
        <f t="shared" si="2"/>
        <v>SELL</v>
      </c>
      <c r="G8" s="14">
        <f t="shared" si="3"/>
        <v>-594</v>
      </c>
      <c r="H8" s="14">
        <f t="shared" si="6"/>
        <v>-605642.4</v>
      </c>
      <c r="I8" s="14">
        <v>-594.0</v>
      </c>
      <c r="J8" s="8">
        <v>1009.9</v>
      </c>
      <c r="K8" s="14">
        <f t="shared" si="4"/>
        <v>-599880.6</v>
      </c>
    </row>
    <row r="9" hidden="1">
      <c r="A9" s="14" t="s">
        <v>57</v>
      </c>
      <c r="B9" s="14">
        <v>0.0</v>
      </c>
      <c r="C9" s="14">
        <v>434.15</v>
      </c>
      <c r="D9" s="14">
        <v>1228.0</v>
      </c>
      <c r="E9" s="14">
        <f t="shared" si="1"/>
        <v>0</v>
      </c>
      <c r="F9" s="14" t="str">
        <f t="shared" si="2"/>
        <v>SELL</v>
      </c>
      <c r="G9" s="14">
        <f t="shared" si="3"/>
        <v>-1228</v>
      </c>
      <c r="H9" s="14">
        <f t="shared" si="6"/>
        <v>-533136.2</v>
      </c>
      <c r="I9" s="14">
        <v>-1228.0</v>
      </c>
      <c r="J9" s="8">
        <v>430.82</v>
      </c>
      <c r="K9" s="14">
        <f t="shared" si="4"/>
        <v>-529046.96</v>
      </c>
    </row>
    <row r="10" hidden="1">
      <c r="A10" s="14" t="s">
        <v>46</v>
      </c>
      <c r="B10" s="14">
        <v>0.02715881659058965</v>
      </c>
      <c r="C10" s="14">
        <v>3680.6</v>
      </c>
      <c r="D10" s="14">
        <v>193.0</v>
      </c>
      <c r="E10" s="14">
        <f t="shared" si="1"/>
        <v>171</v>
      </c>
      <c r="F10" s="14" t="str">
        <f t="shared" si="2"/>
        <v>SELL</v>
      </c>
      <c r="G10" s="14">
        <f t="shared" si="3"/>
        <v>-22</v>
      </c>
      <c r="H10" s="14">
        <f t="shared" si="6"/>
        <v>-80973.2</v>
      </c>
      <c r="I10" s="14">
        <v>-22.0</v>
      </c>
      <c r="J10" s="8">
        <v>3703.0</v>
      </c>
      <c r="K10" s="14">
        <f t="shared" si="4"/>
        <v>-81466</v>
      </c>
      <c r="L10" s="14">
        <f>D10+I10</f>
        <v>171</v>
      </c>
    </row>
    <row r="11" hidden="1">
      <c r="A11" s="14" t="s">
        <v>62</v>
      </c>
      <c r="B11" s="14">
        <v>0.0</v>
      </c>
      <c r="C11" s="14">
        <v>134.96</v>
      </c>
      <c r="D11" s="14">
        <v>3741.0</v>
      </c>
      <c r="E11" s="14">
        <f t="shared" si="1"/>
        <v>0</v>
      </c>
      <c r="F11" s="14" t="str">
        <f t="shared" si="2"/>
        <v>SELL</v>
      </c>
      <c r="G11" s="14">
        <f t="shared" si="3"/>
        <v>-3741</v>
      </c>
      <c r="H11" s="14">
        <f t="shared" si="6"/>
        <v>-504885.36</v>
      </c>
      <c r="I11" s="14">
        <v>-3741.0</v>
      </c>
      <c r="J11" s="8">
        <v>134.2</v>
      </c>
      <c r="K11" s="14">
        <f t="shared" si="4"/>
        <v>-502042.2</v>
      </c>
    </row>
    <row r="12" hidden="1">
      <c r="A12" s="14" t="s">
        <v>100</v>
      </c>
      <c r="B12" s="14">
        <v>0.02921823034369882</v>
      </c>
      <c r="C12" s="14">
        <v>1107.0</v>
      </c>
      <c r="D12" s="14">
        <v>863.0</v>
      </c>
      <c r="E12" s="14">
        <f t="shared" si="1"/>
        <v>613</v>
      </c>
      <c r="F12" s="14" t="str">
        <f t="shared" si="2"/>
        <v>SELL</v>
      </c>
      <c r="G12" s="14">
        <f t="shared" si="3"/>
        <v>-250</v>
      </c>
      <c r="H12" s="14">
        <f t="shared" si="6"/>
        <v>-276750</v>
      </c>
      <c r="I12" s="14">
        <v>-250.0</v>
      </c>
      <c r="J12" s="8">
        <v>1112.2</v>
      </c>
      <c r="K12" s="14">
        <f t="shared" si="4"/>
        <v>-278050</v>
      </c>
      <c r="L12" s="14">
        <f>D12+I12</f>
        <v>613</v>
      </c>
    </row>
    <row r="13" hidden="1">
      <c r="A13" s="14" t="s">
        <v>106</v>
      </c>
      <c r="B13" s="14">
        <v>0.0</v>
      </c>
      <c r="C13" s="14">
        <v>7647.5</v>
      </c>
      <c r="D13" s="14">
        <v>94.0</v>
      </c>
      <c r="E13" s="14">
        <f t="shared" si="1"/>
        <v>0</v>
      </c>
      <c r="F13" s="14" t="str">
        <f t="shared" si="2"/>
        <v>SELL</v>
      </c>
      <c r="G13" s="14">
        <f t="shared" si="3"/>
        <v>-94</v>
      </c>
      <c r="H13" s="14">
        <f t="shared" si="6"/>
        <v>-718865</v>
      </c>
      <c r="I13" s="14">
        <v>-94.0</v>
      </c>
      <c r="J13" s="8">
        <v>7641.65</v>
      </c>
      <c r="K13" s="14">
        <f t="shared" si="4"/>
        <v>-718315.1</v>
      </c>
    </row>
    <row r="14" hidden="1">
      <c r="A14" s="14" t="s">
        <v>107</v>
      </c>
      <c r="B14" s="14">
        <v>0.0</v>
      </c>
      <c r="C14" s="14">
        <v>270.5</v>
      </c>
      <c r="D14" s="14">
        <v>2007.0</v>
      </c>
      <c r="E14" s="14">
        <f t="shared" si="1"/>
        <v>0</v>
      </c>
      <c r="F14" s="14" t="str">
        <f t="shared" si="2"/>
        <v>SELL</v>
      </c>
      <c r="G14" s="14">
        <f t="shared" si="3"/>
        <v>-2007</v>
      </c>
      <c r="H14" s="14">
        <f t="shared" si="6"/>
        <v>-542893.5</v>
      </c>
      <c r="I14" s="14">
        <v>-2007.0</v>
      </c>
      <c r="J14" s="8">
        <v>271.0</v>
      </c>
      <c r="K14" s="14">
        <f t="shared" si="4"/>
        <v>-543897</v>
      </c>
    </row>
    <row r="15" hidden="1">
      <c r="A15" s="14" t="s">
        <v>52</v>
      </c>
      <c r="B15" s="14">
        <v>0.0</v>
      </c>
      <c r="C15" s="14">
        <v>1391.0</v>
      </c>
      <c r="D15" s="14">
        <v>230.0</v>
      </c>
      <c r="E15" s="14">
        <f t="shared" si="1"/>
        <v>0</v>
      </c>
      <c r="F15" s="14" t="str">
        <f t="shared" si="2"/>
        <v>SELL</v>
      </c>
      <c r="G15" s="14">
        <f t="shared" si="3"/>
        <v>-230</v>
      </c>
      <c r="H15" s="14">
        <f t="shared" si="6"/>
        <v>-319930</v>
      </c>
      <c r="I15" s="14">
        <v>-230.0</v>
      </c>
      <c r="J15" s="8">
        <v>1454.12</v>
      </c>
      <c r="K15" s="14">
        <f t="shared" si="4"/>
        <v>-334447.6</v>
      </c>
    </row>
    <row r="16" hidden="1">
      <c r="A16" s="14" t="s">
        <v>67</v>
      </c>
      <c r="B16" s="14">
        <v>0.03771920976728156</v>
      </c>
      <c r="C16" s="14">
        <v>19143.0</v>
      </c>
      <c r="D16" s="14">
        <v>77.0</v>
      </c>
      <c r="E16" s="14">
        <f t="shared" si="1"/>
        <v>46</v>
      </c>
      <c r="F16" s="14" t="str">
        <f t="shared" si="2"/>
        <v>SELL</v>
      </c>
      <c r="G16" s="14">
        <f t="shared" si="3"/>
        <v>-31</v>
      </c>
      <c r="H16" s="14">
        <f t="shared" si="6"/>
        <v>-593433</v>
      </c>
      <c r="I16" s="14">
        <v>-31.0</v>
      </c>
      <c r="J16" s="8">
        <v>19235.19</v>
      </c>
      <c r="K16" s="14">
        <f t="shared" si="4"/>
        <v>-596290.89</v>
      </c>
      <c r="L16" s="14">
        <f t="shared" ref="L16:L20" si="7">D16+I16</f>
        <v>46</v>
      </c>
    </row>
    <row r="17" hidden="1">
      <c r="A17" s="14" t="s">
        <v>109</v>
      </c>
      <c r="B17" s="14">
        <v>0.04341420153423647</v>
      </c>
      <c r="C17" s="14">
        <v>713.4</v>
      </c>
      <c r="D17" s="14">
        <v>1440.0</v>
      </c>
      <c r="E17" s="14">
        <f t="shared" si="1"/>
        <v>1413</v>
      </c>
      <c r="F17" s="14" t="str">
        <f t="shared" si="2"/>
        <v>SELL</v>
      </c>
      <c r="G17" s="14">
        <f t="shared" si="3"/>
        <v>-27</v>
      </c>
      <c r="H17" s="14">
        <f t="shared" si="6"/>
        <v>-19261.8</v>
      </c>
      <c r="I17" s="14">
        <v>-27.0</v>
      </c>
      <c r="J17" s="8">
        <v>737.6</v>
      </c>
      <c r="K17" s="14">
        <f t="shared" si="4"/>
        <v>-19915.2</v>
      </c>
      <c r="L17" s="14">
        <f t="shared" si="7"/>
        <v>1413</v>
      </c>
    </row>
    <row r="18" hidden="1">
      <c r="A18" s="14" t="s">
        <v>60</v>
      </c>
      <c r="B18" s="14">
        <v>0.02590977696160134</v>
      </c>
      <c r="C18" s="14">
        <v>2773.7</v>
      </c>
      <c r="D18" s="14">
        <v>322.0</v>
      </c>
      <c r="E18" s="14">
        <f t="shared" si="1"/>
        <v>217</v>
      </c>
      <c r="F18" s="14" t="str">
        <f t="shared" si="2"/>
        <v>SELL</v>
      </c>
      <c r="G18" s="14">
        <f t="shared" si="3"/>
        <v>-105</v>
      </c>
      <c r="H18" s="14">
        <f t="shared" si="6"/>
        <v>-291238.5</v>
      </c>
      <c r="I18" s="14">
        <v>-105.0</v>
      </c>
      <c r="J18" s="8">
        <v>2797.0</v>
      </c>
      <c r="K18" s="14">
        <f t="shared" si="4"/>
        <v>-293685</v>
      </c>
      <c r="L18" s="14">
        <f t="shared" si="7"/>
        <v>217</v>
      </c>
    </row>
    <row r="19" hidden="1">
      <c r="A19" s="14" t="s">
        <v>9</v>
      </c>
      <c r="B19" s="14">
        <v>0.04550268004534481</v>
      </c>
      <c r="C19" s="14">
        <v>4476.2</v>
      </c>
      <c r="D19" s="14">
        <v>253.0</v>
      </c>
      <c r="E19" s="14">
        <f t="shared" si="1"/>
        <v>236</v>
      </c>
      <c r="F19" s="14" t="str">
        <f t="shared" si="2"/>
        <v>SELL</v>
      </c>
      <c r="G19" s="14">
        <f t="shared" si="3"/>
        <v>-17</v>
      </c>
      <c r="H19" s="14">
        <f t="shared" si="6"/>
        <v>-76095.4</v>
      </c>
      <c r="I19" s="14">
        <v>-17.0</v>
      </c>
      <c r="J19" s="8">
        <v>4565.0</v>
      </c>
      <c r="K19" s="14">
        <f t="shared" si="4"/>
        <v>-77605</v>
      </c>
      <c r="L19" s="14">
        <f t="shared" si="7"/>
        <v>236</v>
      </c>
    </row>
    <row r="20" hidden="1">
      <c r="A20" s="14" t="s">
        <v>111</v>
      </c>
      <c r="B20" s="14">
        <v>0.04381112384577025</v>
      </c>
      <c r="C20" s="14">
        <v>529.55</v>
      </c>
      <c r="D20" s="14">
        <v>1979.0</v>
      </c>
      <c r="E20" s="14">
        <f t="shared" si="1"/>
        <v>1921</v>
      </c>
      <c r="F20" s="14" t="str">
        <f t="shared" si="2"/>
        <v>SELL</v>
      </c>
      <c r="G20" s="14">
        <f t="shared" si="3"/>
        <v>-58</v>
      </c>
      <c r="H20" s="14">
        <f t="shared" si="6"/>
        <v>-30713.9</v>
      </c>
      <c r="I20" s="14">
        <v>-58.0</v>
      </c>
      <c r="J20" s="8">
        <v>533.55</v>
      </c>
      <c r="K20" s="14">
        <f t="shared" si="4"/>
        <v>-30945.9</v>
      </c>
      <c r="L20" s="14">
        <f t="shared" si="7"/>
        <v>1921</v>
      </c>
    </row>
    <row r="21" hidden="1">
      <c r="A21" s="14" t="s">
        <v>113</v>
      </c>
      <c r="B21" s="14">
        <v>0.0</v>
      </c>
      <c r="C21" s="14">
        <v>386.0</v>
      </c>
      <c r="D21" s="14">
        <v>1530.0</v>
      </c>
      <c r="E21" s="14">
        <f t="shared" si="1"/>
        <v>0</v>
      </c>
      <c r="F21" s="14" t="str">
        <f t="shared" si="2"/>
        <v>SELL</v>
      </c>
      <c r="G21" s="14">
        <f t="shared" si="3"/>
        <v>-1530</v>
      </c>
      <c r="H21" s="14">
        <f t="shared" si="6"/>
        <v>-590580</v>
      </c>
      <c r="I21" s="14">
        <v>-1530.0</v>
      </c>
      <c r="J21" s="8">
        <v>393.3</v>
      </c>
      <c r="K21" s="14">
        <f t="shared" si="4"/>
        <v>-601749</v>
      </c>
    </row>
    <row r="22" hidden="1">
      <c r="A22" s="14" t="s">
        <v>115</v>
      </c>
      <c r="B22" s="14">
        <v>0.0</v>
      </c>
      <c r="C22" s="14">
        <v>403.1</v>
      </c>
      <c r="D22" s="14">
        <v>1210.0</v>
      </c>
      <c r="E22" s="14">
        <f t="shared" si="1"/>
        <v>0</v>
      </c>
      <c r="F22" s="14" t="str">
        <f t="shared" si="2"/>
        <v>SELL</v>
      </c>
      <c r="G22" s="14">
        <f t="shared" si="3"/>
        <v>-1210</v>
      </c>
      <c r="H22" s="14">
        <f t="shared" si="6"/>
        <v>-487751</v>
      </c>
      <c r="I22" s="14">
        <v>-1210.0</v>
      </c>
      <c r="J22" s="8">
        <v>400.85</v>
      </c>
      <c r="K22" s="14">
        <f t="shared" si="4"/>
        <v>-485028.5</v>
      </c>
    </row>
    <row r="23" hidden="1">
      <c r="A23" s="14" t="s">
        <v>81</v>
      </c>
      <c r="B23" s="14">
        <v>0.02537362020995385</v>
      </c>
      <c r="C23" s="14">
        <v>1163.1</v>
      </c>
      <c r="D23" s="14">
        <v>581.0</v>
      </c>
      <c r="E23" s="14">
        <f t="shared" si="1"/>
        <v>506</v>
      </c>
      <c r="F23" s="14" t="str">
        <f t="shared" si="2"/>
        <v>SELL</v>
      </c>
      <c r="G23" s="14">
        <f t="shared" si="3"/>
        <v>-75</v>
      </c>
      <c r="H23" s="14">
        <f t="shared" si="6"/>
        <v>-87232.5</v>
      </c>
      <c r="I23" s="14">
        <v>-75.0</v>
      </c>
      <c r="J23" s="8">
        <v>1169.5</v>
      </c>
      <c r="K23" s="14">
        <f t="shared" si="4"/>
        <v>-87712.5</v>
      </c>
      <c r="L23" s="14">
        <f>D23+I23</f>
        <v>506</v>
      </c>
    </row>
    <row r="24" hidden="1">
      <c r="A24" s="14" t="s">
        <v>82</v>
      </c>
      <c r="B24" s="14">
        <v>0.0</v>
      </c>
      <c r="C24" s="14">
        <v>284.2</v>
      </c>
      <c r="D24" s="14">
        <v>2408.0</v>
      </c>
      <c r="E24" s="14">
        <f t="shared" si="1"/>
        <v>0</v>
      </c>
      <c r="F24" s="14" t="str">
        <f t="shared" si="2"/>
        <v>SELL</v>
      </c>
      <c r="G24" s="14">
        <f t="shared" si="3"/>
        <v>-2408</v>
      </c>
      <c r="H24" s="14">
        <f t="shared" si="6"/>
        <v>-684353.6</v>
      </c>
      <c r="I24" s="14">
        <v>-2408.0</v>
      </c>
      <c r="J24" s="8">
        <v>284.85</v>
      </c>
      <c r="K24" s="14">
        <f t="shared" si="4"/>
        <v>-685918.8</v>
      </c>
    </row>
    <row r="25" hidden="1">
      <c r="A25" s="14" t="s">
        <v>86</v>
      </c>
      <c r="B25" s="14">
        <v>0.04097044464109884</v>
      </c>
      <c r="C25" s="14">
        <v>2904.9</v>
      </c>
      <c r="D25" s="14">
        <v>372.0</v>
      </c>
      <c r="E25" s="14">
        <f t="shared" si="1"/>
        <v>327</v>
      </c>
      <c r="F25" s="14" t="str">
        <f t="shared" si="2"/>
        <v>SELL</v>
      </c>
      <c r="G25" s="14">
        <f t="shared" si="3"/>
        <v>-45</v>
      </c>
      <c r="H25" s="14">
        <f t="shared" si="6"/>
        <v>-130720.5</v>
      </c>
      <c r="I25" s="14">
        <v>-45.0</v>
      </c>
      <c r="J25" s="8">
        <v>2903.52</v>
      </c>
      <c r="K25" s="14">
        <f t="shared" si="4"/>
        <v>-130658.4</v>
      </c>
      <c r="L25" s="14">
        <f>D25+I25</f>
        <v>327</v>
      </c>
    </row>
    <row r="26" hidden="1">
      <c r="A26" s="14" t="s">
        <v>84</v>
      </c>
      <c r="B26" s="14">
        <v>0.0</v>
      </c>
      <c r="C26" s="14">
        <v>3461.2</v>
      </c>
      <c r="D26" s="14">
        <v>163.0</v>
      </c>
      <c r="E26" s="14">
        <f t="shared" si="1"/>
        <v>0</v>
      </c>
      <c r="F26" s="14" t="str">
        <f t="shared" si="2"/>
        <v>SELL</v>
      </c>
      <c r="G26" s="14">
        <f t="shared" si="3"/>
        <v>-163</v>
      </c>
      <c r="H26" s="14">
        <f t="shared" si="6"/>
        <v>-564175.6</v>
      </c>
      <c r="I26" s="14">
        <v>-163.0</v>
      </c>
      <c r="J26" s="8">
        <v>3399.47</v>
      </c>
      <c r="K26" s="14">
        <f t="shared" si="4"/>
        <v>-554113.61</v>
      </c>
    </row>
    <row r="27" hidden="1">
      <c r="A27" s="14" t="s">
        <v>11</v>
      </c>
      <c r="B27" s="14">
        <v>0.04571287653226763</v>
      </c>
      <c r="C27" s="14">
        <v>3910.0</v>
      </c>
      <c r="D27" s="14">
        <v>292.0</v>
      </c>
      <c r="E27" s="14">
        <f t="shared" si="1"/>
        <v>271</v>
      </c>
      <c r="F27" s="14" t="str">
        <f t="shared" si="2"/>
        <v>SELL</v>
      </c>
      <c r="G27" s="14">
        <f t="shared" si="3"/>
        <v>-21</v>
      </c>
      <c r="H27" s="14">
        <f t="shared" si="6"/>
        <v>-82110</v>
      </c>
      <c r="I27" s="14">
        <v>-21.0</v>
      </c>
      <c r="J27" s="8">
        <v>4071.3</v>
      </c>
      <c r="K27" s="14">
        <f t="shared" si="4"/>
        <v>-85497.3</v>
      </c>
      <c r="L27" s="14">
        <f t="shared" ref="L27:L28" si="8">D27+I27</f>
        <v>271</v>
      </c>
    </row>
    <row r="28" hidden="1">
      <c r="A28" s="14" t="s">
        <v>15</v>
      </c>
      <c r="B28" s="14">
        <v>0.04043882040303343</v>
      </c>
      <c r="C28" s="14">
        <v>33605.0</v>
      </c>
      <c r="D28" s="14">
        <v>37.0</v>
      </c>
      <c r="E28" s="14">
        <f t="shared" si="1"/>
        <v>28</v>
      </c>
      <c r="F28" s="14" t="str">
        <f t="shared" si="2"/>
        <v>SELL</v>
      </c>
      <c r="G28" s="14">
        <f t="shared" si="3"/>
        <v>-9</v>
      </c>
      <c r="H28" s="14">
        <f t="shared" si="6"/>
        <v>-302445</v>
      </c>
      <c r="I28" s="14">
        <v>-9.0</v>
      </c>
      <c r="J28" s="8">
        <v>34025.0</v>
      </c>
      <c r="K28" s="14">
        <f t="shared" si="4"/>
        <v>-306225</v>
      </c>
      <c r="L28" s="14">
        <f t="shared" si="8"/>
        <v>28</v>
      </c>
    </row>
    <row r="29" hidden="1">
      <c r="A29" s="14" t="s">
        <v>88</v>
      </c>
      <c r="B29" s="14">
        <v>0.0</v>
      </c>
      <c r="C29" s="14">
        <v>330.15</v>
      </c>
      <c r="D29" s="14">
        <v>2350.0</v>
      </c>
      <c r="E29" s="14">
        <f t="shared" si="1"/>
        <v>0</v>
      </c>
      <c r="F29" s="14" t="str">
        <f t="shared" si="2"/>
        <v>SELL</v>
      </c>
      <c r="G29" s="14">
        <f t="shared" si="3"/>
        <v>-2350</v>
      </c>
      <c r="H29" s="14">
        <f t="shared" si="6"/>
        <v>-775852.5</v>
      </c>
      <c r="I29" s="14">
        <v>-2350.0</v>
      </c>
      <c r="J29" s="8">
        <v>327.5</v>
      </c>
      <c r="K29" s="14">
        <f t="shared" si="4"/>
        <v>-769625</v>
      </c>
    </row>
    <row r="30" hidden="1">
      <c r="A30" s="14" t="s">
        <v>121</v>
      </c>
      <c r="B30" s="14">
        <v>0.0</v>
      </c>
      <c r="C30" s="14">
        <v>949.15</v>
      </c>
      <c r="D30" s="14">
        <v>660.0</v>
      </c>
      <c r="E30" s="14">
        <f t="shared" si="1"/>
        <v>0</v>
      </c>
      <c r="F30" s="14" t="str">
        <f t="shared" si="2"/>
        <v>SELL</v>
      </c>
      <c r="G30" s="14">
        <f t="shared" si="3"/>
        <v>-660</v>
      </c>
      <c r="H30" s="14">
        <f t="shared" si="6"/>
        <v>-626439</v>
      </c>
      <c r="I30" s="14">
        <v>-660.0</v>
      </c>
      <c r="J30" s="8">
        <v>945.5</v>
      </c>
      <c r="K30" s="14">
        <f t="shared" si="4"/>
        <v>-624030</v>
      </c>
    </row>
    <row r="31" hidden="1">
      <c r="A31" s="14" t="s">
        <v>98</v>
      </c>
      <c r="B31" s="14">
        <v>0.0</v>
      </c>
      <c r="C31" s="14">
        <v>164.43</v>
      </c>
      <c r="D31" s="14">
        <v>3104.0</v>
      </c>
      <c r="E31" s="14">
        <f t="shared" si="1"/>
        <v>0</v>
      </c>
      <c r="F31" s="14" t="str">
        <f t="shared" si="2"/>
        <v>SELL</v>
      </c>
      <c r="G31" s="14">
        <f t="shared" si="3"/>
        <v>-3104</v>
      </c>
      <c r="H31" s="14">
        <f t="shared" si="6"/>
        <v>-510390.72</v>
      </c>
      <c r="I31" s="14">
        <v>-3104.0</v>
      </c>
      <c r="J31" s="8">
        <v>162.81</v>
      </c>
      <c r="K31" s="14">
        <f t="shared" si="4"/>
        <v>-505362.24</v>
      </c>
    </row>
    <row r="32">
      <c r="A32" s="14" t="s">
        <v>291</v>
      </c>
      <c r="B32" s="14">
        <v>0.02682671856805229</v>
      </c>
      <c r="C32" s="14">
        <v>533.8</v>
      </c>
      <c r="D32" s="14">
        <v>0.0</v>
      </c>
      <c r="E32" s="14">
        <f t="shared" si="1"/>
        <v>1167</v>
      </c>
      <c r="F32" s="14" t="str">
        <f t="shared" si="2"/>
        <v>BUY</v>
      </c>
      <c r="G32" s="14">
        <f t="shared" si="3"/>
        <v>1167</v>
      </c>
      <c r="H32" s="14">
        <f t="shared" si="6"/>
        <v>622944.6</v>
      </c>
      <c r="I32" s="14">
        <v>1167.0</v>
      </c>
      <c r="J32" s="8">
        <v>540.23</v>
      </c>
      <c r="K32" s="14">
        <f t="shared" si="4"/>
        <v>630448.41</v>
      </c>
      <c r="L32" s="14">
        <f t="shared" ref="L32:L48" si="9">D32+I32</f>
        <v>1167</v>
      </c>
    </row>
    <row r="33">
      <c r="A33" s="14" t="s">
        <v>108</v>
      </c>
      <c r="B33" s="14">
        <v>0.03299983682897537</v>
      </c>
      <c r="C33" s="14">
        <v>227.46</v>
      </c>
      <c r="D33" s="14">
        <v>0.0</v>
      </c>
      <c r="E33" s="14">
        <f t="shared" si="1"/>
        <v>3368</v>
      </c>
      <c r="F33" s="14" t="str">
        <f t="shared" si="2"/>
        <v>BUY</v>
      </c>
      <c r="G33" s="14">
        <f t="shared" si="3"/>
        <v>3368</v>
      </c>
      <c r="H33" s="14">
        <f t="shared" si="6"/>
        <v>766085.28</v>
      </c>
      <c r="I33" s="14">
        <v>3368.0</v>
      </c>
      <c r="J33" s="8">
        <v>233.0</v>
      </c>
      <c r="K33" s="14">
        <f t="shared" si="4"/>
        <v>784744</v>
      </c>
      <c r="L33" s="14">
        <f t="shared" si="9"/>
        <v>3368</v>
      </c>
    </row>
    <row r="34">
      <c r="A34" s="14" t="s">
        <v>213</v>
      </c>
      <c r="B34" s="14">
        <v>0.03829981809086725</v>
      </c>
      <c r="C34" s="14">
        <v>12359.0</v>
      </c>
      <c r="D34" s="14">
        <v>0.0</v>
      </c>
      <c r="E34" s="14">
        <f t="shared" si="1"/>
        <v>72</v>
      </c>
      <c r="F34" s="14" t="str">
        <f t="shared" si="2"/>
        <v>BUY</v>
      </c>
      <c r="G34" s="14">
        <f t="shared" si="3"/>
        <v>72</v>
      </c>
      <c r="H34" s="14">
        <f t="shared" si="6"/>
        <v>889848</v>
      </c>
      <c r="I34" s="14">
        <v>72.0</v>
      </c>
      <c r="J34" s="8">
        <v>12685.0</v>
      </c>
      <c r="K34" s="14">
        <f t="shared" si="4"/>
        <v>913320</v>
      </c>
      <c r="L34" s="14">
        <f t="shared" si="9"/>
        <v>72</v>
      </c>
    </row>
    <row r="35">
      <c r="A35" s="14" t="s">
        <v>99</v>
      </c>
      <c r="B35" s="14">
        <v>0.03133359511286032</v>
      </c>
      <c r="C35" s="14">
        <v>1171.0</v>
      </c>
      <c r="D35" s="14">
        <v>604.0</v>
      </c>
      <c r="E35" s="14">
        <f t="shared" si="1"/>
        <v>621</v>
      </c>
      <c r="F35" s="14" t="str">
        <f t="shared" si="2"/>
        <v>BUY</v>
      </c>
      <c r="G35" s="14">
        <f t="shared" si="3"/>
        <v>17</v>
      </c>
      <c r="H35" s="14">
        <f t="shared" si="6"/>
        <v>19907</v>
      </c>
      <c r="I35" s="14">
        <v>17.0</v>
      </c>
      <c r="J35" s="8">
        <v>1167.4</v>
      </c>
      <c r="K35" s="14">
        <f t="shared" si="4"/>
        <v>19845.8</v>
      </c>
      <c r="L35" s="14">
        <f t="shared" si="9"/>
        <v>621</v>
      </c>
    </row>
    <row r="36">
      <c r="A36" s="14" t="s">
        <v>118</v>
      </c>
      <c r="B36" s="14">
        <v>0.02659051376335531</v>
      </c>
      <c r="C36" s="14">
        <v>5283.5</v>
      </c>
      <c r="D36" s="14">
        <v>0.0</v>
      </c>
      <c r="E36" s="14">
        <f t="shared" si="1"/>
        <v>117</v>
      </c>
      <c r="F36" s="14" t="str">
        <f t="shared" si="2"/>
        <v>BUY</v>
      </c>
      <c r="G36" s="14">
        <f t="shared" si="3"/>
        <v>117</v>
      </c>
      <c r="H36" s="14">
        <f t="shared" si="6"/>
        <v>618169.5</v>
      </c>
      <c r="I36" s="14">
        <v>117.0</v>
      </c>
      <c r="J36" s="8">
        <v>5252.48</v>
      </c>
      <c r="K36" s="14">
        <f t="shared" si="4"/>
        <v>614540.16</v>
      </c>
      <c r="L36" s="14">
        <f t="shared" si="9"/>
        <v>117</v>
      </c>
    </row>
    <row r="37">
      <c r="A37" s="14" t="s">
        <v>238</v>
      </c>
      <c r="B37" s="14">
        <v>0.03089734697273679</v>
      </c>
      <c r="C37" s="14">
        <v>4004.1</v>
      </c>
      <c r="D37" s="14">
        <v>0.0</v>
      </c>
      <c r="E37" s="14">
        <f t="shared" si="1"/>
        <v>179</v>
      </c>
      <c r="F37" s="14" t="str">
        <f t="shared" si="2"/>
        <v>BUY</v>
      </c>
      <c r="G37" s="14">
        <f t="shared" si="3"/>
        <v>179</v>
      </c>
      <c r="H37" s="14">
        <f t="shared" si="6"/>
        <v>716733.9</v>
      </c>
      <c r="I37" s="14">
        <v>179.0</v>
      </c>
      <c r="J37" s="8">
        <v>4131.13</v>
      </c>
      <c r="K37" s="14">
        <f t="shared" si="4"/>
        <v>739472.27</v>
      </c>
      <c r="L37" s="14">
        <f t="shared" si="9"/>
        <v>179</v>
      </c>
    </row>
    <row r="38">
      <c r="A38" s="14" t="s">
        <v>197</v>
      </c>
      <c r="B38" s="14">
        <v>0.03513398047192112</v>
      </c>
      <c r="C38" s="14">
        <v>1028.6</v>
      </c>
      <c r="D38" s="14">
        <v>0.0</v>
      </c>
      <c r="E38" s="14">
        <f t="shared" si="1"/>
        <v>793</v>
      </c>
      <c r="F38" s="14" t="str">
        <f t="shared" si="2"/>
        <v>BUY</v>
      </c>
      <c r="G38" s="14">
        <f t="shared" si="3"/>
        <v>793</v>
      </c>
      <c r="H38" s="14">
        <f t="shared" si="6"/>
        <v>815679.8</v>
      </c>
      <c r="I38" s="14">
        <v>793.0</v>
      </c>
      <c r="J38" s="8">
        <v>1045.4</v>
      </c>
      <c r="K38" s="14">
        <f t="shared" si="4"/>
        <v>829002.2</v>
      </c>
      <c r="L38" s="14">
        <f t="shared" si="9"/>
        <v>793</v>
      </c>
    </row>
    <row r="39">
      <c r="A39" s="14" t="s">
        <v>292</v>
      </c>
      <c r="B39" s="14">
        <v>0.03311671472751517</v>
      </c>
      <c r="C39" s="14">
        <v>869.5</v>
      </c>
      <c r="D39" s="14">
        <v>0.0</v>
      </c>
      <c r="E39" s="14">
        <f t="shared" si="1"/>
        <v>884</v>
      </c>
      <c r="F39" s="14" t="str">
        <f t="shared" si="2"/>
        <v>BUY</v>
      </c>
      <c r="G39" s="14">
        <f t="shared" si="3"/>
        <v>884</v>
      </c>
      <c r="H39" s="14">
        <f t="shared" si="6"/>
        <v>768638</v>
      </c>
      <c r="I39" s="14">
        <v>884.0</v>
      </c>
      <c r="J39" s="8">
        <v>879.54</v>
      </c>
      <c r="K39" s="14">
        <f t="shared" si="4"/>
        <v>777513.36</v>
      </c>
      <c r="L39" s="14">
        <f t="shared" si="9"/>
        <v>884</v>
      </c>
    </row>
    <row r="40">
      <c r="A40" s="14" t="s">
        <v>59</v>
      </c>
      <c r="B40" s="14">
        <v>0.02455002742910646</v>
      </c>
      <c r="C40" s="14">
        <v>1531.0</v>
      </c>
      <c r="D40" s="14">
        <v>0.0</v>
      </c>
      <c r="E40" s="14">
        <f t="shared" si="1"/>
        <v>372</v>
      </c>
      <c r="F40" s="14" t="str">
        <f t="shared" si="2"/>
        <v>BUY</v>
      </c>
      <c r="G40" s="14">
        <f t="shared" si="3"/>
        <v>372</v>
      </c>
      <c r="H40" s="14">
        <f t="shared" si="6"/>
        <v>569532</v>
      </c>
      <c r="I40" s="14">
        <v>372.0</v>
      </c>
      <c r="J40" s="8">
        <v>1526.7</v>
      </c>
      <c r="K40" s="14">
        <f t="shared" si="4"/>
        <v>567932.4</v>
      </c>
      <c r="L40" s="14">
        <f t="shared" si="9"/>
        <v>372</v>
      </c>
    </row>
    <row r="41">
      <c r="A41" s="14" t="s">
        <v>58</v>
      </c>
      <c r="B41" s="14">
        <v>0.02483271223396166</v>
      </c>
      <c r="C41" s="14">
        <v>302.05</v>
      </c>
      <c r="D41" s="14">
        <v>0.0</v>
      </c>
      <c r="E41" s="14">
        <f t="shared" si="1"/>
        <v>1909</v>
      </c>
      <c r="F41" s="14" t="str">
        <f t="shared" si="2"/>
        <v>BUY</v>
      </c>
      <c r="G41" s="14">
        <f t="shared" si="3"/>
        <v>1909</v>
      </c>
      <c r="H41" s="14">
        <f t="shared" si="6"/>
        <v>576613.45</v>
      </c>
      <c r="I41" s="14">
        <v>1909.0</v>
      </c>
      <c r="J41" s="8">
        <v>302.55</v>
      </c>
      <c r="K41" s="14">
        <f t="shared" si="4"/>
        <v>577567.95</v>
      </c>
      <c r="L41" s="14">
        <f t="shared" si="9"/>
        <v>1909</v>
      </c>
    </row>
    <row r="42">
      <c r="A42" s="14" t="s">
        <v>293</v>
      </c>
      <c r="B42" s="14">
        <v>0.02668107099780784</v>
      </c>
      <c r="C42" s="14">
        <v>788.0</v>
      </c>
      <c r="D42" s="14">
        <v>0.0</v>
      </c>
      <c r="E42" s="14">
        <f t="shared" si="1"/>
        <v>786</v>
      </c>
      <c r="F42" s="14" t="str">
        <f t="shared" si="2"/>
        <v>BUY</v>
      </c>
      <c r="G42" s="14">
        <f t="shared" si="3"/>
        <v>786</v>
      </c>
      <c r="H42" s="14">
        <f t="shared" si="6"/>
        <v>619368</v>
      </c>
      <c r="I42" s="14">
        <v>786.0</v>
      </c>
      <c r="J42" s="8">
        <v>798.0</v>
      </c>
      <c r="K42" s="14">
        <f t="shared" si="4"/>
        <v>627228</v>
      </c>
      <c r="L42" s="14">
        <f t="shared" si="9"/>
        <v>786</v>
      </c>
    </row>
    <row r="43">
      <c r="A43" s="14" t="s">
        <v>198</v>
      </c>
      <c r="B43" s="14">
        <v>0.03890751772231766</v>
      </c>
      <c r="C43" s="14">
        <v>1718.8</v>
      </c>
      <c r="D43" s="14">
        <v>0.0</v>
      </c>
      <c r="E43" s="14">
        <f t="shared" si="1"/>
        <v>526</v>
      </c>
      <c r="F43" s="14" t="str">
        <f t="shared" si="2"/>
        <v>BUY</v>
      </c>
      <c r="G43" s="14">
        <f t="shared" si="3"/>
        <v>526</v>
      </c>
      <c r="H43" s="14">
        <f t="shared" si="6"/>
        <v>904088.8</v>
      </c>
      <c r="I43" s="14">
        <v>526.0</v>
      </c>
      <c r="J43" s="8">
        <v>1736.57</v>
      </c>
      <c r="K43" s="14">
        <f t="shared" si="4"/>
        <v>913435.82</v>
      </c>
      <c r="L43" s="14">
        <f t="shared" si="9"/>
        <v>526</v>
      </c>
    </row>
    <row r="44">
      <c r="A44" s="14" t="s">
        <v>28</v>
      </c>
      <c r="B44" s="14">
        <v>0.03966518841172443</v>
      </c>
      <c r="C44" s="14">
        <v>404.3</v>
      </c>
      <c r="D44" s="14">
        <v>2172.0</v>
      </c>
      <c r="E44" s="14">
        <f t="shared" si="1"/>
        <v>2278</v>
      </c>
      <c r="F44" s="14" t="str">
        <f t="shared" si="2"/>
        <v>BUY</v>
      </c>
      <c r="G44" s="14">
        <f t="shared" si="3"/>
        <v>106</v>
      </c>
      <c r="H44" s="14">
        <f t="shared" si="6"/>
        <v>42855.8</v>
      </c>
      <c r="I44" s="14">
        <v>106.0</v>
      </c>
      <c r="J44" s="8">
        <v>407.65</v>
      </c>
      <c r="K44" s="14">
        <f t="shared" si="4"/>
        <v>43210.9</v>
      </c>
      <c r="L44" s="14">
        <f t="shared" si="9"/>
        <v>2278</v>
      </c>
    </row>
    <row r="45">
      <c r="A45" s="14" t="s">
        <v>31</v>
      </c>
      <c r="B45" s="14">
        <v>0.03637268334744272</v>
      </c>
      <c r="C45" s="14">
        <v>1305.8</v>
      </c>
      <c r="D45" s="14">
        <v>0.0</v>
      </c>
      <c r="E45" s="14">
        <f t="shared" si="1"/>
        <v>647</v>
      </c>
      <c r="F45" s="14" t="str">
        <f t="shared" si="2"/>
        <v>BUY</v>
      </c>
      <c r="G45" s="14">
        <f t="shared" si="3"/>
        <v>647</v>
      </c>
      <c r="H45" s="14">
        <f t="shared" si="6"/>
        <v>844852.6</v>
      </c>
      <c r="I45" s="14">
        <v>647.0</v>
      </c>
      <c r="J45" s="8">
        <v>1347.9</v>
      </c>
      <c r="K45" s="14">
        <f t="shared" si="4"/>
        <v>872091.3</v>
      </c>
      <c r="L45" s="14">
        <f t="shared" si="9"/>
        <v>647</v>
      </c>
    </row>
    <row r="46">
      <c r="A46" s="14" t="s">
        <v>294</v>
      </c>
      <c r="B46" s="14">
        <v>0.03094332758408809</v>
      </c>
      <c r="C46" s="14">
        <v>309.45</v>
      </c>
      <c r="D46" s="14">
        <v>0.0</v>
      </c>
      <c r="E46" s="14">
        <f t="shared" si="1"/>
        <v>2321</v>
      </c>
      <c r="F46" s="14" t="str">
        <f t="shared" si="2"/>
        <v>BUY</v>
      </c>
      <c r="G46" s="14">
        <f t="shared" si="3"/>
        <v>2321</v>
      </c>
      <c r="H46" s="14">
        <f t="shared" si="6"/>
        <v>718233.45</v>
      </c>
      <c r="I46" s="14">
        <v>2321.0</v>
      </c>
      <c r="J46" s="8">
        <v>326.5</v>
      </c>
      <c r="K46" s="14">
        <f t="shared" si="4"/>
        <v>757806.5</v>
      </c>
      <c r="L46" s="14">
        <f t="shared" si="9"/>
        <v>2321</v>
      </c>
    </row>
    <row r="47">
      <c r="A47" s="14" t="s">
        <v>91</v>
      </c>
      <c r="B47" s="14">
        <v>0.03675732294766197</v>
      </c>
      <c r="C47" s="14">
        <v>989.0</v>
      </c>
      <c r="D47" s="14">
        <v>0.0</v>
      </c>
      <c r="E47" s="14">
        <f t="shared" si="1"/>
        <v>863</v>
      </c>
      <c r="F47" s="14" t="str">
        <f t="shared" si="2"/>
        <v>BUY</v>
      </c>
      <c r="G47" s="14">
        <f t="shared" si="3"/>
        <v>863</v>
      </c>
      <c r="H47" s="14">
        <f t="shared" si="6"/>
        <v>853507</v>
      </c>
      <c r="I47" s="14">
        <v>863.0</v>
      </c>
      <c r="J47" s="8">
        <v>1037.85</v>
      </c>
      <c r="K47" s="14">
        <f t="shared" si="4"/>
        <v>895664.55</v>
      </c>
      <c r="L47" s="14">
        <f t="shared" si="9"/>
        <v>863</v>
      </c>
    </row>
    <row r="48">
      <c r="A48" s="14" t="s">
        <v>273</v>
      </c>
      <c r="B48" s="14">
        <v>0.02474698192497905</v>
      </c>
      <c r="C48" s="14">
        <v>1240.7</v>
      </c>
      <c r="D48" s="14">
        <v>0.0</v>
      </c>
      <c r="E48" s="14">
        <f t="shared" si="1"/>
        <v>463</v>
      </c>
      <c r="F48" s="14" t="str">
        <f t="shared" si="2"/>
        <v>BUY</v>
      </c>
      <c r="G48" s="14">
        <f t="shared" si="3"/>
        <v>463</v>
      </c>
      <c r="H48" s="14">
        <f t="shared" si="6"/>
        <v>574444.1</v>
      </c>
      <c r="I48" s="14">
        <v>463.0</v>
      </c>
      <c r="J48" s="8">
        <v>1240.4</v>
      </c>
      <c r="K48" s="14">
        <f t="shared" si="4"/>
        <v>574305.2</v>
      </c>
      <c r="L48" s="14">
        <f t="shared" si="9"/>
        <v>463</v>
      </c>
    </row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autoFilter ref="$A$3:$K$48">
    <filterColumn colId="4">
      <filters>
        <filter val="46"/>
        <filter val="28"/>
        <filter val="171"/>
        <filter val="271"/>
        <filter val="372"/>
        <filter val="793"/>
        <filter val="1413"/>
        <filter val="179"/>
        <filter val="236"/>
        <filter val="117"/>
        <filter val="2321"/>
        <filter val="613"/>
        <filter val="217"/>
        <filter val="72"/>
        <filter val="1639"/>
        <filter val="1909"/>
        <filter val="1921"/>
        <filter val="463"/>
        <filter val="884"/>
        <filter val="203"/>
        <filter val="3368"/>
        <filter val="621"/>
        <filter val="786"/>
        <filter val="863"/>
        <filter val="1167"/>
        <filter val="2278"/>
        <filter val="327"/>
        <filter val="526"/>
        <filter val="647"/>
        <filter val="506"/>
      </filters>
    </filterColumn>
    <filterColumn colId="5">
      <filters>
        <filter val="BUY"/>
      </filters>
    </filterColumn>
    <sortState ref="A3:K48">
      <sortCondition descending="1" ref="F3:F48"/>
    </sortState>
  </autoFilter>
  <mergeCells count="2">
    <mergeCell ref="C2:G2"/>
    <mergeCell ref="I2:K2"/>
  </mergeCells>
  <conditionalFormatting sqref="C10">
    <cfRule type="notContainsBlanks" dxfId="0" priority="1">
      <formula>LEN(TRIM(C10))&gt;0</formula>
    </cfRule>
  </conditionalFormatting>
  <conditionalFormatting sqref="C11">
    <cfRule type="notContainsBlanks" dxfId="0" priority="2">
      <formula>LEN(TRIM(C11))&gt;0</formula>
    </cfRule>
  </conditionalFormatting>
  <conditionalFormatting sqref="C12">
    <cfRule type="notContainsBlanks" dxfId="0" priority="3">
      <formula>LEN(TRIM(C12))&gt;0</formula>
    </cfRule>
  </conditionalFormatting>
  <conditionalFormatting sqref="C13">
    <cfRule type="notContainsBlanks" dxfId="0" priority="4">
      <formula>LEN(TRIM(C13))&gt;0</formula>
    </cfRule>
  </conditionalFormatting>
  <conditionalFormatting sqref="C14">
    <cfRule type="notContainsBlanks" dxfId="0" priority="5">
      <formula>LEN(TRIM(C14))&gt;0</formula>
    </cfRule>
  </conditionalFormatting>
  <conditionalFormatting sqref="C15">
    <cfRule type="notContainsBlanks" dxfId="0" priority="6">
      <formula>LEN(TRIM(C15))&gt;0</formula>
    </cfRule>
  </conditionalFormatting>
  <conditionalFormatting sqref="C16">
    <cfRule type="notContainsBlanks" dxfId="0" priority="7">
      <formula>LEN(TRIM(C16))&gt;0</formula>
    </cfRule>
  </conditionalFormatting>
  <conditionalFormatting sqref="C17">
    <cfRule type="notContainsBlanks" dxfId="0" priority="8">
      <formula>LEN(TRIM(C17))&gt;0</formula>
    </cfRule>
  </conditionalFormatting>
  <conditionalFormatting sqref="C18">
    <cfRule type="notContainsBlanks" dxfId="0" priority="9">
      <formula>LEN(TRIM(C18))&gt;0</formula>
    </cfRule>
  </conditionalFormatting>
  <conditionalFormatting sqref="C19">
    <cfRule type="notContainsBlanks" dxfId="0" priority="10">
      <formula>LEN(TRIM(C19))&gt;0</formula>
    </cfRule>
  </conditionalFormatting>
  <conditionalFormatting sqref="C20">
    <cfRule type="notContainsBlanks" dxfId="0" priority="11">
      <formula>LEN(TRIM(C20))&gt;0</formula>
    </cfRule>
  </conditionalFormatting>
  <conditionalFormatting sqref="C21">
    <cfRule type="notContainsBlanks" dxfId="0" priority="12">
      <formula>LEN(TRIM(C21))&gt;0</formula>
    </cfRule>
  </conditionalFormatting>
  <conditionalFormatting sqref="C22">
    <cfRule type="notContainsBlanks" dxfId="0" priority="13">
      <formula>LEN(TRIM(C22))&gt;0</formula>
    </cfRule>
  </conditionalFormatting>
  <conditionalFormatting sqref="C23">
    <cfRule type="notContainsBlanks" dxfId="0" priority="14">
      <formula>LEN(TRIM(C23))&gt;0</formula>
    </cfRule>
  </conditionalFormatting>
  <conditionalFormatting sqref="C24">
    <cfRule type="notContainsBlanks" dxfId="0" priority="15">
      <formula>LEN(TRIM(C24))&gt;0</formula>
    </cfRule>
  </conditionalFormatting>
  <conditionalFormatting sqref="C25">
    <cfRule type="notContainsBlanks" dxfId="0" priority="16">
      <formula>LEN(TRIM(C25))&gt;0</formula>
    </cfRule>
  </conditionalFormatting>
  <conditionalFormatting sqref="C26">
    <cfRule type="notContainsBlanks" dxfId="0" priority="17">
      <formula>LEN(TRIM(C26))&gt;0</formula>
    </cfRule>
  </conditionalFormatting>
  <conditionalFormatting sqref="C27">
    <cfRule type="notContainsBlanks" dxfId="0" priority="18">
      <formula>LEN(TRIM(C27))&gt;0</formula>
    </cfRule>
  </conditionalFormatting>
  <conditionalFormatting sqref="C28">
    <cfRule type="notContainsBlanks" dxfId="0" priority="19">
      <formula>LEN(TRIM(C28))&gt;0</formula>
    </cfRule>
  </conditionalFormatting>
  <conditionalFormatting sqref="C29">
    <cfRule type="notContainsBlanks" dxfId="0" priority="20">
      <formula>LEN(TRIM(C29))&gt;0</formula>
    </cfRule>
  </conditionalFormatting>
  <conditionalFormatting sqref="C30">
    <cfRule type="notContainsBlanks" dxfId="0" priority="21">
      <formula>LEN(TRIM(C30))&gt;0</formula>
    </cfRule>
  </conditionalFormatting>
  <conditionalFormatting sqref="C31">
    <cfRule type="notContainsBlanks" dxfId="0" priority="22">
      <formula>LEN(TRIM(C31))&gt;0</formula>
    </cfRule>
  </conditionalFormatting>
  <conditionalFormatting sqref="C32">
    <cfRule type="notContainsBlanks" dxfId="0" priority="23">
      <formula>LEN(TRIM(C32))&gt;0</formula>
    </cfRule>
  </conditionalFormatting>
  <conditionalFormatting sqref="C33">
    <cfRule type="notContainsBlanks" dxfId="0" priority="24">
      <formula>LEN(TRIM(C33))&gt;0</formula>
    </cfRule>
  </conditionalFormatting>
  <conditionalFormatting sqref="C34">
    <cfRule type="notContainsBlanks" dxfId="0" priority="25">
      <formula>LEN(TRIM(C34))&gt;0</formula>
    </cfRule>
  </conditionalFormatting>
  <conditionalFormatting sqref="C35">
    <cfRule type="notContainsBlanks" dxfId="0" priority="26">
      <formula>LEN(TRIM(C35))&gt;0</formula>
    </cfRule>
  </conditionalFormatting>
  <conditionalFormatting sqref="C36">
    <cfRule type="notContainsBlanks" dxfId="0" priority="27">
      <formula>LEN(TRIM(C36))&gt;0</formula>
    </cfRule>
  </conditionalFormatting>
  <conditionalFormatting sqref="C37">
    <cfRule type="notContainsBlanks" dxfId="0" priority="28">
      <formula>LEN(TRIM(C37))&gt;0</formula>
    </cfRule>
  </conditionalFormatting>
  <conditionalFormatting sqref="C38">
    <cfRule type="notContainsBlanks" dxfId="0" priority="29">
      <formula>LEN(TRIM(C38))&gt;0</formula>
    </cfRule>
  </conditionalFormatting>
  <conditionalFormatting sqref="C39">
    <cfRule type="notContainsBlanks" dxfId="0" priority="30">
      <formula>LEN(TRIM(C39))&gt;0</formula>
    </cfRule>
  </conditionalFormatting>
  <conditionalFormatting sqref="C4:C48">
    <cfRule type="notContainsBlanks" dxfId="0" priority="31">
      <formula>LEN(TRIM(C4))&gt;0</formula>
    </cfRule>
  </conditionalFormatting>
  <conditionalFormatting sqref="C40">
    <cfRule type="notContainsBlanks" dxfId="0" priority="32">
      <formula>LEN(TRIM(C40))&gt;0</formula>
    </cfRule>
  </conditionalFormatting>
  <conditionalFormatting sqref="C41">
    <cfRule type="notContainsBlanks" dxfId="0" priority="33">
      <formula>LEN(TRIM(C41))&gt;0</formula>
    </cfRule>
  </conditionalFormatting>
  <conditionalFormatting sqref="C42">
    <cfRule type="notContainsBlanks" dxfId="0" priority="34">
      <formula>LEN(TRIM(C42))&gt;0</formula>
    </cfRule>
  </conditionalFormatting>
  <conditionalFormatting sqref="C43">
    <cfRule type="notContainsBlanks" dxfId="0" priority="35">
      <formula>LEN(TRIM(C43))&gt;0</formula>
    </cfRule>
  </conditionalFormatting>
  <conditionalFormatting sqref="C44">
    <cfRule type="notContainsBlanks" dxfId="0" priority="36">
      <formula>LEN(TRIM(C44))&gt;0</formula>
    </cfRule>
  </conditionalFormatting>
  <conditionalFormatting sqref="C45">
    <cfRule type="notContainsBlanks" dxfId="0" priority="37">
      <formula>LEN(TRIM(C45))&gt;0</formula>
    </cfRule>
  </conditionalFormatting>
  <conditionalFormatting sqref="C46">
    <cfRule type="notContainsBlanks" dxfId="0" priority="38">
      <formula>LEN(TRIM(C46))&gt;0</formula>
    </cfRule>
  </conditionalFormatting>
  <conditionalFormatting sqref="C47">
    <cfRule type="notContainsBlanks" dxfId="0" priority="39">
      <formula>LEN(TRIM(C47))&gt;0</formula>
    </cfRule>
  </conditionalFormatting>
  <conditionalFormatting sqref="C48">
    <cfRule type="notContainsBlanks" dxfId="0" priority="40">
      <formula>LEN(TRIM(C48))&gt;0</formula>
    </cfRule>
  </conditionalFormatting>
  <conditionalFormatting sqref="C5">
    <cfRule type="notContainsBlanks" dxfId="0" priority="41">
      <formula>LEN(TRIM(C5))&gt;0</formula>
    </cfRule>
  </conditionalFormatting>
  <conditionalFormatting sqref="C6">
    <cfRule type="notContainsBlanks" dxfId="0" priority="42">
      <formula>LEN(TRIM(C6))&gt;0</formula>
    </cfRule>
  </conditionalFormatting>
  <conditionalFormatting sqref="C7">
    <cfRule type="notContainsBlanks" dxfId="0" priority="43">
      <formula>LEN(TRIM(C7))&gt;0</formula>
    </cfRule>
  </conditionalFormatting>
  <conditionalFormatting sqref="C8">
    <cfRule type="notContainsBlanks" dxfId="0" priority="44">
      <formula>LEN(TRIM(C8))&gt;0</formula>
    </cfRule>
  </conditionalFormatting>
  <conditionalFormatting sqref="C9">
    <cfRule type="notContainsBlanks" dxfId="0" priority="45">
      <formula>LEN(TRIM(C9))&gt;0</formula>
    </cfRule>
  </conditionalFormatting>
  <conditionalFormatting sqref="D10">
    <cfRule type="notContainsBlanks" dxfId="0" priority="46">
      <formula>LEN(TRIM(D10))&gt;0</formula>
    </cfRule>
  </conditionalFormatting>
  <conditionalFormatting sqref="D11">
    <cfRule type="notContainsBlanks" dxfId="0" priority="47">
      <formula>LEN(TRIM(D11))&gt;0</formula>
    </cfRule>
  </conditionalFormatting>
  <conditionalFormatting sqref="D12">
    <cfRule type="notContainsBlanks" dxfId="0" priority="48">
      <formula>LEN(TRIM(D12))&gt;0</formula>
    </cfRule>
  </conditionalFormatting>
  <conditionalFormatting sqref="D13">
    <cfRule type="notContainsBlanks" dxfId="0" priority="49">
      <formula>LEN(TRIM(D13))&gt;0</formula>
    </cfRule>
  </conditionalFormatting>
  <conditionalFormatting sqref="D14">
    <cfRule type="notContainsBlanks" dxfId="0" priority="50">
      <formula>LEN(TRIM(D14))&gt;0</formula>
    </cfRule>
  </conditionalFormatting>
  <conditionalFormatting sqref="D15">
    <cfRule type="notContainsBlanks" dxfId="0" priority="51">
      <formula>LEN(TRIM(D15))&gt;0</formula>
    </cfRule>
  </conditionalFormatting>
  <conditionalFormatting sqref="D16">
    <cfRule type="notContainsBlanks" dxfId="0" priority="52">
      <formula>LEN(TRIM(D16))&gt;0</formula>
    </cfRule>
  </conditionalFormatting>
  <conditionalFormatting sqref="D17">
    <cfRule type="notContainsBlanks" dxfId="0" priority="53">
      <formula>LEN(TRIM(D17))&gt;0</formula>
    </cfRule>
  </conditionalFormatting>
  <conditionalFormatting sqref="D18">
    <cfRule type="notContainsBlanks" dxfId="0" priority="54">
      <formula>LEN(TRIM(D18))&gt;0</formula>
    </cfRule>
  </conditionalFormatting>
  <conditionalFormatting sqref="D19">
    <cfRule type="notContainsBlanks" dxfId="0" priority="55">
      <formula>LEN(TRIM(D19))&gt;0</formula>
    </cfRule>
  </conditionalFormatting>
  <conditionalFormatting sqref="D20">
    <cfRule type="notContainsBlanks" dxfId="0" priority="56">
      <formula>LEN(TRIM(D20))&gt;0</formula>
    </cfRule>
  </conditionalFormatting>
  <conditionalFormatting sqref="D21">
    <cfRule type="notContainsBlanks" dxfId="0" priority="57">
      <formula>LEN(TRIM(D21))&gt;0</formula>
    </cfRule>
  </conditionalFormatting>
  <conditionalFormatting sqref="D22">
    <cfRule type="notContainsBlanks" dxfId="0" priority="58">
      <formula>LEN(TRIM(D22))&gt;0</formula>
    </cfRule>
  </conditionalFormatting>
  <conditionalFormatting sqref="D23">
    <cfRule type="notContainsBlanks" dxfId="0" priority="59">
      <formula>LEN(TRIM(D23))&gt;0</formula>
    </cfRule>
  </conditionalFormatting>
  <conditionalFormatting sqref="D24">
    <cfRule type="notContainsBlanks" dxfId="0" priority="60">
      <formula>LEN(TRIM(D24))&gt;0</formula>
    </cfRule>
  </conditionalFormatting>
  <conditionalFormatting sqref="D25">
    <cfRule type="notContainsBlanks" dxfId="0" priority="61">
      <formula>LEN(TRIM(D25))&gt;0</formula>
    </cfRule>
  </conditionalFormatting>
  <conditionalFormatting sqref="D26">
    <cfRule type="notContainsBlanks" dxfId="0" priority="62">
      <formula>LEN(TRIM(D26))&gt;0</formula>
    </cfRule>
  </conditionalFormatting>
  <conditionalFormatting sqref="D27">
    <cfRule type="notContainsBlanks" dxfId="0" priority="63">
      <formula>LEN(TRIM(D27))&gt;0</formula>
    </cfRule>
  </conditionalFormatting>
  <conditionalFormatting sqref="D28">
    <cfRule type="notContainsBlanks" dxfId="0" priority="64">
      <formula>LEN(TRIM(D28))&gt;0</formula>
    </cfRule>
  </conditionalFormatting>
  <conditionalFormatting sqref="D29">
    <cfRule type="notContainsBlanks" dxfId="0" priority="65">
      <formula>LEN(TRIM(D29))&gt;0</formula>
    </cfRule>
  </conditionalFormatting>
  <conditionalFormatting sqref="D30">
    <cfRule type="notContainsBlanks" dxfId="0" priority="66">
      <formula>LEN(TRIM(D30))&gt;0</formula>
    </cfRule>
  </conditionalFormatting>
  <conditionalFormatting sqref="D31">
    <cfRule type="notContainsBlanks" dxfId="0" priority="67">
      <formula>LEN(TRIM(D31))&gt;0</formula>
    </cfRule>
  </conditionalFormatting>
  <conditionalFormatting sqref="D32">
    <cfRule type="notContainsBlanks" dxfId="0" priority="68">
      <formula>LEN(TRIM(D32))&gt;0</formula>
    </cfRule>
  </conditionalFormatting>
  <conditionalFormatting sqref="D33">
    <cfRule type="notContainsBlanks" dxfId="0" priority="69">
      <formula>LEN(TRIM(D33))&gt;0</formula>
    </cfRule>
  </conditionalFormatting>
  <conditionalFormatting sqref="D34">
    <cfRule type="notContainsBlanks" dxfId="0" priority="70">
      <formula>LEN(TRIM(D34))&gt;0</formula>
    </cfRule>
  </conditionalFormatting>
  <conditionalFormatting sqref="D35">
    <cfRule type="notContainsBlanks" dxfId="0" priority="71">
      <formula>LEN(TRIM(D35))&gt;0</formula>
    </cfRule>
  </conditionalFormatting>
  <conditionalFormatting sqref="D36">
    <cfRule type="notContainsBlanks" dxfId="0" priority="72">
      <formula>LEN(TRIM(D36))&gt;0</formula>
    </cfRule>
  </conditionalFormatting>
  <conditionalFormatting sqref="D37">
    <cfRule type="notContainsBlanks" dxfId="0" priority="73">
      <formula>LEN(TRIM(D37))&gt;0</formula>
    </cfRule>
  </conditionalFormatting>
  <conditionalFormatting sqref="D38">
    <cfRule type="notContainsBlanks" dxfId="0" priority="74">
      <formula>LEN(TRIM(D38))&gt;0</formula>
    </cfRule>
  </conditionalFormatting>
  <conditionalFormatting sqref="D39">
    <cfRule type="notContainsBlanks" dxfId="0" priority="75">
      <formula>LEN(TRIM(D39))&gt;0</formula>
    </cfRule>
  </conditionalFormatting>
  <conditionalFormatting sqref="D4">
    <cfRule type="notContainsBlanks" dxfId="0" priority="76">
      <formula>LEN(TRIM(D4))&gt;0</formula>
    </cfRule>
  </conditionalFormatting>
  <conditionalFormatting sqref="D40">
    <cfRule type="notContainsBlanks" dxfId="0" priority="77">
      <formula>LEN(TRIM(D40))&gt;0</formula>
    </cfRule>
  </conditionalFormatting>
  <conditionalFormatting sqref="D41">
    <cfRule type="notContainsBlanks" dxfId="0" priority="78">
      <formula>LEN(TRIM(D41))&gt;0</formula>
    </cfRule>
  </conditionalFormatting>
  <conditionalFormatting sqref="D42">
    <cfRule type="notContainsBlanks" dxfId="0" priority="79">
      <formula>LEN(TRIM(D42))&gt;0</formula>
    </cfRule>
  </conditionalFormatting>
  <conditionalFormatting sqref="D43">
    <cfRule type="notContainsBlanks" dxfId="0" priority="80">
      <formula>LEN(TRIM(D43))&gt;0</formula>
    </cfRule>
  </conditionalFormatting>
  <conditionalFormatting sqref="D44">
    <cfRule type="notContainsBlanks" dxfId="0" priority="81">
      <formula>LEN(TRIM(D44))&gt;0</formula>
    </cfRule>
  </conditionalFormatting>
  <conditionalFormatting sqref="D45">
    <cfRule type="notContainsBlanks" dxfId="0" priority="82">
      <formula>LEN(TRIM(D45))&gt;0</formula>
    </cfRule>
  </conditionalFormatting>
  <conditionalFormatting sqref="D46">
    <cfRule type="notContainsBlanks" dxfId="0" priority="83">
      <formula>LEN(TRIM(D46))&gt;0</formula>
    </cfRule>
  </conditionalFormatting>
  <conditionalFormatting sqref="D47">
    <cfRule type="notContainsBlanks" dxfId="0" priority="84">
      <formula>LEN(TRIM(D47))&gt;0</formula>
    </cfRule>
  </conditionalFormatting>
  <conditionalFormatting sqref="D48">
    <cfRule type="notContainsBlanks" dxfId="0" priority="85">
      <formula>LEN(TRIM(D48))&gt;0</formula>
    </cfRule>
  </conditionalFormatting>
  <conditionalFormatting sqref="D5">
    <cfRule type="notContainsBlanks" dxfId="0" priority="86">
      <formula>LEN(TRIM(D5))&gt;0</formula>
    </cfRule>
  </conditionalFormatting>
  <conditionalFormatting sqref="D6">
    <cfRule type="notContainsBlanks" dxfId="0" priority="87">
      <formula>LEN(TRIM(D6))&gt;0</formula>
    </cfRule>
  </conditionalFormatting>
  <conditionalFormatting sqref="D7">
    <cfRule type="notContainsBlanks" dxfId="0" priority="88">
      <formula>LEN(TRIM(D7))&gt;0</formula>
    </cfRule>
  </conditionalFormatting>
  <conditionalFormatting sqref="D8">
    <cfRule type="notContainsBlanks" dxfId="0" priority="89">
      <formula>LEN(TRIM(D8))&gt;0</formula>
    </cfRule>
  </conditionalFormatting>
  <conditionalFormatting sqref="D9">
    <cfRule type="notContainsBlanks" dxfId="0" priority="90">
      <formula>LEN(TRIM(D9))&gt;0</formula>
    </cfRule>
  </conditionalFormatting>
  <conditionalFormatting sqref="E10">
    <cfRule type="notContainsBlanks" dxfId="0" priority="91">
      <formula>LEN(TRIM(E10))&gt;0</formula>
    </cfRule>
  </conditionalFormatting>
  <conditionalFormatting sqref="E11">
    <cfRule type="notContainsBlanks" dxfId="0" priority="92">
      <formula>LEN(TRIM(E11))&gt;0</formula>
    </cfRule>
  </conditionalFormatting>
  <conditionalFormatting sqref="E12">
    <cfRule type="notContainsBlanks" dxfId="0" priority="93">
      <formula>LEN(TRIM(E12))&gt;0</formula>
    </cfRule>
  </conditionalFormatting>
  <conditionalFormatting sqref="E13">
    <cfRule type="notContainsBlanks" dxfId="0" priority="94">
      <formula>LEN(TRIM(E13))&gt;0</formula>
    </cfRule>
  </conditionalFormatting>
  <conditionalFormatting sqref="E14">
    <cfRule type="notContainsBlanks" dxfId="0" priority="95">
      <formula>LEN(TRIM(E14))&gt;0</formula>
    </cfRule>
  </conditionalFormatting>
  <conditionalFormatting sqref="E15">
    <cfRule type="notContainsBlanks" dxfId="0" priority="96">
      <formula>LEN(TRIM(E15))&gt;0</formula>
    </cfRule>
  </conditionalFormatting>
  <conditionalFormatting sqref="E16">
    <cfRule type="notContainsBlanks" dxfId="0" priority="97">
      <formula>LEN(TRIM(E16))&gt;0</formula>
    </cfRule>
  </conditionalFormatting>
  <conditionalFormatting sqref="E17">
    <cfRule type="notContainsBlanks" dxfId="0" priority="98">
      <formula>LEN(TRIM(E17))&gt;0</formula>
    </cfRule>
  </conditionalFormatting>
  <conditionalFormatting sqref="E18">
    <cfRule type="notContainsBlanks" dxfId="0" priority="99">
      <formula>LEN(TRIM(E18))&gt;0</formula>
    </cfRule>
  </conditionalFormatting>
  <conditionalFormatting sqref="E19">
    <cfRule type="notContainsBlanks" dxfId="0" priority="100">
      <formula>LEN(TRIM(E19))&gt;0</formula>
    </cfRule>
  </conditionalFormatting>
  <conditionalFormatting sqref="E20">
    <cfRule type="notContainsBlanks" dxfId="0" priority="101">
      <formula>LEN(TRIM(E20))&gt;0</formula>
    </cfRule>
  </conditionalFormatting>
  <conditionalFormatting sqref="E21">
    <cfRule type="notContainsBlanks" dxfId="0" priority="102">
      <formula>LEN(TRIM(E21))&gt;0</formula>
    </cfRule>
  </conditionalFormatting>
  <conditionalFormatting sqref="E22">
    <cfRule type="notContainsBlanks" dxfId="0" priority="103">
      <formula>LEN(TRIM(E22))&gt;0</formula>
    </cfRule>
  </conditionalFormatting>
  <conditionalFormatting sqref="E23">
    <cfRule type="notContainsBlanks" dxfId="0" priority="104">
      <formula>LEN(TRIM(E23))&gt;0</formula>
    </cfRule>
  </conditionalFormatting>
  <conditionalFormatting sqref="E24">
    <cfRule type="notContainsBlanks" dxfId="0" priority="105">
      <formula>LEN(TRIM(E24))&gt;0</formula>
    </cfRule>
  </conditionalFormatting>
  <conditionalFormatting sqref="E25">
    <cfRule type="notContainsBlanks" dxfId="0" priority="106">
      <formula>LEN(TRIM(E25))&gt;0</formula>
    </cfRule>
  </conditionalFormatting>
  <conditionalFormatting sqref="E26">
    <cfRule type="notContainsBlanks" dxfId="0" priority="107">
      <formula>LEN(TRIM(E26))&gt;0</formula>
    </cfRule>
  </conditionalFormatting>
  <conditionalFormatting sqref="E27">
    <cfRule type="notContainsBlanks" dxfId="0" priority="108">
      <formula>LEN(TRIM(E27))&gt;0</formula>
    </cfRule>
  </conditionalFormatting>
  <conditionalFormatting sqref="E28">
    <cfRule type="notContainsBlanks" dxfId="0" priority="109">
      <formula>LEN(TRIM(E28))&gt;0</formula>
    </cfRule>
  </conditionalFormatting>
  <conditionalFormatting sqref="E29">
    <cfRule type="notContainsBlanks" dxfId="0" priority="110">
      <formula>LEN(TRIM(E29))&gt;0</formula>
    </cfRule>
  </conditionalFormatting>
  <conditionalFormatting sqref="E30">
    <cfRule type="notContainsBlanks" dxfId="0" priority="111">
      <formula>LEN(TRIM(E30))&gt;0</formula>
    </cfRule>
  </conditionalFormatting>
  <conditionalFormatting sqref="E31">
    <cfRule type="notContainsBlanks" dxfId="0" priority="112">
      <formula>LEN(TRIM(E31))&gt;0</formula>
    </cfRule>
  </conditionalFormatting>
  <conditionalFormatting sqref="E32">
    <cfRule type="notContainsBlanks" dxfId="0" priority="113">
      <formula>LEN(TRIM(E32))&gt;0</formula>
    </cfRule>
  </conditionalFormatting>
  <conditionalFormatting sqref="E33">
    <cfRule type="notContainsBlanks" dxfId="0" priority="114">
      <formula>LEN(TRIM(E33))&gt;0</formula>
    </cfRule>
  </conditionalFormatting>
  <conditionalFormatting sqref="E34">
    <cfRule type="notContainsBlanks" dxfId="0" priority="115">
      <formula>LEN(TRIM(E34))&gt;0</formula>
    </cfRule>
  </conditionalFormatting>
  <conditionalFormatting sqref="E35">
    <cfRule type="notContainsBlanks" dxfId="0" priority="116">
      <formula>LEN(TRIM(E35))&gt;0</formula>
    </cfRule>
  </conditionalFormatting>
  <conditionalFormatting sqref="E36">
    <cfRule type="notContainsBlanks" dxfId="0" priority="117">
      <formula>LEN(TRIM(E36))&gt;0</formula>
    </cfRule>
  </conditionalFormatting>
  <conditionalFormatting sqref="E37">
    <cfRule type="notContainsBlanks" dxfId="0" priority="118">
      <formula>LEN(TRIM(E37))&gt;0</formula>
    </cfRule>
  </conditionalFormatting>
  <conditionalFormatting sqref="E38">
    <cfRule type="notContainsBlanks" dxfId="0" priority="119">
      <formula>LEN(TRIM(E38))&gt;0</formula>
    </cfRule>
  </conditionalFormatting>
  <conditionalFormatting sqref="E39">
    <cfRule type="notContainsBlanks" dxfId="0" priority="120">
      <formula>LEN(TRIM(E39))&gt;0</formula>
    </cfRule>
  </conditionalFormatting>
  <conditionalFormatting sqref="E4">
    <cfRule type="notContainsBlanks" dxfId="0" priority="121">
      <formula>LEN(TRIM(E4))&gt;0</formula>
    </cfRule>
  </conditionalFormatting>
  <conditionalFormatting sqref="E40">
    <cfRule type="notContainsBlanks" dxfId="0" priority="122">
      <formula>LEN(TRIM(E40))&gt;0</formula>
    </cfRule>
  </conditionalFormatting>
  <conditionalFormatting sqref="E41">
    <cfRule type="notContainsBlanks" dxfId="0" priority="123">
      <formula>LEN(TRIM(E41))&gt;0</formula>
    </cfRule>
  </conditionalFormatting>
  <conditionalFormatting sqref="E42">
    <cfRule type="notContainsBlanks" dxfId="0" priority="124">
      <formula>LEN(TRIM(E42))&gt;0</formula>
    </cfRule>
  </conditionalFormatting>
  <conditionalFormatting sqref="E43">
    <cfRule type="notContainsBlanks" dxfId="0" priority="125">
      <formula>LEN(TRIM(E43))&gt;0</formula>
    </cfRule>
  </conditionalFormatting>
  <conditionalFormatting sqref="E44">
    <cfRule type="notContainsBlanks" dxfId="0" priority="126">
      <formula>LEN(TRIM(E44))&gt;0</formula>
    </cfRule>
  </conditionalFormatting>
  <conditionalFormatting sqref="E45">
    <cfRule type="notContainsBlanks" dxfId="0" priority="127">
      <formula>LEN(TRIM(E45))&gt;0</formula>
    </cfRule>
  </conditionalFormatting>
  <conditionalFormatting sqref="E46">
    <cfRule type="notContainsBlanks" dxfId="0" priority="128">
      <formula>LEN(TRIM(E46))&gt;0</formula>
    </cfRule>
  </conditionalFormatting>
  <conditionalFormatting sqref="E47">
    <cfRule type="notContainsBlanks" dxfId="0" priority="129">
      <formula>LEN(TRIM(E47))&gt;0</formula>
    </cfRule>
  </conditionalFormatting>
  <conditionalFormatting sqref="E48">
    <cfRule type="notContainsBlanks" dxfId="0" priority="130">
      <formula>LEN(TRIM(E48))&gt;0</formula>
    </cfRule>
  </conditionalFormatting>
  <conditionalFormatting sqref="E5">
    <cfRule type="notContainsBlanks" dxfId="0" priority="131">
      <formula>LEN(TRIM(E5))&gt;0</formula>
    </cfRule>
  </conditionalFormatting>
  <conditionalFormatting sqref="E6">
    <cfRule type="notContainsBlanks" dxfId="0" priority="132">
      <formula>LEN(TRIM(E6))&gt;0</formula>
    </cfRule>
  </conditionalFormatting>
  <conditionalFormatting sqref="E7">
    <cfRule type="notContainsBlanks" dxfId="0" priority="133">
      <formula>LEN(TRIM(E7))&gt;0</formula>
    </cfRule>
  </conditionalFormatting>
  <conditionalFormatting sqref="E8">
    <cfRule type="notContainsBlanks" dxfId="0" priority="134">
      <formula>LEN(TRIM(E8))&gt;0</formula>
    </cfRule>
  </conditionalFormatting>
  <conditionalFormatting sqref="E9">
    <cfRule type="notContainsBlanks" dxfId="0" priority="135">
      <formula>LEN(TRIM(E9))&gt;0</formula>
    </cfRule>
  </conditionalFormatting>
  <conditionalFormatting sqref="F10">
    <cfRule type="notContainsBlanks" dxfId="0" priority="136">
      <formula>LEN(TRIM(F10))&gt;0</formula>
    </cfRule>
  </conditionalFormatting>
  <conditionalFormatting sqref="F11">
    <cfRule type="notContainsBlanks" dxfId="0" priority="137">
      <formula>LEN(TRIM(F11))&gt;0</formula>
    </cfRule>
  </conditionalFormatting>
  <conditionalFormatting sqref="F12">
    <cfRule type="notContainsBlanks" dxfId="0" priority="138">
      <formula>LEN(TRIM(F12))&gt;0</formula>
    </cfRule>
  </conditionalFormatting>
  <conditionalFormatting sqref="F13">
    <cfRule type="notContainsBlanks" dxfId="0" priority="139">
      <formula>LEN(TRIM(F13))&gt;0</formula>
    </cfRule>
  </conditionalFormatting>
  <conditionalFormatting sqref="F14">
    <cfRule type="notContainsBlanks" dxfId="0" priority="140">
      <formula>LEN(TRIM(F14))&gt;0</formula>
    </cfRule>
  </conditionalFormatting>
  <conditionalFormatting sqref="F15">
    <cfRule type="notContainsBlanks" dxfId="0" priority="141">
      <formula>LEN(TRIM(F15))&gt;0</formula>
    </cfRule>
  </conditionalFormatting>
  <conditionalFormatting sqref="F16">
    <cfRule type="notContainsBlanks" dxfId="0" priority="142">
      <formula>LEN(TRIM(F16))&gt;0</formula>
    </cfRule>
  </conditionalFormatting>
  <conditionalFormatting sqref="F17">
    <cfRule type="notContainsBlanks" dxfId="0" priority="143">
      <formula>LEN(TRIM(F17))&gt;0</formula>
    </cfRule>
  </conditionalFormatting>
  <conditionalFormatting sqref="F18">
    <cfRule type="notContainsBlanks" dxfId="0" priority="144">
      <formula>LEN(TRIM(F18))&gt;0</formula>
    </cfRule>
  </conditionalFormatting>
  <conditionalFormatting sqref="F19">
    <cfRule type="notContainsBlanks" dxfId="0" priority="145">
      <formula>LEN(TRIM(F19))&gt;0</formula>
    </cfRule>
  </conditionalFormatting>
  <conditionalFormatting sqref="F20">
    <cfRule type="notContainsBlanks" dxfId="0" priority="146">
      <formula>LEN(TRIM(F20))&gt;0</formula>
    </cfRule>
  </conditionalFormatting>
  <conditionalFormatting sqref="F21">
    <cfRule type="notContainsBlanks" dxfId="0" priority="147">
      <formula>LEN(TRIM(F21))&gt;0</formula>
    </cfRule>
  </conditionalFormatting>
  <conditionalFormatting sqref="F22">
    <cfRule type="notContainsBlanks" dxfId="0" priority="148">
      <formula>LEN(TRIM(F22))&gt;0</formula>
    </cfRule>
  </conditionalFormatting>
  <conditionalFormatting sqref="F23">
    <cfRule type="notContainsBlanks" dxfId="0" priority="149">
      <formula>LEN(TRIM(F23))&gt;0</formula>
    </cfRule>
  </conditionalFormatting>
  <conditionalFormatting sqref="F24">
    <cfRule type="notContainsBlanks" dxfId="0" priority="150">
      <formula>LEN(TRIM(F24))&gt;0</formula>
    </cfRule>
  </conditionalFormatting>
  <conditionalFormatting sqref="F25">
    <cfRule type="notContainsBlanks" dxfId="0" priority="151">
      <formula>LEN(TRIM(F25))&gt;0</formula>
    </cfRule>
  </conditionalFormatting>
  <conditionalFormatting sqref="F26">
    <cfRule type="notContainsBlanks" dxfId="0" priority="152">
      <formula>LEN(TRIM(F26))&gt;0</formula>
    </cfRule>
  </conditionalFormatting>
  <conditionalFormatting sqref="F27">
    <cfRule type="notContainsBlanks" dxfId="0" priority="153">
      <formula>LEN(TRIM(F27))&gt;0</formula>
    </cfRule>
  </conditionalFormatting>
  <conditionalFormatting sqref="F28">
    <cfRule type="notContainsBlanks" dxfId="0" priority="154">
      <formula>LEN(TRIM(F28))&gt;0</formula>
    </cfRule>
  </conditionalFormatting>
  <conditionalFormatting sqref="F29">
    <cfRule type="notContainsBlanks" dxfId="0" priority="155">
      <formula>LEN(TRIM(F29))&gt;0</formula>
    </cfRule>
  </conditionalFormatting>
  <conditionalFormatting sqref="F30">
    <cfRule type="notContainsBlanks" dxfId="0" priority="156">
      <formula>LEN(TRIM(F30))&gt;0</formula>
    </cfRule>
  </conditionalFormatting>
  <conditionalFormatting sqref="F31">
    <cfRule type="notContainsBlanks" dxfId="0" priority="157">
      <formula>LEN(TRIM(F31))&gt;0</formula>
    </cfRule>
  </conditionalFormatting>
  <conditionalFormatting sqref="F32">
    <cfRule type="notContainsBlanks" dxfId="0" priority="158">
      <formula>LEN(TRIM(F32))&gt;0</formula>
    </cfRule>
  </conditionalFormatting>
  <conditionalFormatting sqref="F33">
    <cfRule type="notContainsBlanks" dxfId="0" priority="159">
      <formula>LEN(TRIM(F33))&gt;0</formula>
    </cfRule>
  </conditionalFormatting>
  <conditionalFormatting sqref="F34">
    <cfRule type="notContainsBlanks" dxfId="0" priority="160">
      <formula>LEN(TRIM(F34))&gt;0</formula>
    </cfRule>
  </conditionalFormatting>
  <conditionalFormatting sqref="F35">
    <cfRule type="notContainsBlanks" dxfId="0" priority="161">
      <formula>LEN(TRIM(F35))&gt;0</formula>
    </cfRule>
  </conditionalFormatting>
  <conditionalFormatting sqref="F36">
    <cfRule type="notContainsBlanks" dxfId="0" priority="162">
      <formula>LEN(TRIM(F36))&gt;0</formula>
    </cfRule>
  </conditionalFormatting>
  <conditionalFormatting sqref="F37">
    <cfRule type="notContainsBlanks" dxfId="0" priority="163">
      <formula>LEN(TRIM(F37))&gt;0</formula>
    </cfRule>
  </conditionalFormatting>
  <conditionalFormatting sqref="F38">
    <cfRule type="notContainsBlanks" dxfId="0" priority="164">
      <formula>LEN(TRIM(F38))&gt;0</formula>
    </cfRule>
  </conditionalFormatting>
  <conditionalFormatting sqref="F39">
    <cfRule type="notContainsBlanks" dxfId="0" priority="165">
      <formula>LEN(TRIM(F39))&gt;0</formula>
    </cfRule>
  </conditionalFormatting>
  <conditionalFormatting sqref="F4">
    <cfRule type="notContainsBlanks" dxfId="0" priority="166">
      <formula>LEN(TRIM(F4))&gt;0</formula>
    </cfRule>
  </conditionalFormatting>
  <conditionalFormatting sqref="F40">
    <cfRule type="notContainsBlanks" dxfId="0" priority="167">
      <formula>LEN(TRIM(F40))&gt;0</formula>
    </cfRule>
  </conditionalFormatting>
  <conditionalFormatting sqref="F41">
    <cfRule type="notContainsBlanks" dxfId="0" priority="168">
      <formula>LEN(TRIM(F41))&gt;0</formula>
    </cfRule>
  </conditionalFormatting>
  <conditionalFormatting sqref="F42">
    <cfRule type="notContainsBlanks" dxfId="0" priority="169">
      <formula>LEN(TRIM(F42))&gt;0</formula>
    </cfRule>
  </conditionalFormatting>
  <conditionalFormatting sqref="F43">
    <cfRule type="notContainsBlanks" dxfId="0" priority="170">
      <formula>LEN(TRIM(F43))&gt;0</formula>
    </cfRule>
  </conditionalFormatting>
  <conditionalFormatting sqref="F44">
    <cfRule type="notContainsBlanks" dxfId="0" priority="171">
      <formula>LEN(TRIM(F44))&gt;0</formula>
    </cfRule>
  </conditionalFormatting>
  <conditionalFormatting sqref="F45">
    <cfRule type="notContainsBlanks" dxfId="0" priority="172">
      <formula>LEN(TRIM(F45))&gt;0</formula>
    </cfRule>
  </conditionalFormatting>
  <conditionalFormatting sqref="F46">
    <cfRule type="notContainsBlanks" dxfId="0" priority="173">
      <formula>LEN(TRIM(F46))&gt;0</formula>
    </cfRule>
  </conditionalFormatting>
  <conditionalFormatting sqref="F47">
    <cfRule type="notContainsBlanks" dxfId="0" priority="174">
      <formula>LEN(TRIM(F47))&gt;0</formula>
    </cfRule>
  </conditionalFormatting>
  <conditionalFormatting sqref="F48">
    <cfRule type="notContainsBlanks" dxfId="0" priority="175">
      <formula>LEN(TRIM(F48))&gt;0</formula>
    </cfRule>
  </conditionalFormatting>
  <conditionalFormatting sqref="F5">
    <cfRule type="notContainsBlanks" dxfId="0" priority="176">
      <formula>LEN(TRIM(F5))&gt;0</formula>
    </cfRule>
  </conditionalFormatting>
  <conditionalFormatting sqref="F6">
    <cfRule type="notContainsBlanks" dxfId="0" priority="177">
      <formula>LEN(TRIM(F6))&gt;0</formula>
    </cfRule>
  </conditionalFormatting>
  <conditionalFormatting sqref="F7">
    <cfRule type="notContainsBlanks" dxfId="0" priority="178">
      <formula>LEN(TRIM(F7))&gt;0</formula>
    </cfRule>
  </conditionalFormatting>
  <conditionalFormatting sqref="F8">
    <cfRule type="notContainsBlanks" dxfId="0" priority="179">
      <formula>LEN(TRIM(F8))&gt;0</formula>
    </cfRule>
  </conditionalFormatting>
  <conditionalFormatting sqref="F9">
    <cfRule type="notContainsBlanks" dxfId="0" priority="180">
      <formula>LEN(TRIM(F9))&gt;0</formula>
    </cfRule>
  </conditionalFormatting>
  <conditionalFormatting sqref="G10">
    <cfRule type="notContainsBlanks" dxfId="0" priority="181">
      <formula>LEN(TRIM(G10))&gt;0</formula>
    </cfRule>
  </conditionalFormatting>
  <conditionalFormatting sqref="G11">
    <cfRule type="notContainsBlanks" dxfId="0" priority="182">
      <formula>LEN(TRIM(G11))&gt;0</formula>
    </cfRule>
  </conditionalFormatting>
  <conditionalFormatting sqref="G12">
    <cfRule type="notContainsBlanks" dxfId="0" priority="183">
      <formula>LEN(TRIM(G12))&gt;0</formula>
    </cfRule>
  </conditionalFormatting>
  <conditionalFormatting sqref="G13">
    <cfRule type="notContainsBlanks" dxfId="0" priority="184">
      <formula>LEN(TRIM(G13))&gt;0</formula>
    </cfRule>
  </conditionalFormatting>
  <conditionalFormatting sqref="G14">
    <cfRule type="notContainsBlanks" dxfId="0" priority="185">
      <formula>LEN(TRIM(G14))&gt;0</formula>
    </cfRule>
  </conditionalFormatting>
  <conditionalFormatting sqref="G15">
    <cfRule type="notContainsBlanks" dxfId="0" priority="186">
      <formula>LEN(TRIM(G15))&gt;0</formula>
    </cfRule>
  </conditionalFormatting>
  <conditionalFormatting sqref="G16">
    <cfRule type="notContainsBlanks" dxfId="0" priority="187">
      <formula>LEN(TRIM(G16))&gt;0</formula>
    </cfRule>
  </conditionalFormatting>
  <conditionalFormatting sqref="G17">
    <cfRule type="notContainsBlanks" dxfId="0" priority="188">
      <formula>LEN(TRIM(G17))&gt;0</formula>
    </cfRule>
  </conditionalFormatting>
  <conditionalFormatting sqref="G18">
    <cfRule type="notContainsBlanks" dxfId="0" priority="189">
      <formula>LEN(TRIM(G18))&gt;0</formula>
    </cfRule>
  </conditionalFormatting>
  <conditionalFormatting sqref="G19">
    <cfRule type="notContainsBlanks" dxfId="0" priority="190">
      <formula>LEN(TRIM(G19))&gt;0</formula>
    </cfRule>
  </conditionalFormatting>
  <conditionalFormatting sqref="G20">
    <cfRule type="notContainsBlanks" dxfId="0" priority="191">
      <formula>LEN(TRIM(G20))&gt;0</formula>
    </cfRule>
  </conditionalFormatting>
  <conditionalFormatting sqref="G21">
    <cfRule type="notContainsBlanks" dxfId="0" priority="192">
      <formula>LEN(TRIM(G21))&gt;0</formula>
    </cfRule>
  </conditionalFormatting>
  <conditionalFormatting sqref="G22">
    <cfRule type="notContainsBlanks" dxfId="0" priority="193">
      <formula>LEN(TRIM(G22))&gt;0</formula>
    </cfRule>
  </conditionalFormatting>
  <conditionalFormatting sqref="G23">
    <cfRule type="notContainsBlanks" dxfId="0" priority="194">
      <formula>LEN(TRIM(G23))&gt;0</formula>
    </cfRule>
  </conditionalFormatting>
  <conditionalFormatting sqref="G24">
    <cfRule type="notContainsBlanks" dxfId="0" priority="195">
      <formula>LEN(TRIM(G24))&gt;0</formula>
    </cfRule>
  </conditionalFormatting>
  <conditionalFormatting sqref="G25">
    <cfRule type="notContainsBlanks" dxfId="0" priority="196">
      <formula>LEN(TRIM(G25))&gt;0</formula>
    </cfRule>
  </conditionalFormatting>
  <conditionalFormatting sqref="G26">
    <cfRule type="notContainsBlanks" dxfId="0" priority="197">
      <formula>LEN(TRIM(G26))&gt;0</formula>
    </cfRule>
  </conditionalFormatting>
  <conditionalFormatting sqref="G27">
    <cfRule type="notContainsBlanks" dxfId="0" priority="198">
      <formula>LEN(TRIM(G27))&gt;0</formula>
    </cfRule>
  </conditionalFormatting>
  <conditionalFormatting sqref="G28">
    <cfRule type="notContainsBlanks" dxfId="0" priority="199">
      <formula>LEN(TRIM(G28))&gt;0</formula>
    </cfRule>
  </conditionalFormatting>
  <conditionalFormatting sqref="G29">
    <cfRule type="notContainsBlanks" dxfId="0" priority="200">
      <formula>LEN(TRIM(G29))&gt;0</formula>
    </cfRule>
  </conditionalFormatting>
  <conditionalFormatting sqref="G30">
    <cfRule type="notContainsBlanks" dxfId="0" priority="201">
      <formula>LEN(TRIM(G30))&gt;0</formula>
    </cfRule>
  </conditionalFormatting>
  <conditionalFormatting sqref="G31">
    <cfRule type="notContainsBlanks" dxfId="0" priority="202">
      <formula>LEN(TRIM(G31))&gt;0</formula>
    </cfRule>
  </conditionalFormatting>
  <conditionalFormatting sqref="G32">
    <cfRule type="notContainsBlanks" dxfId="0" priority="203">
      <formula>LEN(TRIM(G32))&gt;0</formula>
    </cfRule>
  </conditionalFormatting>
  <conditionalFormatting sqref="G33">
    <cfRule type="notContainsBlanks" dxfId="0" priority="204">
      <formula>LEN(TRIM(G33))&gt;0</formula>
    </cfRule>
  </conditionalFormatting>
  <conditionalFormatting sqref="G34">
    <cfRule type="notContainsBlanks" dxfId="0" priority="205">
      <formula>LEN(TRIM(G34))&gt;0</formula>
    </cfRule>
  </conditionalFormatting>
  <conditionalFormatting sqref="G35">
    <cfRule type="notContainsBlanks" dxfId="0" priority="206">
      <formula>LEN(TRIM(G35))&gt;0</formula>
    </cfRule>
  </conditionalFormatting>
  <conditionalFormatting sqref="G36">
    <cfRule type="notContainsBlanks" dxfId="0" priority="207">
      <formula>LEN(TRIM(G36))&gt;0</formula>
    </cfRule>
  </conditionalFormatting>
  <conditionalFormatting sqref="G37">
    <cfRule type="notContainsBlanks" dxfId="0" priority="208">
      <formula>LEN(TRIM(G37))&gt;0</formula>
    </cfRule>
  </conditionalFormatting>
  <conditionalFormatting sqref="G38">
    <cfRule type="notContainsBlanks" dxfId="0" priority="209">
      <formula>LEN(TRIM(G38))&gt;0</formula>
    </cfRule>
  </conditionalFormatting>
  <conditionalFormatting sqref="G39">
    <cfRule type="notContainsBlanks" dxfId="0" priority="210">
      <formula>LEN(TRIM(G39))&gt;0</formula>
    </cfRule>
  </conditionalFormatting>
  <conditionalFormatting sqref="G4">
    <cfRule type="notContainsBlanks" dxfId="0" priority="211">
      <formula>LEN(TRIM(G4))&gt;0</formula>
    </cfRule>
  </conditionalFormatting>
  <conditionalFormatting sqref="G40">
    <cfRule type="notContainsBlanks" dxfId="0" priority="212">
      <formula>LEN(TRIM(G40))&gt;0</formula>
    </cfRule>
  </conditionalFormatting>
  <conditionalFormatting sqref="G41">
    <cfRule type="notContainsBlanks" dxfId="0" priority="213">
      <formula>LEN(TRIM(G41))&gt;0</formula>
    </cfRule>
  </conditionalFormatting>
  <conditionalFormatting sqref="G42">
    <cfRule type="notContainsBlanks" dxfId="0" priority="214">
      <formula>LEN(TRIM(G42))&gt;0</formula>
    </cfRule>
  </conditionalFormatting>
  <conditionalFormatting sqref="G43">
    <cfRule type="notContainsBlanks" dxfId="0" priority="215">
      <formula>LEN(TRIM(G43))&gt;0</formula>
    </cfRule>
  </conditionalFormatting>
  <conditionalFormatting sqref="G44">
    <cfRule type="notContainsBlanks" dxfId="0" priority="216">
      <formula>LEN(TRIM(G44))&gt;0</formula>
    </cfRule>
  </conditionalFormatting>
  <conditionalFormatting sqref="G45">
    <cfRule type="notContainsBlanks" dxfId="0" priority="217">
      <formula>LEN(TRIM(G45))&gt;0</formula>
    </cfRule>
  </conditionalFormatting>
  <conditionalFormatting sqref="G46">
    <cfRule type="notContainsBlanks" dxfId="0" priority="218">
      <formula>LEN(TRIM(G46))&gt;0</formula>
    </cfRule>
  </conditionalFormatting>
  <conditionalFormatting sqref="G47">
    <cfRule type="notContainsBlanks" dxfId="0" priority="219">
      <formula>LEN(TRIM(G47))&gt;0</formula>
    </cfRule>
  </conditionalFormatting>
  <conditionalFormatting sqref="G48">
    <cfRule type="notContainsBlanks" dxfId="0" priority="220">
      <formula>LEN(TRIM(G48))&gt;0</formula>
    </cfRule>
  </conditionalFormatting>
  <conditionalFormatting sqref="G5">
    <cfRule type="notContainsBlanks" dxfId="0" priority="221">
      <formula>LEN(TRIM(G5))&gt;0</formula>
    </cfRule>
  </conditionalFormatting>
  <conditionalFormatting sqref="G6">
    <cfRule type="notContainsBlanks" dxfId="0" priority="222">
      <formula>LEN(TRIM(G6))&gt;0</formula>
    </cfRule>
  </conditionalFormatting>
  <conditionalFormatting sqref="G7">
    <cfRule type="notContainsBlanks" dxfId="0" priority="223">
      <formula>LEN(TRIM(G7))&gt;0</formula>
    </cfRule>
  </conditionalFormatting>
  <conditionalFormatting sqref="G8">
    <cfRule type="notContainsBlanks" dxfId="0" priority="224">
      <formula>LEN(TRIM(G8))&gt;0</formula>
    </cfRule>
  </conditionalFormatting>
  <conditionalFormatting sqref="G9">
    <cfRule type="notContainsBlanks" dxfId="0" priority="225">
      <formula>LEN(TRIM(G9))&gt;0</formula>
    </cfRule>
  </conditionalFormatting>
  <conditionalFormatting sqref="H10:I10">
    <cfRule type="notContainsBlanks" dxfId="1" priority="226">
      <formula>LEN(TRIM(H10))&gt;0</formula>
    </cfRule>
  </conditionalFormatting>
  <conditionalFormatting sqref="H11:I11">
    <cfRule type="notContainsBlanks" dxfId="1" priority="227">
      <formula>LEN(TRIM(H11))&gt;0</formula>
    </cfRule>
  </conditionalFormatting>
  <conditionalFormatting sqref="H12:I12">
    <cfRule type="notContainsBlanks" dxfId="1" priority="228">
      <formula>LEN(TRIM(H12))&gt;0</formula>
    </cfRule>
  </conditionalFormatting>
  <conditionalFormatting sqref="H13:I13">
    <cfRule type="notContainsBlanks" dxfId="1" priority="229">
      <formula>LEN(TRIM(H13))&gt;0</formula>
    </cfRule>
  </conditionalFormatting>
  <conditionalFormatting sqref="H14:I14">
    <cfRule type="notContainsBlanks" dxfId="1" priority="230">
      <formula>LEN(TRIM(H14))&gt;0</formula>
    </cfRule>
  </conditionalFormatting>
  <conditionalFormatting sqref="H15:I15">
    <cfRule type="notContainsBlanks" dxfId="1" priority="231">
      <formula>LEN(TRIM(H15))&gt;0</formula>
    </cfRule>
  </conditionalFormatting>
  <conditionalFormatting sqref="H16:I16">
    <cfRule type="notContainsBlanks" dxfId="1" priority="232">
      <formula>LEN(TRIM(H16))&gt;0</formula>
    </cfRule>
  </conditionalFormatting>
  <conditionalFormatting sqref="H17:I17">
    <cfRule type="notContainsBlanks" dxfId="1" priority="233">
      <formula>LEN(TRIM(H17))&gt;0</formula>
    </cfRule>
  </conditionalFormatting>
  <conditionalFormatting sqref="H18:I18">
    <cfRule type="notContainsBlanks" dxfId="1" priority="234">
      <formula>LEN(TRIM(H18))&gt;0</formula>
    </cfRule>
  </conditionalFormatting>
  <conditionalFormatting sqref="H19:I19">
    <cfRule type="notContainsBlanks" dxfId="1" priority="235">
      <formula>LEN(TRIM(H19))&gt;0</formula>
    </cfRule>
  </conditionalFormatting>
  <conditionalFormatting sqref="H20:I20">
    <cfRule type="notContainsBlanks" dxfId="1" priority="236">
      <formula>LEN(TRIM(H20))&gt;0</formula>
    </cfRule>
  </conditionalFormatting>
  <conditionalFormatting sqref="H21:I21">
    <cfRule type="notContainsBlanks" dxfId="1" priority="237">
      <formula>LEN(TRIM(H21))&gt;0</formula>
    </cfRule>
  </conditionalFormatting>
  <conditionalFormatting sqref="H22:I22">
    <cfRule type="notContainsBlanks" dxfId="1" priority="238">
      <formula>LEN(TRIM(H22))&gt;0</formula>
    </cfRule>
  </conditionalFormatting>
  <conditionalFormatting sqref="H23:I23">
    <cfRule type="notContainsBlanks" dxfId="1" priority="239">
      <formula>LEN(TRIM(H23))&gt;0</formula>
    </cfRule>
  </conditionalFormatting>
  <conditionalFormatting sqref="H24:I24">
    <cfRule type="notContainsBlanks" dxfId="1" priority="240">
      <formula>LEN(TRIM(H24))&gt;0</formula>
    </cfRule>
  </conditionalFormatting>
  <conditionalFormatting sqref="H25:I25">
    <cfRule type="notContainsBlanks" dxfId="1" priority="241">
      <formula>LEN(TRIM(H25))&gt;0</formula>
    </cfRule>
  </conditionalFormatting>
  <conditionalFormatting sqref="H26:I26">
    <cfRule type="notContainsBlanks" dxfId="1" priority="242">
      <formula>LEN(TRIM(H26))&gt;0</formula>
    </cfRule>
  </conditionalFormatting>
  <conditionalFormatting sqref="H27:I27">
    <cfRule type="notContainsBlanks" dxfId="1" priority="243">
      <formula>LEN(TRIM(H27))&gt;0</formula>
    </cfRule>
  </conditionalFormatting>
  <conditionalFormatting sqref="H28:I28">
    <cfRule type="notContainsBlanks" dxfId="1" priority="244">
      <formula>LEN(TRIM(H28))&gt;0</formula>
    </cfRule>
  </conditionalFormatting>
  <conditionalFormatting sqref="H29:I29">
    <cfRule type="notContainsBlanks" dxfId="1" priority="245">
      <formula>LEN(TRIM(H29))&gt;0</formula>
    </cfRule>
  </conditionalFormatting>
  <conditionalFormatting sqref="H30:I30">
    <cfRule type="notContainsBlanks" dxfId="1" priority="246">
      <formula>LEN(TRIM(H30))&gt;0</formula>
    </cfRule>
  </conditionalFormatting>
  <conditionalFormatting sqref="H31:I31">
    <cfRule type="notContainsBlanks" dxfId="1" priority="247">
      <formula>LEN(TRIM(H31))&gt;0</formula>
    </cfRule>
  </conditionalFormatting>
  <conditionalFormatting sqref="H32:I32">
    <cfRule type="notContainsBlanks" dxfId="1" priority="248">
      <formula>LEN(TRIM(H32))&gt;0</formula>
    </cfRule>
  </conditionalFormatting>
  <conditionalFormatting sqref="H33:I33">
    <cfRule type="notContainsBlanks" dxfId="1" priority="249">
      <formula>LEN(TRIM(H33))&gt;0</formula>
    </cfRule>
  </conditionalFormatting>
  <conditionalFormatting sqref="H34:I34">
    <cfRule type="notContainsBlanks" dxfId="1" priority="250">
      <formula>LEN(TRIM(H34))&gt;0</formula>
    </cfRule>
  </conditionalFormatting>
  <conditionalFormatting sqref="H35:I35">
    <cfRule type="notContainsBlanks" dxfId="1" priority="251">
      <formula>LEN(TRIM(H35))&gt;0</formula>
    </cfRule>
  </conditionalFormatting>
  <conditionalFormatting sqref="H36:I36">
    <cfRule type="notContainsBlanks" dxfId="1" priority="252">
      <formula>LEN(TRIM(H36))&gt;0</formula>
    </cfRule>
  </conditionalFormatting>
  <conditionalFormatting sqref="H37:I37">
    <cfRule type="notContainsBlanks" dxfId="1" priority="253">
      <formula>LEN(TRIM(H37))&gt;0</formula>
    </cfRule>
  </conditionalFormatting>
  <conditionalFormatting sqref="H38:I38">
    <cfRule type="notContainsBlanks" dxfId="1" priority="254">
      <formula>LEN(TRIM(H38))&gt;0</formula>
    </cfRule>
  </conditionalFormatting>
  <conditionalFormatting sqref="H39:I39">
    <cfRule type="notContainsBlanks" dxfId="1" priority="255">
      <formula>LEN(TRIM(H39))&gt;0</formula>
    </cfRule>
  </conditionalFormatting>
  <conditionalFormatting sqref="H4:H48 I4">
    <cfRule type="notContainsBlanks" dxfId="1" priority="256">
      <formula>LEN(TRIM(H4))&gt;0</formula>
    </cfRule>
  </conditionalFormatting>
  <conditionalFormatting sqref="H40:I40">
    <cfRule type="notContainsBlanks" dxfId="1" priority="257">
      <formula>LEN(TRIM(H40))&gt;0</formula>
    </cfRule>
  </conditionalFormatting>
  <conditionalFormatting sqref="H41:I41">
    <cfRule type="notContainsBlanks" dxfId="1" priority="258">
      <formula>LEN(TRIM(H41))&gt;0</formula>
    </cfRule>
  </conditionalFormatting>
  <conditionalFormatting sqref="H42:I42">
    <cfRule type="notContainsBlanks" dxfId="1" priority="259">
      <formula>LEN(TRIM(H42))&gt;0</formula>
    </cfRule>
  </conditionalFormatting>
  <conditionalFormatting sqref="H43:I43">
    <cfRule type="notContainsBlanks" dxfId="1" priority="260">
      <formula>LEN(TRIM(H43))&gt;0</formula>
    </cfRule>
  </conditionalFormatting>
  <conditionalFormatting sqref="H44:I44">
    <cfRule type="notContainsBlanks" dxfId="1" priority="261">
      <formula>LEN(TRIM(H44))&gt;0</formula>
    </cfRule>
  </conditionalFormatting>
  <conditionalFormatting sqref="H45:I45">
    <cfRule type="notContainsBlanks" dxfId="1" priority="262">
      <formula>LEN(TRIM(H45))&gt;0</formula>
    </cfRule>
  </conditionalFormatting>
  <conditionalFormatting sqref="H46:I46">
    <cfRule type="notContainsBlanks" dxfId="1" priority="263">
      <formula>LEN(TRIM(H46))&gt;0</formula>
    </cfRule>
  </conditionalFormatting>
  <conditionalFormatting sqref="H47:I47">
    <cfRule type="notContainsBlanks" dxfId="1" priority="264">
      <formula>LEN(TRIM(H47))&gt;0</formula>
    </cfRule>
  </conditionalFormatting>
  <conditionalFormatting sqref="H48:I48">
    <cfRule type="notContainsBlanks" dxfId="1" priority="265">
      <formula>LEN(TRIM(H48))&gt;0</formula>
    </cfRule>
  </conditionalFormatting>
  <conditionalFormatting sqref="H5:I5">
    <cfRule type="notContainsBlanks" dxfId="1" priority="266">
      <formula>LEN(TRIM(H5))&gt;0</formula>
    </cfRule>
  </conditionalFormatting>
  <conditionalFormatting sqref="H6:I6">
    <cfRule type="notContainsBlanks" dxfId="1" priority="267">
      <formula>LEN(TRIM(H6))&gt;0</formula>
    </cfRule>
  </conditionalFormatting>
  <conditionalFormatting sqref="H7:I7">
    <cfRule type="notContainsBlanks" dxfId="1" priority="268">
      <formula>LEN(TRIM(H7))&gt;0</formula>
    </cfRule>
  </conditionalFormatting>
  <conditionalFormatting sqref="H8:I8">
    <cfRule type="notContainsBlanks" dxfId="1" priority="269">
      <formula>LEN(TRIM(H8))&gt;0</formula>
    </cfRule>
  </conditionalFormatting>
  <conditionalFormatting sqref="H9:I9">
    <cfRule type="notContainsBlanks" dxfId="1" priority="270">
      <formula>LEN(TRIM(H9))&gt;0</formula>
    </cfRule>
  </conditionalFormatting>
  <conditionalFormatting sqref="J10">
    <cfRule type="notContainsBlanks" dxfId="1" priority="271">
      <formula>LEN(TRIM(J10))&gt;0</formula>
    </cfRule>
  </conditionalFormatting>
  <conditionalFormatting sqref="J11">
    <cfRule type="notContainsBlanks" dxfId="1" priority="272">
      <formula>LEN(TRIM(J11))&gt;0</formula>
    </cfRule>
  </conditionalFormatting>
  <conditionalFormatting sqref="J12">
    <cfRule type="notContainsBlanks" dxfId="1" priority="273">
      <formula>LEN(TRIM(J12))&gt;0</formula>
    </cfRule>
  </conditionalFormatting>
  <conditionalFormatting sqref="J13">
    <cfRule type="notContainsBlanks" dxfId="1" priority="274">
      <formula>LEN(TRIM(J13))&gt;0</formula>
    </cfRule>
  </conditionalFormatting>
  <conditionalFormatting sqref="J14">
    <cfRule type="notContainsBlanks" dxfId="1" priority="275">
      <formula>LEN(TRIM(J14))&gt;0</formula>
    </cfRule>
  </conditionalFormatting>
  <conditionalFormatting sqref="J15">
    <cfRule type="notContainsBlanks" dxfId="1" priority="276">
      <formula>LEN(TRIM(J15))&gt;0</formula>
    </cfRule>
  </conditionalFormatting>
  <conditionalFormatting sqref="J16">
    <cfRule type="notContainsBlanks" dxfId="1" priority="277">
      <formula>LEN(TRIM(J16))&gt;0</formula>
    </cfRule>
  </conditionalFormatting>
  <conditionalFormatting sqref="J17">
    <cfRule type="notContainsBlanks" dxfId="1" priority="278">
      <formula>LEN(TRIM(J17))&gt;0</formula>
    </cfRule>
  </conditionalFormatting>
  <conditionalFormatting sqref="J18">
    <cfRule type="notContainsBlanks" dxfId="1" priority="279">
      <formula>LEN(TRIM(J18))&gt;0</formula>
    </cfRule>
  </conditionalFormatting>
  <conditionalFormatting sqref="J19">
    <cfRule type="notContainsBlanks" dxfId="1" priority="280">
      <formula>LEN(TRIM(J19))&gt;0</formula>
    </cfRule>
  </conditionalFormatting>
  <conditionalFormatting sqref="J20">
    <cfRule type="notContainsBlanks" dxfId="1" priority="281">
      <formula>LEN(TRIM(J20))&gt;0</formula>
    </cfRule>
  </conditionalFormatting>
  <conditionalFormatting sqref="J21">
    <cfRule type="notContainsBlanks" dxfId="1" priority="282">
      <formula>LEN(TRIM(J21))&gt;0</formula>
    </cfRule>
  </conditionalFormatting>
  <conditionalFormatting sqref="J22">
    <cfRule type="notContainsBlanks" dxfId="1" priority="283">
      <formula>LEN(TRIM(J22))&gt;0</formula>
    </cfRule>
  </conditionalFormatting>
  <conditionalFormatting sqref="J23">
    <cfRule type="notContainsBlanks" dxfId="1" priority="284">
      <formula>LEN(TRIM(J23))&gt;0</formula>
    </cfRule>
  </conditionalFormatting>
  <conditionalFormatting sqref="J24">
    <cfRule type="notContainsBlanks" dxfId="1" priority="285">
      <formula>LEN(TRIM(J24))&gt;0</formula>
    </cfRule>
  </conditionalFormatting>
  <conditionalFormatting sqref="J25">
    <cfRule type="notContainsBlanks" dxfId="1" priority="286">
      <formula>LEN(TRIM(J25))&gt;0</formula>
    </cfRule>
  </conditionalFormatting>
  <conditionalFormatting sqref="J26">
    <cfRule type="notContainsBlanks" dxfId="1" priority="287">
      <formula>LEN(TRIM(J26))&gt;0</formula>
    </cfRule>
  </conditionalFormatting>
  <conditionalFormatting sqref="J27">
    <cfRule type="notContainsBlanks" dxfId="1" priority="288">
      <formula>LEN(TRIM(J27))&gt;0</formula>
    </cfRule>
  </conditionalFormatting>
  <conditionalFormatting sqref="J28">
    <cfRule type="notContainsBlanks" dxfId="1" priority="289">
      <formula>LEN(TRIM(J28))&gt;0</formula>
    </cfRule>
  </conditionalFormatting>
  <conditionalFormatting sqref="J29">
    <cfRule type="notContainsBlanks" dxfId="1" priority="290">
      <formula>LEN(TRIM(J29))&gt;0</formula>
    </cfRule>
  </conditionalFormatting>
  <conditionalFormatting sqref="J30">
    <cfRule type="notContainsBlanks" dxfId="1" priority="291">
      <formula>LEN(TRIM(J30))&gt;0</formula>
    </cfRule>
  </conditionalFormatting>
  <conditionalFormatting sqref="J31">
    <cfRule type="notContainsBlanks" dxfId="1" priority="292">
      <formula>LEN(TRIM(J31))&gt;0</formula>
    </cfRule>
  </conditionalFormatting>
  <conditionalFormatting sqref="J32">
    <cfRule type="notContainsBlanks" dxfId="1" priority="293">
      <formula>LEN(TRIM(J32))&gt;0</formula>
    </cfRule>
  </conditionalFormatting>
  <conditionalFormatting sqref="J33">
    <cfRule type="notContainsBlanks" dxfId="1" priority="294">
      <formula>LEN(TRIM(J33))&gt;0</formula>
    </cfRule>
  </conditionalFormatting>
  <conditionalFormatting sqref="J34">
    <cfRule type="notContainsBlanks" dxfId="1" priority="295">
      <formula>LEN(TRIM(J34))&gt;0</formula>
    </cfRule>
  </conditionalFormatting>
  <conditionalFormatting sqref="J35">
    <cfRule type="notContainsBlanks" dxfId="1" priority="296">
      <formula>LEN(TRIM(J35))&gt;0</formula>
    </cfRule>
  </conditionalFormatting>
  <conditionalFormatting sqref="J36">
    <cfRule type="notContainsBlanks" dxfId="1" priority="297">
      <formula>LEN(TRIM(J36))&gt;0</formula>
    </cfRule>
  </conditionalFormatting>
  <conditionalFormatting sqref="J37">
    <cfRule type="notContainsBlanks" dxfId="1" priority="298">
      <formula>LEN(TRIM(J37))&gt;0</formula>
    </cfRule>
  </conditionalFormatting>
  <conditionalFormatting sqref="J38">
    <cfRule type="notContainsBlanks" dxfId="1" priority="299">
      <formula>LEN(TRIM(J38))&gt;0</formula>
    </cfRule>
  </conditionalFormatting>
  <conditionalFormatting sqref="J39">
    <cfRule type="notContainsBlanks" dxfId="1" priority="300">
      <formula>LEN(TRIM(J39))&gt;0</formula>
    </cfRule>
  </conditionalFormatting>
  <conditionalFormatting sqref="J4">
    <cfRule type="notContainsBlanks" dxfId="1" priority="301">
      <formula>LEN(TRIM(J4))&gt;0</formula>
    </cfRule>
  </conditionalFormatting>
  <conditionalFormatting sqref="J40">
    <cfRule type="notContainsBlanks" dxfId="1" priority="302">
      <formula>LEN(TRIM(J40))&gt;0</formula>
    </cfRule>
  </conditionalFormatting>
  <conditionalFormatting sqref="J41">
    <cfRule type="notContainsBlanks" dxfId="1" priority="303">
      <formula>LEN(TRIM(J41))&gt;0</formula>
    </cfRule>
  </conditionalFormatting>
  <conditionalFormatting sqref="J42">
    <cfRule type="notContainsBlanks" dxfId="1" priority="304">
      <formula>LEN(TRIM(J42))&gt;0</formula>
    </cfRule>
  </conditionalFormatting>
  <conditionalFormatting sqref="J43">
    <cfRule type="notContainsBlanks" dxfId="1" priority="305">
      <formula>LEN(TRIM(J43))&gt;0</formula>
    </cfRule>
  </conditionalFormatting>
  <conditionalFormatting sqref="J44">
    <cfRule type="notContainsBlanks" dxfId="1" priority="306">
      <formula>LEN(TRIM(J44))&gt;0</formula>
    </cfRule>
  </conditionalFormatting>
  <conditionalFormatting sqref="J45">
    <cfRule type="notContainsBlanks" dxfId="1" priority="307">
      <formula>LEN(TRIM(J45))&gt;0</formula>
    </cfRule>
  </conditionalFormatting>
  <conditionalFormatting sqref="J46">
    <cfRule type="notContainsBlanks" dxfId="1" priority="308">
      <formula>LEN(TRIM(J46))&gt;0</formula>
    </cfRule>
  </conditionalFormatting>
  <conditionalFormatting sqref="J47">
    <cfRule type="notContainsBlanks" dxfId="1" priority="309">
      <formula>LEN(TRIM(J47))&gt;0</formula>
    </cfRule>
  </conditionalFormatting>
  <conditionalFormatting sqref="J48">
    <cfRule type="notContainsBlanks" dxfId="1" priority="310">
      <formula>LEN(TRIM(J48))&gt;0</formula>
    </cfRule>
  </conditionalFormatting>
  <conditionalFormatting sqref="J5">
    <cfRule type="notContainsBlanks" dxfId="1" priority="311">
      <formula>LEN(TRIM(J5))&gt;0</formula>
    </cfRule>
  </conditionalFormatting>
  <conditionalFormatting sqref="J6">
    <cfRule type="notContainsBlanks" dxfId="1" priority="312">
      <formula>LEN(TRIM(J6))&gt;0</formula>
    </cfRule>
  </conditionalFormatting>
  <conditionalFormatting sqref="J7">
    <cfRule type="notContainsBlanks" dxfId="1" priority="313">
      <formula>LEN(TRIM(J7))&gt;0</formula>
    </cfRule>
  </conditionalFormatting>
  <conditionalFormatting sqref="J8">
    <cfRule type="notContainsBlanks" dxfId="1" priority="314">
      <formula>LEN(TRIM(J8))&gt;0</formula>
    </cfRule>
  </conditionalFormatting>
  <conditionalFormatting sqref="J9">
    <cfRule type="notContainsBlanks" dxfId="1" priority="315">
      <formula>LEN(TRIM(J9))&gt;0</formula>
    </cfRule>
  </conditionalFormatting>
  <conditionalFormatting sqref="K10">
    <cfRule type="notContainsBlanks" dxfId="1" priority="316">
      <formula>LEN(TRIM(K10))&gt;0</formula>
    </cfRule>
  </conditionalFormatting>
  <conditionalFormatting sqref="K11">
    <cfRule type="notContainsBlanks" dxfId="1" priority="317">
      <formula>LEN(TRIM(K11))&gt;0</formula>
    </cfRule>
  </conditionalFormatting>
  <conditionalFormatting sqref="K12">
    <cfRule type="notContainsBlanks" dxfId="1" priority="318">
      <formula>LEN(TRIM(K12))&gt;0</formula>
    </cfRule>
  </conditionalFormatting>
  <conditionalFormatting sqref="K13">
    <cfRule type="notContainsBlanks" dxfId="1" priority="319">
      <formula>LEN(TRIM(K13))&gt;0</formula>
    </cfRule>
  </conditionalFormatting>
  <conditionalFormatting sqref="K14">
    <cfRule type="notContainsBlanks" dxfId="1" priority="320">
      <formula>LEN(TRIM(K14))&gt;0</formula>
    </cfRule>
  </conditionalFormatting>
  <conditionalFormatting sqref="K15">
    <cfRule type="notContainsBlanks" dxfId="1" priority="321">
      <formula>LEN(TRIM(K15))&gt;0</formula>
    </cfRule>
  </conditionalFormatting>
  <conditionalFormatting sqref="K16">
    <cfRule type="notContainsBlanks" dxfId="1" priority="322">
      <formula>LEN(TRIM(K16))&gt;0</formula>
    </cfRule>
  </conditionalFormatting>
  <conditionalFormatting sqref="K17">
    <cfRule type="notContainsBlanks" dxfId="1" priority="323">
      <formula>LEN(TRIM(K17))&gt;0</formula>
    </cfRule>
  </conditionalFormatting>
  <conditionalFormatting sqref="K18">
    <cfRule type="notContainsBlanks" dxfId="1" priority="324">
      <formula>LEN(TRIM(K18))&gt;0</formula>
    </cfRule>
  </conditionalFormatting>
  <conditionalFormatting sqref="K19">
    <cfRule type="notContainsBlanks" dxfId="1" priority="325">
      <formula>LEN(TRIM(K19))&gt;0</formula>
    </cfRule>
  </conditionalFormatting>
  <conditionalFormatting sqref="K20">
    <cfRule type="notContainsBlanks" dxfId="1" priority="326">
      <formula>LEN(TRIM(K20))&gt;0</formula>
    </cfRule>
  </conditionalFormatting>
  <conditionalFormatting sqref="K21">
    <cfRule type="notContainsBlanks" dxfId="1" priority="327">
      <formula>LEN(TRIM(K21))&gt;0</formula>
    </cfRule>
  </conditionalFormatting>
  <conditionalFormatting sqref="K22">
    <cfRule type="notContainsBlanks" dxfId="1" priority="328">
      <formula>LEN(TRIM(K22))&gt;0</formula>
    </cfRule>
  </conditionalFormatting>
  <conditionalFormatting sqref="K23">
    <cfRule type="notContainsBlanks" dxfId="1" priority="329">
      <formula>LEN(TRIM(K23))&gt;0</formula>
    </cfRule>
  </conditionalFormatting>
  <conditionalFormatting sqref="K24">
    <cfRule type="notContainsBlanks" dxfId="1" priority="330">
      <formula>LEN(TRIM(K24))&gt;0</formula>
    </cfRule>
  </conditionalFormatting>
  <conditionalFormatting sqref="K25">
    <cfRule type="notContainsBlanks" dxfId="1" priority="331">
      <formula>LEN(TRIM(K25))&gt;0</formula>
    </cfRule>
  </conditionalFormatting>
  <conditionalFormatting sqref="K26">
    <cfRule type="notContainsBlanks" dxfId="1" priority="332">
      <formula>LEN(TRIM(K26))&gt;0</formula>
    </cfRule>
  </conditionalFormatting>
  <conditionalFormatting sqref="K27">
    <cfRule type="notContainsBlanks" dxfId="1" priority="333">
      <formula>LEN(TRIM(K27))&gt;0</formula>
    </cfRule>
  </conditionalFormatting>
  <conditionalFormatting sqref="K28">
    <cfRule type="notContainsBlanks" dxfId="1" priority="334">
      <formula>LEN(TRIM(K28))&gt;0</formula>
    </cfRule>
  </conditionalFormatting>
  <conditionalFormatting sqref="K29">
    <cfRule type="notContainsBlanks" dxfId="1" priority="335">
      <formula>LEN(TRIM(K29))&gt;0</formula>
    </cfRule>
  </conditionalFormatting>
  <conditionalFormatting sqref="K30">
    <cfRule type="notContainsBlanks" dxfId="1" priority="336">
      <formula>LEN(TRIM(K30))&gt;0</formula>
    </cfRule>
  </conditionalFormatting>
  <conditionalFormatting sqref="K31">
    <cfRule type="notContainsBlanks" dxfId="1" priority="337">
      <formula>LEN(TRIM(K31))&gt;0</formula>
    </cfRule>
  </conditionalFormatting>
  <conditionalFormatting sqref="K32">
    <cfRule type="notContainsBlanks" dxfId="1" priority="338">
      <formula>LEN(TRIM(K32))&gt;0</formula>
    </cfRule>
  </conditionalFormatting>
  <conditionalFormatting sqref="K33">
    <cfRule type="notContainsBlanks" dxfId="1" priority="339">
      <formula>LEN(TRIM(K33))&gt;0</formula>
    </cfRule>
  </conditionalFormatting>
  <conditionalFormatting sqref="K34">
    <cfRule type="notContainsBlanks" dxfId="1" priority="340">
      <formula>LEN(TRIM(K34))&gt;0</formula>
    </cfRule>
  </conditionalFormatting>
  <conditionalFormatting sqref="K35">
    <cfRule type="notContainsBlanks" dxfId="1" priority="341">
      <formula>LEN(TRIM(K35))&gt;0</formula>
    </cfRule>
  </conditionalFormatting>
  <conditionalFormatting sqref="K36">
    <cfRule type="notContainsBlanks" dxfId="1" priority="342">
      <formula>LEN(TRIM(K36))&gt;0</formula>
    </cfRule>
  </conditionalFormatting>
  <conditionalFormatting sqref="K37">
    <cfRule type="notContainsBlanks" dxfId="1" priority="343">
      <formula>LEN(TRIM(K37))&gt;0</formula>
    </cfRule>
  </conditionalFormatting>
  <conditionalFormatting sqref="K38">
    <cfRule type="notContainsBlanks" dxfId="1" priority="344">
      <formula>LEN(TRIM(K38))&gt;0</formula>
    </cfRule>
  </conditionalFormatting>
  <conditionalFormatting sqref="K39">
    <cfRule type="notContainsBlanks" dxfId="1" priority="345">
      <formula>LEN(TRIM(K39))&gt;0</formula>
    </cfRule>
  </conditionalFormatting>
  <conditionalFormatting sqref="K4">
    <cfRule type="notContainsBlanks" dxfId="1" priority="346">
      <formula>LEN(TRIM(K4))&gt;0</formula>
    </cfRule>
  </conditionalFormatting>
  <conditionalFormatting sqref="K40">
    <cfRule type="notContainsBlanks" dxfId="1" priority="347">
      <formula>LEN(TRIM(K40))&gt;0</formula>
    </cfRule>
  </conditionalFormatting>
  <conditionalFormatting sqref="K41">
    <cfRule type="notContainsBlanks" dxfId="1" priority="348">
      <formula>LEN(TRIM(K41))&gt;0</formula>
    </cfRule>
  </conditionalFormatting>
  <conditionalFormatting sqref="K42">
    <cfRule type="notContainsBlanks" dxfId="1" priority="349">
      <formula>LEN(TRIM(K42))&gt;0</formula>
    </cfRule>
  </conditionalFormatting>
  <conditionalFormatting sqref="K43">
    <cfRule type="notContainsBlanks" dxfId="1" priority="350">
      <formula>LEN(TRIM(K43))&gt;0</formula>
    </cfRule>
  </conditionalFormatting>
  <conditionalFormatting sqref="K44">
    <cfRule type="notContainsBlanks" dxfId="1" priority="351">
      <formula>LEN(TRIM(K44))&gt;0</formula>
    </cfRule>
  </conditionalFormatting>
  <conditionalFormatting sqref="K45">
    <cfRule type="notContainsBlanks" dxfId="1" priority="352">
      <formula>LEN(TRIM(K45))&gt;0</formula>
    </cfRule>
  </conditionalFormatting>
  <conditionalFormatting sqref="K46">
    <cfRule type="notContainsBlanks" dxfId="1" priority="353">
      <formula>LEN(TRIM(K46))&gt;0</formula>
    </cfRule>
  </conditionalFormatting>
  <conditionalFormatting sqref="K47">
    <cfRule type="notContainsBlanks" dxfId="1" priority="354">
      <formula>LEN(TRIM(K47))&gt;0</formula>
    </cfRule>
  </conditionalFormatting>
  <conditionalFormatting sqref="K48">
    <cfRule type="notContainsBlanks" dxfId="1" priority="355">
      <formula>LEN(TRIM(K48))&gt;0</formula>
    </cfRule>
  </conditionalFormatting>
  <conditionalFormatting sqref="K5">
    <cfRule type="notContainsBlanks" dxfId="1" priority="356">
      <formula>LEN(TRIM(K5))&gt;0</formula>
    </cfRule>
  </conditionalFormatting>
  <conditionalFormatting sqref="K6">
    <cfRule type="notContainsBlanks" dxfId="1" priority="357">
      <formula>LEN(TRIM(K6))&gt;0</formula>
    </cfRule>
  </conditionalFormatting>
  <conditionalFormatting sqref="K7">
    <cfRule type="notContainsBlanks" dxfId="1" priority="358">
      <formula>LEN(TRIM(K7))&gt;0</formula>
    </cfRule>
  </conditionalFormatting>
  <conditionalFormatting sqref="K8">
    <cfRule type="notContainsBlanks" dxfId="1" priority="359">
      <formula>LEN(TRIM(K8))&gt;0</formula>
    </cfRule>
  </conditionalFormatting>
  <conditionalFormatting sqref="K9">
    <cfRule type="notContainsBlanks" dxfId="1" priority="360">
      <formula>LEN(TRIM(K9))&gt;0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202</v>
      </c>
      <c r="B1" s="1" t="s">
        <v>204</v>
      </c>
      <c r="C1" s="1" t="s">
        <v>205</v>
      </c>
      <c r="D1" s="1" t="s">
        <v>206</v>
      </c>
      <c r="E1" s="1" t="s">
        <v>207</v>
      </c>
      <c r="F1" s="1" t="s">
        <v>38</v>
      </c>
      <c r="G1" s="1" t="s">
        <v>208</v>
      </c>
      <c r="H1" s="1" t="s">
        <v>209</v>
      </c>
      <c r="I1" s="1" t="s">
        <v>210</v>
      </c>
      <c r="J1" s="1" t="s">
        <v>211</v>
      </c>
      <c r="K1" s="1" t="s">
        <v>212</v>
      </c>
    </row>
    <row r="2">
      <c r="A2" s="1" t="s">
        <v>193</v>
      </c>
      <c r="B2" s="1" t="s">
        <v>214</v>
      </c>
      <c r="C2" s="1" t="s">
        <v>215</v>
      </c>
      <c r="D2" s="1" t="s">
        <v>37</v>
      </c>
      <c r="E2" s="1" t="s">
        <v>216</v>
      </c>
      <c r="F2" s="17">
        <v>874.0</v>
      </c>
      <c r="G2" s="17">
        <v>405.55</v>
      </c>
      <c r="H2" s="17">
        <v>354450.7</v>
      </c>
      <c r="I2" s="17">
        <v>0.0</v>
      </c>
      <c r="J2" s="17">
        <v>82.74</v>
      </c>
      <c r="K2" s="17">
        <v>293272.5</v>
      </c>
    </row>
    <row r="3">
      <c r="A3" s="1" t="s">
        <v>193</v>
      </c>
      <c r="B3" s="1" t="s">
        <v>214</v>
      </c>
      <c r="C3" s="1" t="s">
        <v>217</v>
      </c>
      <c r="D3" s="1" t="s">
        <v>194</v>
      </c>
      <c r="E3" s="21"/>
      <c r="F3" s="17">
        <v>179.0</v>
      </c>
      <c r="G3" s="17">
        <v>3281.6</v>
      </c>
      <c r="H3" s="17">
        <v>587406.4</v>
      </c>
      <c r="I3" s="17">
        <v>0.0</v>
      </c>
      <c r="J3" s="17">
        <v>0.0</v>
      </c>
      <c r="K3" s="17">
        <v>0.0</v>
      </c>
    </row>
    <row r="4">
      <c r="A4" s="1" t="s">
        <v>193</v>
      </c>
      <c r="B4" s="1" t="s">
        <v>214</v>
      </c>
      <c r="C4" s="1" t="s">
        <v>218</v>
      </c>
      <c r="D4" s="1" t="s">
        <v>103</v>
      </c>
      <c r="E4" s="1" t="s">
        <v>219</v>
      </c>
      <c r="F4" s="17">
        <v>237.0</v>
      </c>
      <c r="G4" s="17">
        <v>1581.4</v>
      </c>
      <c r="H4" s="17">
        <v>374791.8</v>
      </c>
      <c r="I4" s="17">
        <v>0.0</v>
      </c>
      <c r="J4" s="17">
        <v>78.46</v>
      </c>
      <c r="K4" s="17">
        <v>294061.6</v>
      </c>
    </row>
    <row r="5">
      <c r="A5" s="1" t="s">
        <v>193</v>
      </c>
      <c r="B5" s="1" t="s">
        <v>214</v>
      </c>
      <c r="C5" s="1" t="s">
        <v>220</v>
      </c>
      <c r="D5" s="1" t="s">
        <v>108</v>
      </c>
      <c r="E5" s="1" t="s">
        <v>221</v>
      </c>
      <c r="F5" s="17">
        <v>1909.0</v>
      </c>
      <c r="G5" s="17">
        <v>212.63</v>
      </c>
      <c r="H5" s="17">
        <v>405910.7</v>
      </c>
      <c r="I5" s="17">
        <v>0.0</v>
      </c>
      <c r="J5" s="17">
        <v>79.3</v>
      </c>
      <c r="K5" s="17">
        <v>321887.2</v>
      </c>
    </row>
    <row r="6">
      <c r="A6" s="1" t="s">
        <v>193</v>
      </c>
      <c r="B6" s="1" t="s">
        <v>214</v>
      </c>
      <c r="C6" s="1" t="s">
        <v>222</v>
      </c>
      <c r="D6" s="1" t="s">
        <v>34</v>
      </c>
      <c r="E6" s="1" t="s">
        <v>223</v>
      </c>
      <c r="F6" s="17">
        <v>89.0</v>
      </c>
      <c r="G6" s="17">
        <v>2213.4</v>
      </c>
      <c r="H6" s="17">
        <v>196992.6</v>
      </c>
      <c r="I6" s="17">
        <v>0.0</v>
      </c>
      <c r="J6" s="17">
        <v>85.9</v>
      </c>
      <c r="K6" s="17">
        <v>169216.6</v>
      </c>
    </row>
    <row r="7">
      <c r="A7" s="1" t="s">
        <v>193</v>
      </c>
      <c r="B7" s="1" t="s">
        <v>214</v>
      </c>
      <c r="C7" s="1" t="s">
        <v>224</v>
      </c>
      <c r="D7" s="1" t="s">
        <v>213</v>
      </c>
      <c r="E7" s="1" t="s">
        <v>225</v>
      </c>
      <c r="F7" s="17">
        <v>25.0</v>
      </c>
      <c r="G7" s="17">
        <v>17803.0</v>
      </c>
      <c r="H7" s="17">
        <v>445075.0</v>
      </c>
      <c r="I7" s="17">
        <v>0.0</v>
      </c>
      <c r="J7" s="17">
        <v>76.82</v>
      </c>
      <c r="K7" s="17">
        <v>341906.6</v>
      </c>
    </row>
    <row r="8">
      <c r="A8" s="1" t="s">
        <v>193</v>
      </c>
      <c r="B8" s="1" t="s">
        <v>214</v>
      </c>
      <c r="C8" s="1" t="s">
        <v>227</v>
      </c>
      <c r="D8" s="1" t="s">
        <v>195</v>
      </c>
      <c r="E8" s="1"/>
      <c r="F8" s="17">
        <v>648.0</v>
      </c>
      <c r="G8" s="17">
        <v>1616.3</v>
      </c>
      <c r="H8" s="17">
        <v>1047362.0</v>
      </c>
      <c r="I8" s="17">
        <v>0.0</v>
      </c>
      <c r="J8" s="17">
        <v>0.0</v>
      </c>
      <c r="K8" s="17">
        <v>0.0</v>
      </c>
    </row>
    <row r="9">
      <c r="A9" s="1" t="s">
        <v>193</v>
      </c>
      <c r="B9" s="1" t="s">
        <v>214</v>
      </c>
      <c r="C9" s="1" t="s">
        <v>228</v>
      </c>
      <c r="D9" s="1" t="s">
        <v>196</v>
      </c>
      <c r="E9" s="21"/>
      <c r="F9" s="17">
        <v>2297.0</v>
      </c>
      <c r="G9" s="17">
        <v>229.87</v>
      </c>
      <c r="H9" s="17">
        <v>528011.4</v>
      </c>
      <c r="I9" s="17">
        <v>0.0</v>
      </c>
      <c r="J9" s="17">
        <v>0.0</v>
      </c>
      <c r="K9" s="17">
        <v>0.0</v>
      </c>
    </row>
    <row r="10">
      <c r="A10" s="1" t="s">
        <v>193</v>
      </c>
      <c r="B10" s="1" t="s">
        <v>214</v>
      </c>
      <c r="C10" s="1" t="s">
        <v>229</v>
      </c>
      <c r="D10" s="1" t="s">
        <v>46</v>
      </c>
      <c r="E10" s="1" t="s">
        <v>230</v>
      </c>
      <c r="F10" s="17">
        <v>77.0</v>
      </c>
      <c r="G10" s="17">
        <v>3405.0</v>
      </c>
      <c r="H10" s="17">
        <v>262185.0</v>
      </c>
      <c r="I10" s="17">
        <v>0.0</v>
      </c>
      <c r="J10" s="17">
        <v>77.95</v>
      </c>
      <c r="K10" s="17">
        <v>204373.2</v>
      </c>
    </row>
    <row r="11">
      <c r="A11" s="1" t="s">
        <v>193</v>
      </c>
      <c r="B11" s="1" t="s">
        <v>214</v>
      </c>
      <c r="C11" s="1" t="s">
        <v>231</v>
      </c>
      <c r="D11" s="1" t="s">
        <v>100</v>
      </c>
      <c r="E11" s="1" t="s">
        <v>232</v>
      </c>
      <c r="F11" s="17">
        <v>277.0</v>
      </c>
      <c r="G11" s="17">
        <v>1341.1</v>
      </c>
      <c r="H11" s="17">
        <v>371484.7</v>
      </c>
      <c r="I11" s="17">
        <v>0.0</v>
      </c>
      <c r="J11" s="17">
        <v>76.24</v>
      </c>
      <c r="K11" s="17">
        <v>283219.9</v>
      </c>
    </row>
    <row r="12">
      <c r="A12" s="1" t="s">
        <v>193</v>
      </c>
      <c r="B12" s="1" t="s">
        <v>214</v>
      </c>
      <c r="C12" s="1" t="s">
        <v>234</v>
      </c>
      <c r="D12" s="1" t="s">
        <v>118</v>
      </c>
      <c r="E12" s="1" t="s">
        <v>235</v>
      </c>
      <c r="F12" s="17">
        <v>56.0</v>
      </c>
      <c r="G12" s="17">
        <v>5193.0</v>
      </c>
      <c r="H12" s="17">
        <v>290808.0</v>
      </c>
      <c r="I12" s="17">
        <v>0.0</v>
      </c>
      <c r="J12" s="17">
        <v>84.27</v>
      </c>
      <c r="K12" s="17">
        <v>245063.9</v>
      </c>
    </row>
    <row r="13">
      <c r="A13" s="1" t="s">
        <v>193</v>
      </c>
      <c r="B13" s="1" t="s">
        <v>214</v>
      </c>
      <c r="C13" s="1" t="s">
        <v>236</v>
      </c>
      <c r="D13" s="1" t="s">
        <v>67</v>
      </c>
      <c r="E13" s="1" t="s">
        <v>237</v>
      </c>
      <c r="F13" s="17">
        <v>21.0</v>
      </c>
      <c r="G13" s="17">
        <v>17370.0</v>
      </c>
      <c r="H13" s="17">
        <v>364770.0</v>
      </c>
      <c r="I13" s="17">
        <v>0.0</v>
      </c>
      <c r="J13" s="17">
        <v>74.89</v>
      </c>
      <c r="K13" s="17">
        <v>273176.3</v>
      </c>
    </row>
    <row r="14">
      <c r="A14" s="1" t="s">
        <v>193</v>
      </c>
      <c r="B14" s="1" t="s">
        <v>214</v>
      </c>
      <c r="C14" s="1" t="s">
        <v>239</v>
      </c>
      <c r="D14" s="1" t="s">
        <v>197</v>
      </c>
      <c r="E14" s="1" t="s">
        <v>240</v>
      </c>
      <c r="F14" s="17">
        <v>337.0</v>
      </c>
      <c r="G14" s="17">
        <v>1367.6</v>
      </c>
      <c r="H14" s="17">
        <v>460881.2</v>
      </c>
      <c r="I14" s="17">
        <v>0.0</v>
      </c>
      <c r="J14" s="17">
        <v>76.05</v>
      </c>
      <c r="K14" s="17">
        <v>350500.2</v>
      </c>
    </row>
    <row r="15">
      <c r="A15" s="1" t="s">
        <v>193</v>
      </c>
      <c r="B15" s="1" t="s">
        <v>214</v>
      </c>
      <c r="C15" s="1" t="s">
        <v>241</v>
      </c>
      <c r="D15" s="1" t="s">
        <v>109</v>
      </c>
      <c r="E15" s="1" t="s">
        <v>242</v>
      </c>
      <c r="F15" s="17">
        <v>646.0</v>
      </c>
      <c r="G15" s="17">
        <v>567.65</v>
      </c>
      <c r="H15" s="17">
        <v>366701.9</v>
      </c>
      <c r="I15" s="17">
        <v>0.0</v>
      </c>
      <c r="J15" s="17">
        <v>75.75</v>
      </c>
      <c r="K15" s="17">
        <v>277776.7</v>
      </c>
    </row>
    <row r="16">
      <c r="A16" s="1" t="s">
        <v>193</v>
      </c>
      <c r="B16" s="1" t="s">
        <v>214</v>
      </c>
      <c r="C16" s="1" t="s">
        <v>243</v>
      </c>
      <c r="D16" s="1" t="s">
        <v>9</v>
      </c>
      <c r="E16" s="1" t="s">
        <v>245</v>
      </c>
      <c r="F16" s="17">
        <v>90.0</v>
      </c>
      <c r="G16" s="17">
        <v>4339.2</v>
      </c>
      <c r="H16" s="17">
        <v>390528.0</v>
      </c>
      <c r="I16" s="17">
        <v>0.0</v>
      </c>
      <c r="J16" s="17">
        <v>77.33</v>
      </c>
      <c r="K16" s="17">
        <v>301995.3</v>
      </c>
    </row>
    <row r="17">
      <c r="A17" s="1" t="s">
        <v>193</v>
      </c>
      <c r="B17" s="1" t="s">
        <v>214</v>
      </c>
      <c r="C17" s="1" t="s">
        <v>246</v>
      </c>
      <c r="D17" s="1" t="s">
        <v>244</v>
      </c>
      <c r="E17" s="1" t="s">
        <v>247</v>
      </c>
      <c r="F17" s="17">
        <v>2420.0</v>
      </c>
      <c r="G17" s="17">
        <v>251.47</v>
      </c>
      <c r="H17" s="17">
        <v>608557.4</v>
      </c>
      <c r="I17" s="17">
        <v>0.0</v>
      </c>
      <c r="J17" s="17">
        <v>75.5</v>
      </c>
      <c r="K17" s="17">
        <v>459460.8</v>
      </c>
    </row>
    <row r="18">
      <c r="A18" s="1" t="s">
        <v>193</v>
      </c>
      <c r="B18" s="1" t="s">
        <v>214</v>
      </c>
      <c r="C18" s="1" t="s">
        <v>139</v>
      </c>
      <c r="D18" s="1" t="s">
        <v>112</v>
      </c>
      <c r="E18" s="1" t="s">
        <v>140</v>
      </c>
      <c r="F18" s="17">
        <v>298.0</v>
      </c>
      <c r="G18" s="17">
        <v>1037.4</v>
      </c>
      <c r="H18" s="17">
        <v>309145.2</v>
      </c>
      <c r="I18" s="17">
        <v>0.0</v>
      </c>
      <c r="J18" s="17">
        <v>84.62</v>
      </c>
      <c r="K18" s="17">
        <v>261598.7</v>
      </c>
    </row>
    <row r="19">
      <c r="A19" s="1" t="s">
        <v>193</v>
      </c>
      <c r="B19" s="1" t="s">
        <v>214</v>
      </c>
      <c r="C19" s="1" t="s">
        <v>248</v>
      </c>
      <c r="D19" s="1" t="s">
        <v>111</v>
      </c>
      <c r="E19" s="1" t="s">
        <v>249</v>
      </c>
      <c r="F19" s="17">
        <v>958.0</v>
      </c>
      <c r="G19" s="17">
        <v>533.55</v>
      </c>
      <c r="H19" s="17">
        <v>511140.9</v>
      </c>
      <c r="I19" s="17">
        <v>0.0</v>
      </c>
      <c r="J19" s="17">
        <v>75.13</v>
      </c>
      <c r="K19" s="17">
        <v>384020.2</v>
      </c>
    </row>
    <row r="20">
      <c r="A20" s="1" t="s">
        <v>193</v>
      </c>
      <c r="B20" s="1" t="s">
        <v>214</v>
      </c>
      <c r="C20" s="1" t="s">
        <v>250</v>
      </c>
      <c r="D20" s="1" t="s">
        <v>251</v>
      </c>
      <c r="E20" s="1" t="s">
        <v>252</v>
      </c>
      <c r="F20" s="17">
        <v>32653.0</v>
      </c>
      <c r="G20" s="17">
        <v>14.68</v>
      </c>
      <c r="H20" s="17">
        <v>479346.0</v>
      </c>
      <c r="I20" s="17">
        <v>0.0</v>
      </c>
      <c r="J20" s="17">
        <v>75.96</v>
      </c>
      <c r="K20" s="17">
        <v>364111.3</v>
      </c>
    </row>
    <row r="21">
      <c r="A21" s="1" t="s">
        <v>193</v>
      </c>
      <c r="B21" s="1" t="s">
        <v>214</v>
      </c>
      <c r="C21" s="1" t="s">
        <v>253</v>
      </c>
      <c r="D21" s="1" t="s">
        <v>198</v>
      </c>
      <c r="E21" s="1" t="s">
        <v>254</v>
      </c>
      <c r="F21" s="17">
        <v>248.0</v>
      </c>
      <c r="G21" s="17">
        <v>2123.1</v>
      </c>
      <c r="H21" s="17">
        <v>526528.8</v>
      </c>
      <c r="I21" s="17">
        <v>0.0</v>
      </c>
      <c r="J21" s="17">
        <v>76.86</v>
      </c>
      <c r="K21" s="17">
        <v>404690.0</v>
      </c>
    </row>
    <row r="22">
      <c r="A22" s="1" t="s">
        <v>193</v>
      </c>
      <c r="B22" s="1" t="s">
        <v>214</v>
      </c>
      <c r="C22" s="1" t="s">
        <v>255</v>
      </c>
      <c r="D22" s="1" t="s">
        <v>81</v>
      </c>
      <c r="E22" s="1" t="s">
        <v>256</v>
      </c>
      <c r="F22" s="17">
        <v>335.0</v>
      </c>
      <c r="G22" s="17">
        <v>1938.5</v>
      </c>
      <c r="H22" s="17">
        <v>649397.5</v>
      </c>
      <c r="I22" s="17">
        <v>0.0</v>
      </c>
      <c r="J22" s="17">
        <v>83.74</v>
      </c>
      <c r="K22" s="17">
        <v>543805.5</v>
      </c>
    </row>
    <row r="23">
      <c r="A23" s="1" t="s">
        <v>193</v>
      </c>
      <c r="B23" s="1" t="s">
        <v>214</v>
      </c>
      <c r="C23" s="1" t="s">
        <v>257</v>
      </c>
      <c r="D23" s="1" t="s">
        <v>82</v>
      </c>
      <c r="E23" s="1" t="s">
        <v>258</v>
      </c>
      <c r="F23" s="17">
        <v>1149.0</v>
      </c>
      <c r="G23" s="17">
        <v>314.3</v>
      </c>
      <c r="H23" s="17">
        <v>361130.7</v>
      </c>
      <c r="I23" s="17">
        <v>0.0</v>
      </c>
      <c r="J23" s="17">
        <v>82.28</v>
      </c>
      <c r="K23" s="17">
        <v>297138.3</v>
      </c>
    </row>
    <row r="24">
      <c r="A24" s="1" t="s">
        <v>193</v>
      </c>
      <c r="B24" s="1" t="s">
        <v>214</v>
      </c>
      <c r="C24" s="1" t="s">
        <v>260</v>
      </c>
      <c r="D24" s="1" t="s">
        <v>86</v>
      </c>
      <c r="E24" s="1" t="s">
        <v>261</v>
      </c>
      <c r="F24" s="17">
        <v>163.0</v>
      </c>
      <c r="G24" s="17">
        <v>3332.0</v>
      </c>
      <c r="H24" s="17">
        <v>543116.0</v>
      </c>
      <c r="I24" s="17">
        <v>0.0</v>
      </c>
      <c r="J24" s="17">
        <v>80.05</v>
      </c>
      <c r="K24" s="17">
        <v>434764.4</v>
      </c>
    </row>
    <row r="25">
      <c r="A25" s="1" t="s">
        <v>193</v>
      </c>
      <c r="B25" s="1" t="s">
        <v>214</v>
      </c>
      <c r="C25" s="1" t="s">
        <v>262</v>
      </c>
      <c r="D25" s="1" t="s">
        <v>90</v>
      </c>
      <c r="E25" s="1" t="s">
        <v>263</v>
      </c>
      <c r="F25" s="17">
        <v>281.0</v>
      </c>
      <c r="G25" s="17">
        <v>1194.4</v>
      </c>
      <c r="H25" s="17">
        <v>335626.4</v>
      </c>
      <c r="I25" s="17">
        <v>0.0</v>
      </c>
      <c r="J25" s="17">
        <v>80.01</v>
      </c>
      <c r="K25" s="17">
        <v>268534.7</v>
      </c>
    </row>
    <row r="26">
      <c r="A26" s="1" t="s">
        <v>193</v>
      </c>
      <c r="B26" s="1" t="s">
        <v>214</v>
      </c>
      <c r="C26" s="1" t="s">
        <v>156</v>
      </c>
      <c r="D26" s="1" t="s">
        <v>28</v>
      </c>
      <c r="E26" s="1" t="s">
        <v>157</v>
      </c>
      <c r="F26" s="17">
        <v>1181.0</v>
      </c>
      <c r="G26" s="17">
        <v>394.95</v>
      </c>
      <c r="H26" s="17">
        <v>466436.0</v>
      </c>
      <c r="I26" s="17">
        <v>0.0</v>
      </c>
      <c r="J26" s="17">
        <v>78.97</v>
      </c>
      <c r="K26" s="17">
        <v>368344.5</v>
      </c>
    </row>
    <row r="27">
      <c r="A27" s="1" t="s">
        <v>193</v>
      </c>
      <c r="B27" s="1" t="s">
        <v>214</v>
      </c>
      <c r="C27" s="1" t="s">
        <v>265</v>
      </c>
      <c r="D27" s="1" t="s">
        <v>11</v>
      </c>
      <c r="E27" s="1" t="s">
        <v>266</v>
      </c>
      <c r="F27" s="17">
        <v>111.0</v>
      </c>
      <c r="G27" s="17">
        <v>5322.9</v>
      </c>
      <c r="H27" s="17">
        <v>590841.9</v>
      </c>
      <c r="I27" s="17">
        <v>0.0</v>
      </c>
      <c r="J27" s="17">
        <v>73.07</v>
      </c>
      <c r="K27" s="17">
        <v>431728.2</v>
      </c>
    </row>
    <row r="28">
      <c r="A28" s="1" t="s">
        <v>193</v>
      </c>
      <c r="B28" s="1" t="s">
        <v>214</v>
      </c>
      <c r="C28" s="1" t="s">
        <v>267</v>
      </c>
      <c r="D28" s="1" t="s">
        <v>15</v>
      </c>
      <c r="E28" s="1" t="s">
        <v>268</v>
      </c>
      <c r="F28" s="17">
        <v>11.0</v>
      </c>
      <c r="G28" s="17">
        <v>33330.0</v>
      </c>
      <c r="H28" s="17">
        <v>366630.0</v>
      </c>
      <c r="I28" s="17">
        <v>0.0</v>
      </c>
      <c r="J28" s="17">
        <v>76.95</v>
      </c>
      <c r="K28" s="17">
        <v>282121.8</v>
      </c>
    </row>
    <row r="29">
      <c r="A29" s="1" t="s">
        <v>193</v>
      </c>
      <c r="B29" s="1" t="s">
        <v>214</v>
      </c>
      <c r="C29" s="1" t="s">
        <v>269</v>
      </c>
      <c r="D29" s="1" t="s">
        <v>31</v>
      </c>
      <c r="E29" s="1" t="s">
        <v>270</v>
      </c>
      <c r="F29" s="17">
        <v>276.0</v>
      </c>
      <c r="G29" s="17">
        <v>1201.9</v>
      </c>
      <c r="H29" s="17">
        <v>331724.4</v>
      </c>
      <c r="I29" s="17">
        <v>0.0</v>
      </c>
      <c r="J29" s="17">
        <v>76.0</v>
      </c>
      <c r="K29" s="17">
        <v>252110.5</v>
      </c>
    </row>
    <row r="30">
      <c r="A30" s="1" t="s">
        <v>193</v>
      </c>
      <c r="B30" s="1" t="s">
        <v>214</v>
      </c>
      <c r="C30" s="1" t="s">
        <v>271</v>
      </c>
      <c r="D30" s="1" t="s">
        <v>91</v>
      </c>
      <c r="E30" s="1" t="s">
        <v>272</v>
      </c>
      <c r="F30" s="17">
        <v>389.0</v>
      </c>
      <c r="G30" s="17">
        <v>1474.3</v>
      </c>
      <c r="H30" s="17">
        <v>573502.7</v>
      </c>
      <c r="I30" s="17">
        <v>0.0</v>
      </c>
      <c r="J30" s="17">
        <v>77.99</v>
      </c>
      <c r="K30" s="17">
        <v>447274.8</v>
      </c>
    </row>
    <row r="31">
      <c r="A31" s="1" t="s">
        <v>193</v>
      </c>
      <c r="B31" s="1" t="s">
        <v>214</v>
      </c>
      <c r="C31" s="1" t="s">
        <v>274</v>
      </c>
      <c r="D31" s="1" t="s">
        <v>201</v>
      </c>
      <c r="E31" s="1" t="s">
        <v>275</v>
      </c>
      <c r="F31" s="17">
        <v>608.0</v>
      </c>
      <c r="G31" s="17">
        <v>492.45</v>
      </c>
      <c r="H31" s="17">
        <v>299409.6</v>
      </c>
      <c r="I31" s="17">
        <v>0.0</v>
      </c>
      <c r="J31" s="17">
        <v>81.87</v>
      </c>
      <c r="K31" s="17">
        <v>245126.6</v>
      </c>
    </row>
    <row r="36">
      <c r="A36" s="1" t="s">
        <v>202</v>
      </c>
      <c r="B36" s="1" t="s">
        <v>204</v>
      </c>
      <c r="C36" s="1" t="s">
        <v>205</v>
      </c>
      <c r="D36" s="1" t="s">
        <v>206</v>
      </c>
      <c r="E36" s="1" t="s">
        <v>207</v>
      </c>
      <c r="F36" s="1" t="s">
        <v>38</v>
      </c>
      <c r="G36" s="1" t="s">
        <v>208</v>
      </c>
      <c r="H36" s="1" t="s">
        <v>209</v>
      </c>
      <c r="I36" s="1" t="s">
        <v>210</v>
      </c>
      <c r="J36" s="1" t="s">
        <v>211</v>
      </c>
      <c r="K36" s="1" t="s">
        <v>212</v>
      </c>
    </row>
    <row r="37">
      <c r="A37" s="1" t="s">
        <v>124</v>
      </c>
      <c r="B37" s="1" t="s">
        <v>125</v>
      </c>
      <c r="C37" s="1" t="s">
        <v>128</v>
      </c>
      <c r="D37" s="1" t="s">
        <v>50</v>
      </c>
      <c r="E37" s="1" t="s">
        <v>129</v>
      </c>
      <c r="F37" s="17">
        <v>313.0</v>
      </c>
      <c r="G37" s="17">
        <v>1391.7</v>
      </c>
      <c r="H37" s="17">
        <v>435602.1</v>
      </c>
      <c r="I37" s="17">
        <v>0.0</v>
      </c>
      <c r="J37" s="17">
        <v>79.33</v>
      </c>
      <c r="K37" s="17">
        <v>345563.1</v>
      </c>
    </row>
    <row r="38">
      <c r="A38" s="1" t="s">
        <v>124</v>
      </c>
      <c r="B38" s="1" t="s">
        <v>125</v>
      </c>
      <c r="C38" s="1" t="s">
        <v>277</v>
      </c>
      <c r="D38" s="1" t="s">
        <v>141</v>
      </c>
      <c r="E38" s="1" t="s">
        <v>278</v>
      </c>
      <c r="F38" s="17">
        <v>569.0</v>
      </c>
      <c r="G38" s="17">
        <v>1107.45</v>
      </c>
      <c r="H38" s="17">
        <v>630139.1</v>
      </c>
      <c r="I38" s="17">
        <v>0.0</v>
      </c>
      <c r="J38" s="17">
        <v>82.51</v>
      </c>
      <c r="K38" s="17">
        <v>519927.7</v>
      </c>
    </row>
    <row r="39">
      <c r="A39" s="1" t="s">
        <v>124</v>
      </c>
      <c r="B39" s="1" t="s">
        <v>125</v>
      </c>
      <c r="C39" s="1" t="s">
        <v>130</v>
      </c>
      <c r="D39" s="1" t="s">
        <v>56</v>
      </c>
      <c r="E39" s="1" t="s">
        <v>132</v>
      </c>
      <c r="F39" s="17">
        <v>309.0</v>
      </c>
      <c r="G39" s="17">
        <v>1436.3</v>
      </c>
      <c r="H39" s="17">
        <v>443816.7</v>
      </c>
      <c r="I39" s="17">
        <v>0.0</v>
      </c>
      <c r="J39" s="17">
        <v>78.38</v>
      </c>
      <c r="K39" s="17">
        <v>347863.5</v>
      </c>
    </row>
    <row r="40">
      <c r="A40" s="1" t="s">
        <v>124</v>
      </c>
      <c r="B40" s="1" t="s">
        <v>125</v>
      </c>
      <c r="C40" s="1" t="s">
        <v>133</v>
      </c>
      <c r="D40" s="1" t="s">
        <v>59</v>
      </c>
      <c r="E40" s="1" t="s">
        <v>134</v>
      </c>
      <c r="F40" s="17">
        <v>348.0</v>
      </c>
      <c r="G40" s="17">
        <v>1339.6</v>
      </c>
      <c r="H40" s="17">
        <v>466180.8</v>
      </c>
      <c r="I40" s="17">
        <v>0.0</v>
      </c>
      <c r="J40" s="17">
        <v>81.6</v>
      </c>
      <c r="K40" s="17">
        <v>380403.5</v>
      </c>
    </row>
    <row r="41">
      <c r="A41" s="1" t="s">
        <v>124</v>
      </c>
      <c r="B41" s="1" t="s">
        <v>125</v>
      </c>
      <c r="C41" s="1" t="s">
        <v>135</v>
      </c>
      <c r="D41" s="1" t="s">
        <v>58</v>
      </c>
      <c r="E41" s="1" t="s">
        <v>136</v>
      </c>
      <c r="F41" s="17">
        <v>2018.0</v>
      </c>
      <c r="G41" s="17">
        <v>239.85</v>
      </c>
      <c r="H41" s="17">
        <v>484017.3</v>
      </c>
      <c r="I41" s="17">
        <v>0.0</v>
      </c>
      <c r="J41" s="17">
        <v>81.22</v>
      </c>
      <c r="K41" s="17">
        <v>393118.9</v>
      </c>
    </row>
    <row r="42">
      <c r="A42" s="1" t="s">
        <v>124</v>
      </c>
      <c r="B42" s="1" t="s">
        <v>125</v>
      </c>
      <c r="C42" s="1" t="s">
        <v>139</v>
      </c>
      <c r="D42" s="1" t="s">
        <v>112</v>
      </c>
      <c r="E42" s="1" t="s">
        <v>140</v>
      </c>
      <c r="F42" s="17">
        <v>493.0</v>
      </c>
      <c r="G42" s="17">
        <v>1037.4</v>
      </c>
      <c r="H42" s="17">
        <v>511438.2</v>
      </c>
      <c r="I42" s="17">
        <v>0.0</v>
      </c>
      <c r="J42" s="17">
        <v>84.62</v>
      </c>
      <c r="K42" s="17">
        <v>432779.0</v>
      </c>
    </row>
    <row r="43">
      <c r="A43" s="1" t="s">
        <v>124</v>
      </c>
      <c r="B43" s="1" t="s">
        <v>125</v>
      </c>
      <c r="C43" s="1" t="s">
        <v>142</v>
      </c>
      <c r="D43" s="1" t="s">
        <v>61</v>
      </c>
      <c r="E43" s="1" t="s">
        <v>143</v>
      </c>
      <c r="F43" s="17">
        <v>5766.0</v>
      </c>
      <c r="G43" s="17">
        <v>83.12</v>
      </c>
      <c r="H43" s="17">
        <v>479269.9</v>
      </c>
      <c r="I43" s="17">
        <v>0.0</v>
      </c>
      <c r="J43" s="17">
        <v>83.64</v>
      </c>
      <c r="K43" s="17">
        <v>400861.4</v>
      </c>
    </row>
    <row r="44">
      <c r="A44" s="1" t="s">
        <v>124</v>
      </c>
      <c r="B44" s="1" t="s">
        <v>125</v>
      </c>
      <c r="C44" s="1" t="s">
        <v>279</v>
      </c>
      <c r="D44" s="1" t="s">
        <v>163</v>
      </c>
      <c r="E44" s="1" t="s">
        <v>280</v>
      </c>
      <c r="F44" s="17">
        <v>1886.0</v>
      </c>
      <c r="G44" s="17">
        <v>308.6</v>
      </c>
      <c r="H44" s="17">
        <v>582019.6</v>
      </c>
      <c r="I44" s="17">
        <v>0.0</v>
      </c>
      <c r="J44" s="17">
        <v>76.82</v>
      </c>
      <c r="K44" s="17">
        <v>447107.5</v>
      </c>
    </row>
    <row r="45">
      <c r="A45" s="1" t="s">
        <v>124</v>
      </c>
      <c r="B45" s="1" t="s">
        <v>125</v>
      </c>
      <c r="C45" s="1" t="s">
        <v>146</v>
      </c>
      <c r="D45" s="1" t="s">
        <v>116</v>
      </c>
      <c r="E45" s="1" t="s">
        <v>147</v>
      </c>
      <c r="F45" s="17">
        <v>439.0</v>
      </c>
      <c r="G45" s="17">
        <v>1179.2</v>
      </c>
      <c r="H45" s="17">
        <v>517668.8</v>
      </c>
      <c r="I45" s="17">
        <v>0.0</v>
      </c>
      <c r="J45" s="17">
        <v>84.62</v>
      </c>
      <c r="K45" s="17">
        <v>438051.3</v>
      </c>
    </row>
    <row r="46">
      <c r="A46" s="1" t="s">
        <v>124</v>
      </c>
      <c r="B46" s="1" t="s">
        <v>125</v>
      </c>
      <c r="C46" s="1" t="s">
        <v>281</v>
      </c>
      <c r="D46" s="1" t="s">
        <v>175</v>
      </c>
      <c r="E46" s="1" t="s">
        <v>282</v>
      </c>
      <c r="F46" s="17">
        <v>1020.0</v>
      </c>
      <c r="G46" s="17">
        <v>425.8</v>
      </c>
      <c r="H46" s="17">
        <v>434316.0</v>
      </c>
      <c r="I46" s="17">
        <v>0.0</v>
      </c>
      <c r="J46" s="17">
        <v>80.29</v>
      </c>
      <c r="K46" s="17">
        <v>348712.3</v>
      </c>
    </row>
    <row r="47">
      <c r="A47" s="1" t="s">
        <v>124</v>
      </c>
      <c r="B47" s="1" t="s">
        <v>125</v>
      </c>
      <c r="C47" s="1" t="s">
        <v>149</v>
      </c>
      <c r="D47" s="1" t="s">
        <v>68</v>
      </c>
      <c r="E47" s="1" t="s">
        <v>150</v>
      </c>
      <c r="F47" s="17">
        <v>238.0</v>
      </c>
      <c r="G47" s="17">
        <v>1810.2</v>
      </c>
      <c r="H47" s="17">
        <v>430827.6</v>
      </c>
      <c r="I47" s="17">
        <v>0.0</v>
      </c>
      <c r="J47" s="17">
        <v>80.97</v>
      </c>
      <c r="K47" s="17">
        <v>348841.1</v>
      </c>
    </row>
    <row r="48">
      <c r="A48" s="1" t="s">
        <v>124</v>
      </c>
      <c r="B48" s="1" t="s">
        <v>125</v>
      </c>
      <c r="C48" s="1" t="s">
        <v>151</v>
      </c>
      <c r="D48" s="1" t="s">
        <v>83</v>
      </c>
      <c r="E48" s="1" t="s">
        <v>153</v>
      </c>
      <c r="F48" s="17">
        <v>1342.0</v>
      </c>
      <c r="G48" s="17">
        <v>348.9</v>
      </c>
      <c r="H48" s="17">
        <v>468223.8</v>
      </c>
      <c r="I48" s="17">
        <v>0.0</v>
      </c>
      <c r="J48" s="17">
        <v>82.04</v>
      </c>
      <c r="K48" s="17">
        <v>384130.8</v>
      </c>
    </row>
    <row r="49">
      <c r="A49" s="1" t="s">
        <v>124</v>
      </c>
      <c r="B49" s="1" t="s">
        <v>125</v>
      </c>
      <c r="C49" s="1" t="s">
        <v>156</v>
      </c>
      <c r="D49" s="1" t="s">
        <v>28</v>
      </c>
      <c r="E49" s="1" t="s">
        <v>157</v>
      </c>
      <c r="F49" s="17">
        <v>1338.0</v>
      </c>
      <c r="G49" s="17">
        <v>394.95</v>
      </c>
      <c r="H49" s="17">
        <v>528443.1</v>
      </c>
      <c r="I49" s="17">
        <v>0.0</v>
      </c>
      <c r="J49" s="17">
        <v>78.97</v>
      </c>
      <c r="K49" s="17">
        <v>417311.5</v>
      </c>
    </row>
    <row r="50">
      <c r="A50" s="1" t="s">
        <v>124</v>
      </c>
      <c r="B50" s="1" t="s">
        <v>125</v>
      </c>
      <c r="C50" s="1" t="s">
        <v>161</v>
      </c>
      <c r="D50" s="1" t="s">
        <v>89</v>
      </c>
      <c r="E50" s="1" t="s">
        <v>162</v>
      </c>
      <c r="F50" s="17">
        <v>1083.0</v>
      </c>
      <c r="G50" s="17">
        <v>482.85</v>
      </c>
      <c r="H50" s="17">
        <v>522926.6</v>
      </c>
      <c r="I50" s="17">
        <v>0.0</v>
      </c>
      <c r="J50" s="17">
        <v>82.32</v>
      </c>
      <c r="K50" s="17">
        <v>430473.1</v>
      </c>
    </row>
    <row r="51">
      <c r="A51" s="1" t="s">
        <v>124</v>
      </c>
      <c r="B51" s="1" t="s">
        <v>125</v>
      </c>
      <c r="C51" s="1" t="s">
        <v>283</v>
      </c>
      <c r="D51" s="1" t="s">
        <v>101</v>
      </c>
      <c r="E51" s="1" t="s">
        <v>284</v>
      </c>
      <c r="F51" s="17">
        <v>2029.0</v>
      </c>
      <c r="G51" s="17">
        <v>232.25</v>
      </c>
      <c r="H51" s="17">
        <v>471235.3</v>
      </c>
      <c r="I51" s="17">
        <v>0.0</v>
      </c>
      <c r="J51" s="17">
        <v>86.07</v>
      </c>
      <c r="K51" s="17">
        <v>405592.2</v>
      </c>
    </row>
    <row r="52">
      <c r="A52" s="1" t="s">
        <v>124</v>
      </c>
      <c r="B52" s="1" t="s">
        <v>125</v>
      </c>
      <c r="C52" s="1" t="s">
        <v>285</v>
      </c>
      <c r="D52" s="1" t="s">
        <v>181</v>
      </c>
      <c r="E52" s="1" t="s">
        <v>286</v>
      </c>
      <c r="F52" s="17">
        <v>1499.0</v>
      </c>
      <c r="G52" s="17">
        <v>322.1</v>
      </c>
      <c r="H52" s="17">
        <v>482827.9</v>
      </c>
      <c r="I52" s="17">
        <v>0.0</v>
      </c>
      <c r="J52" s="17">
        <v>78.35</v>
      </c>
      <c r="K52" s="17">
        <v>378295.7</v>
      </c>
    </row>
    <row r="53">
      <c r="A53" s="1" t="s">
        <v>124</v>
      </c>
      <c r="B53" s="1" t="s">
        <v>125</v>
      </c>
      <c r="C53" s="1" t="s">
        <v>287</v>
      </c>
      <c r="D53" s="1" t="s">
        <v>174</v>
      </c>
      <c r="E53" s="1" t="s">
        <v>288</v>
      </c>
      <c r="F53" s="17">
        <v>432.0</v>
      </c>
      <c r="G53" s="17">
        <v>1220.9</v>
      </c>
      <c r="H53" s="17">
        <v>527428.8</v>
      </c>
      <c r="I53" s="17">
        <v>0.0</v>
      </c>
      <c r="J53" s="17">
        <v>85.01</v>
      </c>
      <c r="K53" s="17">
        <v>448367.2</v>
      </c>
    </row>
    <row r="54">
      <c r="A54" s="1" t="s">
        <v>124</v>
      </c>
      <c r="B54" s="1" t="s">
        <v>125</v>
      </c>
      <c r="C54" s="1" t="s">
        <v>168</v>
      </c>
      <c r="D54" s="1" t="s">
        <v>120</v>
      </c>
      <c r="E54" s="1" t="s">
        <v>169</v>
      </c>
      <c r="F54" s="17">
        <v>2585.0</v>
      </c>
      <c r="G54" s="17">
        <v>186.5</v>
      </c>
      <c r="H54" s="17">
        <v>482102.5</v>
      </c>
      <c r="I54" s="17">
        <v>0.0</v>
      </c>
      <c r="J54" s="17">
        <v>85.39</v>
      </c>
      <c r="K54" s="17">
        <v>411667.3</v>
      </c>
    </row>
    <row r="55">
      <c r="A55" s="1" t="s">
        <v>124</v>
      </c>
      <c r="B55" s="1" t="s">
        <v>125</v>
      </c>
      <c r="C55" s="1" t="s">
        <v>170</v>
      </c>
      <c r="D55" s="1" t="s">
        <v>97</v>
      </c>
      <c r="E55" s="1" t="s">
        <v>171</v>
      </c>
      <c r="F55" s="17">
        <v>786.0</v>
      </c>
      <c r="G55" s="17">
        <v>571.0</v>
      </c>
      <c r="H55" s="17">
        <v>448806.0</v>
      </c>
      <c r="I55" s="17">
        <v>0.0</v>
      </c>
      <c r="J55" s="17">
        <v>83.15</v>
      </c>
      <c r="K55" s="17">
        <v>373182.2</v>
      </c>
    </row>
    <row r="56">
      <c r="A56" s="1" t="s">
        <v>124</v>
      </c>
      <c r="B56" s="1" t="s">
        <v>125</v>
      </c>
      <c r="C56" s="1" t="s">
        <v>289</v>
      </c>
      <c r="D56" s="1" t="s">
        <v>176</v>
      </c>
      <c r="E56" s="1" t="s">
        <v>290</v>
      </c>
      <c r="F56" s="17">
        <v>4990.0</v>
      </c>
      <c r="G56" s="17">
        <v>101.51</v>
      </c>
      <c r="H56" s="17">
        <v>506534.9</v>
      </c>
      <c r="I56" s="17">
        <v>0.0</v>
      </c>
      <c r="J56" s="17">
        <v>77.28</v>
      </c>
      <c r="K56" s="17">
        <v>391450.2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8.86"/>
    <col customWidth="1" min="10" max="10" width="15.57"/>
  </cols>
  <sheetData>
    <row r="1">
      <c r="A1" s="8"/>
      <c r="B1" s="8" t="s">
        <v>295</v>
      </c>
      <c r="C1" s="27"/>
    </row>
    <row r="2">
      <c r="A2" s="8"/>
      <c r="B2" s="27"/>
      <c r="C2" s="27"/>
      <c r="D2" s="28"/>
    </row>
    <row r="3">
      <c r="A3" s="8" t="s">
        <v>193</v>
      </c>
      <c r="B3" s="24">
        <v>45538.0</v>
      </c>
      <c r="C3" s="24">
        <v>45632.0</v>
      </c>
      <c r="D3" s="24">
        <v>45722.0</v>
      </c>
      <c r="E3" s="24">
        <v>45810.0</v>
      </c>
      <c r="F3" s="24">
        <v>45901.0</v>
      </c>
      <c r="G3" s="24">
        <v>45992.0</v>
      </c>
      <c r="H3" s="24">
        <v>46090.0</v>
      </c>
      <c r="I3" s="29">
        <v>46176.0</v>
      </c>
      <c r="J3" s="29">
        <v>46266.0</v>
      </c>
    </row>
    <row r="4">
      <c r="A4" s="8" t="s">
        <v>199</v>
      </c>
      <c r="B4" s="24">
        <v>45610.0</v>
      </c>
      <c r="C4" s="24">
        <v>45709.0</v>
      </c>
      <c r="D4" s="24">
        <v>45783.0</v>
      </c>
      <c r="E4" s="24">
        <v>45870.0</v>
      </c>
      <c r="F4" s="24">
        <v>45964.0</v>
      </c>
      <c r="G4" s="24">
        <v>46054.0</v>
      </c>
      <c r="H4" s="24">
        <v>46146.0</v>
      </c>
      <c r="I4" s="29">
        <v>46238.0</v>
      </c>
    </row>
    <row r="5">
      <c r="A5" s="8" t="s">
        <v>200</v>
      </c>
      <c r="B5" s="30"/>
      <c r="C5" s="24">
        <v>45659.0</v>
      </c>
      <c r="D5" s="24">
        <v>45749.0</v>
      </c>
      <c r="E5" s="24">
        <v>45839.0</v>
      </c>
      <c r="F5" s="24">
        <v>45931.0</v>
      </c>
      <c r="G5" s="24">
        <v>46023.0</v>
      </c>
      <c r="H5" s="24">
        <v>46118.0</v>
      </c>
      <c r="I5" s="29">
        <v>46205.0</v>
      </c>
    </row>
    <row r="6">
      <c r="A6" s="8" t="s">
        <v>297</v>
      </c>
      <c r="B6" s="31">
        <v>46195.0</v>
      </c>
      <c r="C6" s="35">
        <f>hpc39_10!B74</f>
        <v>46204</v>
      </c>
      <c r="D6" s="35">
        <f>hpc39_10!B50</f>
        <v>46237</v>
      </c>
      <c r="E6" s="35">
        <f>hpc39_10!B26</f>
        <v>46266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75"/>
  <cols>
    <col customWidth="1" min="1" max="1" width="22.57"/>
    <col customWidth="1" min="2" max="2" width="10.71"/>
    <col customWidth="1" min="4" max="4" width="15.86"/>
  </cols>
  <sheetData>
    <row r="1">
      <c r="A1" s="8" t="s">
        <v>296</v>
      </c>
      <c r="B1" s="8">
        <v>1.3344653E7</v>
      </c>
      <c r="C1" s="8" t="s">
        <v>298</v>
      </c>
      <c r="D1" s="32">
        <v>46268.0</v>
      </c>
      <c r="E1" s="32"/>
      <c r="I1" s="12"/>
      <c r="J1" s="11"/>
      <c r="K1" s="33"/>
      <c r="L1" s="11"/>
      <c r="M1" s="11"/>
      <c r="N1" s="34"/>
      <c r="O1" s="12"/>
      <c r="P1" s="12"/>
      <c r="Q1" s="12"/>
      <c r="R1" s="36"/>
      <c r="S1" s="12"/>
      <c r="T1" s="12"/>
    </row>
    <row r="2">
      <c r="A2" s="8" t="s">
        <v>299</v>
      </c>
      <c r="B2" s="32">
        <v>46357.0</v>
      </c>
      <c r="I2" s="12"/>
      <c r="J2" s="37"/>
      <c r="M2" s="12"/>
      <c r="N2" s="12"/>
      <c r="O2" s="12"/>
      <c r="P2" s="12"/>
      <c r="Q2" s="12"/>
      <c r="R2" s="36"/>
      <c r="S2" s="12"/>
      <c r="T2" s="12"/>
    </row>
    <row r="3">
      <c r="B3" s="32"/>
      <c r="I3" s="12"/>
      <c r="J3" s="37"/>
      <c r="K3" s="37"/>
      <c r="L3" s="37"/>
      <c r="M3" s="12"/>
      <c r="N3" s="12"/>
      <c r="O3" s="12"/>
      <c r="P3" s="12"/>
      <c r="Q3" s="12"/>
      <c r="R3" s="36"/>
      <c r="S3" s="12"/>
      <c r="T3" s="12"/>
    </row>
    <row r="4">
      <c r="A4" s="38">
        <v>46268.0</v>
      </c>
      <c r="B4" s="39" t="s">
        <v>300</v>
      </c>
      <c r="C4" s="39" t="s">
        <v>301</v>
      </c>
      <c r="D4" s="40" t="s">
        <v>302</v>
      </c>
      <c r="E4" s="40" t="s">
        <v>303</v>
      </c>
      <c r="F4" s="40" t="s">
        <v>304</v>
      </c>
      <c r="G4" s="40" t="s">
        <v>305</v>
      </c>
      <c r="H4" s="40" t="s">
        <v>306</v>
      </c>
      <c r="I4" s="12"/>
      <c r="J4" s="37"/>
      <c r="K4" s="37"/>
      <c r="L4" s="37"/>
      <c r="M4" s="12"/>
      <c r="N4" s="12"/>
      <c r="O4" s="12"/>
      <c r="P4" s="12"/>
      <c r="Q4" s="12"/>
      <c r="R4" s="36"/>
      <c r="S4" s="12"/>
      <c r="T4" s="12"/>
    </row>
    <row r="5">
      <c r="A5" s="41" t="s">
        <v>194</v>
      </c>
      <c r="B5" s="42">
        <v>152.0</v>
      </c>
      <c r="C5" s="43">
        <v>3192.7</v>
      </c>
      <c r="D5" s="14">
        <f t="shared" ref="D5:D34" si="1">B5</f>
        <v>152</v>
      </c>
      <c r="E5" s="1">
        <f t="shared" ref="E5:E34" si="2">B5*C5</f>
        <v>485290.4</v>
      </c>
      <c r="F5" s="14">
        <f>IFERROR(__xludf.DUMMYFUNCTION("GOOGLEFINANCE(CONCAT(""NSE:"",A5))"),3294.2)</f>
        <v>3294.2</v>
      </c>
      <c r="G5" s="14">
        <f t="shared" ref="G5:G34" si="3">D5*F5</f>
        <v>500718.4</v>
      </c>
      <c r="H5" s="44">
        <f t="shared" ref="H5:H34" si="4">(G5-E5)/E5</f>
        <v>0.03179127384</v>
      </c>
      <c r="I5" s="12"/>
      <c r="J5" s="37"/>
      <c r="K5" s="37"/>
      <c r="L5" s="37"/>
      <c r="M5" s="12"/>
      <c r="N5" s="12"/>
      <c r="O5" s="12"/>
      <c r="P5" s="12"/>
      <c r="Q5" s="12"/>
      <c r="R5" s="36"/>
      <c r="S5" s="12"/>
      <c r="T5" s="12"/>
    </row>
    <row r="6">
      <c r="A6" s="41" t="s">
        <v>108</v>
      </c>
      <c r="B6" s="42">
        <v>1675.0</v>
      </c>
      <c r="C6" s="43">
        <v>209.04</v>
      </c>
      <c r="D6" s="14">
        <f t="shared" si="1"/>
        <v>1675</v>
      </c>
      <c r="E6" s="1">
        <f t="shared" si="2"/>
        <v>350142</v>
      </c>
      <c r="F6" s="14">
        <f>IFERROR(__xludf.DUMMYFUNCTION("GOOGLEFINANCE(CONCAT(""NSE:"",A6))"),203.99)</f>
        <v>203.99</v>
      </c>
      <c r="G6" s="14">
        <f t="shared" si="3"/>
        <v>341683.25</v>
      </c>
      <c r="H6" s="44">
        <f t="shared" si="4"/>
        <v>-0.02415805587</v>
      </c>
      <c r="I6" s="12"/>
      <c r="J6" s="37"/>
      <c r="K6" s="37"/>
      <c r="L6" s="37"/>
      <c r="M6" s="12"/>
      <c r="N6" s="12"/>
      <c r="O6" s="12"/>
      <c r="P6" s="12"/>
      <c r="Q6" s="12"/>
      <c r="R6" s="36"/>
      <c r="S6" s="12"/>
      <c r="T6" s="12"/>
    </row>
    <row r="7">
      <c r="A7" s="41" t="s">
        <v>195</v>
      </c>
      <c r="B7" s="42">
        <v>364.0</v>
      </c>
      <c r="C7" s="43">
        <v>1646.91</v>
      </c>
      <c r="D7" s="14">
        <f t="shared" si="1"/>
        <v>364</v>
      </c>
      <c r="E7" s="1">
        <f t="shared" si="2"/>
        <v>599475.24</v>
      </c>
      <c r="F7" s="14">
        <f>IFERROR(__xludf.DUMMYFUNCTION("GOOGLEFINANCE(CONCAT(""NSE:"",A7))"),1542.5)</f>
        <v>1542.5</v>
      </c>
      <c r="G7" s="14">
        <f t="shared" si="3"/>
        <v>561470</v>
      </c>
      <c r="H7" s="44">
        <f t="shared" si="4"/>
        <v>-0.06339751413</v>
      </c>
      <c r="I7" s="12"/>
      <c r="J7" s="37"/>
      <c r="K7" s="37"/>
      <c r="L7" s="37"/>
      <c r="M7" s="12"/>
      <c r="N7" s="12"/>
      <c r="O7" s="12"/>
      <c r="P7" s="12"/>
      <c r="Q7" s="12"/>
      <c r="R7" s="36"/>
      <c r="S7" s="12"/>
      <c r="T7" s="12"/>
    </row>
    <row r="8">
      <c r="A8" s="41" t="s">
        <v>198</v>
      </c>
      <c r="B8" s="42">
        <v>228.0</v>
      </c>
      <c r="C8" s="43">
        <v>2158.3</v>
      </c>
      <c r="D8" s="14">
        <f t="shared" si="1"/>
        <v>228</v>
      </c>
      <c r="E8" s="1">
        <f t="shared" si="2"/>
        <v>492092.4</v>
      </c>
      <c r="F8" s="14">
        <f>IFERROR(__xludf.DUMMYFUNCTION("GOOGLEFINANCE(CONCAT(""NSE:"",A8))"),2125.3)</f>
        <v>2125.3</v>
      </c>
      <c r="G8" s="14">
        <f t="shared" si="3"/>
        <v>484568.4</v>
      </c>
      <c r="H8" s="44">
        <f t="shared" si="4"/>
        <v>-0.01528981143</v>
      </c>
      <c r="I8" s="12"/>
      <c r="J8" s="37"/>
      <c r="K8" s="37"/>
      <c r="L8" s="37"/>
      <c r="M8" s="12"/>
      <c r="N8" s="12"/>
      <c r="O8" s="12"/>
      <c r="P8" s="12"/>
      <c r="Q8" s="12"/>
      <c r="R8" s="36"/>
      <c r="S8" s="12"/>
      <c r="T8" s="12"/>
    </row>
    <row r="9">
      <c r="A9" s="41" t="s">
        <v>81</v>
      </c>
      <c r="B9" s="42">
        <v>234.0</v>
      </c>
      <c r="C9" s="43">
        <v>1858.0</v>
      </c>
      <c r="D9" s="14">
        <f t="shared" si="1"/>
        <v>234</v>
      </c>
      <c r="E9" s="1">
        <f t="shared" si="2"/>
        <v>434772</v>
      </c>
      <c r="F9" s="14">
        <f>IFERROR(__xludf.DUMMYFUNCTION("GOOGLEFINANCE(CONCAT(""NSE:"",A9))"),1944.7)</f>
        <v>1944.7</v>
      </c>
      <c r="G9" s="14">
        <f t="shared" si="3"/>
        <v>455059.8</v>
      </c>
      <c r="H9" s="44">
        <f t="shared" si="4"/>
        <v>0.04666307858</v>
      </c>
      <c r="I9" s="12"/>
      <c r="J9" s="37"/>
      <c r="K9" s="37"/>
      <c r="L9" s="37"/>
      <c r="M9" s="12"/>
      <c r="N9" s="12"/>
      <c r="O9" s="12"/>
      <c r="P9" s="12"/>
      <c r="Q9" s="12"/>
      <c r="R9" s="36"/>
      <c r="S9" s="12"/>
      <c r="T9" s="12"/>
    </row>
    <row r="10">
      <c r="A10" s="41" t="s">
        <v>86</v>
      </c>
      <c r="B10" s="42">
        <v>127.0</v>
      </c>
      <c r="C10" s="43">
        <v>3213.9</v>
      </c>
      <c r="D10" s="14">
        <f t="shared" si="1"/>
        <v>127</v>
      </c>
      <c r="E10" s="1">
        <f t="shared" si="2"/>
        <v>408165.3</v>
      </c>
      <c r="F10" s="14">
        <f>IFERROR(__xludf.DUMMYFUNCTION("GOOGLEFINANCE(CONCAT(""NSE:"",A10))"),3290.8)</f>
        <v>3290.8</v>
      </c>
      <c r="G10" s="14">
        <f t="shared" si="3"/>
        <v>417931.6</v>
      </c>
      <c r="H10" s="44">
        <f t="shared" si="4"/>
        <v>0.02392731572</v>
      </c>
      <c r="I10" s="12"/>
      <c r="J10" s="37"/>
      <c r="K10" s="37"/>
      <c r="L10" s="37"/>
      <c r="M10" s="12"/>
      <c r="N10" s="12"/>
      <c r="O10" s="12"/>
      <c r="P10" s="12"/>
      <c r="Q10" s="12"/>
      <c r="R10" s="36"/>
      <c r="S10" s="12"/>
      <c r="T10" s="12"/>
    </row>
    <row r="11">
      <c r="A11" s="41" t="s">
        <v>28</v>
      </c>
      <c r="B11" s="42">
        <v>1131.0</v>
      </c>
      <c r="C11" s="43">
        <v>375.95</v>
      </c>
      <c r="D11" s="14">
        <f t="shared" si="1"/>
        <v>1131</v>
      </c>
      <c r="E11" s="1">
        <f t="shared" si="2"/>
        <v>425199.45</v>
      </c>
      <c r="F11" s="14">
        <f>IFERROR(__xludf.DUMMYFUNCTION("GOOGLEFINANCE(CONCAT(""NSE:"",A11))"),356.3)</f>
        <v>356.3</v>
      </c>
      <c r="G11" s="14">
        <f t="shared" si="3"/>
        <v>402975.3</v>
      </c>
      <c r="H11" s="44">
        <f t="shared" si="4"/>
        <v>-0.05226758878</v>
      </c>
      <c r="I11" s="12"/>
      <c r="J11" s="37"/>
      <c r="K11" s="37"/>
      <c r="L11" s="37"/>
      <c r="M11" s="12"/>
      <c r="N11" s="12"/>
      <c r="O11" s="12"/>
      <c r="P11" s="12"/>
      <c r="Q11" s="12"/>
      <c r="R11" s="36"/>
      <c r="S11" s="12"/>
      <c r="T11" s="12"/>
    </row>
    <row r="12">
      <c r="A12" s="41" t="s">
        <v>11</v>
      </c>
      <c r="B12" s="42">
        <v>103.0</v>
      </c>
      <c r="C12" s="43">
        <v>5117.0</v>
      </c>
      <c r="D12" s="14">
        <f t="shared" si="1"/>
        <v>103</v>
      </c>
      <c r="E12" s="1">
        <f t="shared" si="2"/>
        <v>527051</v>
      </c>
      <c r="F12" s="14">
        <f>IFERROR(__xludf.DUMMYFUNCTION("GOOGLEFINANCE(CONCAT(""NSE:"",A12))"),4576.0)</f>
        <v>4576</v>
      </c>
      <c r="G12" s="14">
        <f t="shared" si="3"/>
        <v>471328</v>
      </c>
      <c r="H12" s="44">
        <f t="shared" si="4"/>
        <v>-0.1057260113</v>
      </c>
      <c r="I12" s="12"/>
      <c r="J12" s="37"/>
      <c r="K12" s="37"/>
      <c r="L12" s="37"/>
      <c r="M12" s="12"/>
      <c r="N12" s="12"/>
      <c r="O12" s="12"/>
      <c r="P12" s="12"/>
      <c r="Q12" s="12"/>
      <c r="R12" s="36"/>
      <c r="S12" s="12"/>
      <c r="T12" s="12"/>
    </row>
    <row r="13">
      <c r="A13" s="41" t="s">
        <v>15</v>
      </c>
      <c r="B13" s="42">
        <v>10.0</v>
      </c>
      <c r="C13" s="43">
        <v>31960.0</v>
      </c>
      <c r="D13" s="14">
        <f t="shared" si="1"/>
        <v>10</v>
      </c>
      <c r="E13" s="1">
        <f t="shared" si="2"/>
        <v>319600</v>
      </c>
      <c r="F13" s="14">
        <f>IFERROR(__xludf.DUMMYFUNCTION("GOOGLEFINANCE(CONCAT(""NSE:"",A13))"),30810.0)</f>
        <v>30810</v>
      </c>
      <c r="G13" s="14">
        <f t="shared" si="3"/>
        <v>308100</v>
      </c>
      <c r="H13" s="44">
        <f t="shared" si="4"/>
        <v>-0.0359824781</v>
      </c>
      <c r="I13" s="12"/>
      <c r="J13" s="37"/>
      <c r="K13" s="37"/>
      <c r="L13" s="37"/>
      <c r="M13" s="12"/>
      <c r="N13" s="12"/>
      <c r="O13" s="12"/>
      <c r="P13" s="12"/>
      <c r="Q13" s="12"/>
      <c r="R13" s="36"/>
      <c r="S13" s="12"/>
      <c r="T13" s="12"/>
    </row>
    <row r="14">
      <c r="A14" s="41" t="s">
        <v>91</v>
      </c>
      <c r="B14" s="42">
        <v>287.0</v>
      </c>
      <c r="C14" s="43">
        <v>1413.0</v>
      </c>
      <c r="D14" s="14">
        <f t="shared" si="1"/>
        <v>287</v>
      </c>
      <c r="E14" s="1">
        <f t="shared" si="2"/>
        <v>405531</v>
      </c>
      <c r="F14" s="14">
        <f>IFERROR(__xludf.DUMMYFUNCTION("GOOGLEFINANCE(CONCAT(""NSE:"",A14))"),1642.0)</f>
        <v>1642</v>
      </c>
      <c r="G14" s="14">
        <f t="shared" si="3"/>
        <v>471254</v>
      </c>
      <c r="H14" s="44">
        <f t="shared" si="4"/>
        <v>0.1620665251</v>
      </c>
      <c r="I14" s="12"/>
      <c r="J14" s="37"/>
      <c r="K14" s="37"/>
      <c r="L14" s="37"/>
      <c r="M14" s="12"/>
      <c r="N14" s="12"/>
      <c r="O14" s="12"/>
      <c r="P14" s="12"/>
      <c r="Q14" s="12"/>
      <c r="R14" s="36"/>
      <c r="S14" s="12"/>
      <c r="T14" s="12"/>
    </row>
    <row r="15">
      <c r="A15" s="41" t="s">
        <v>103</v>
      </c>
      <c r="B15" s="42">
        <v>316.0</v>
      </c>
      <c r="C15" s="43">
        <v>1394.32</v>
      </c>
      <c r="D15" s="14">
        <f t="shared" si="1"/>
        <v>316</v>
      </c>
      <c r="E15" s="1">
        <f t="shared" si="2"/>
        <v>440605.12</v>
      </c>
      <c r="F15" s="14">
        <f>IFERROR(__xludf.DUMMYFUNCTION("GOOGLEFINANCE(CONCAT(""NSE:"",A15))"),1356.1)</f>
        <v>1356.1</v>
      </c>
      <c r="G15" s="14">
        <f t="shared" si="3"/>
        <v>428527.6</v>
      </c>
      <c r="H15" s="44">
        <f t="shared" si="4"/>
        <v>-0.0274112112</v>
      </c>
      <c r="I15" s="12"/>
      <c r="J15" s="37"/>
      <c r="K15" s="37"/>
      <c r="L15" s="37"/>
      <c r="M15" s="12"/>
      <c r="N15" s="12"/>
      <c r="O15" s="12"/>
      <c r="P15" s="12"/>
      <c r="Q15" s="12"/>
      <c r="R15" s="36"/>
      <c r="S15" s="12"/>
      <c r="T15" s="12"/>
    </row>
    <row r="16">
      <c r="A16" s="41" t="s">
        <v>203</v>
      </c>
      <c r="B16" s="42">
        <v>325.0</v>
      </c>
      <c r="C16" s="43">
        <v>1257.81</v>
      </c>
      <c r="D16" s="14">
        <f t="shared" si="1"/>
        <v>325</v>
      </c>
      <c r="E16" s="1">
        <f t="shared" si="2"/>
        <v>408788.25</v>
      </c>
      <c r="F16" s="14">
        <f>IFERROR(__xludf.DUMMYFUNCTION("GOOGLEFINANCE(CONCAT(""NSE:"",A16))"),1365.5)</f>
        <v>1365.5</v>
      </c>
      <c r="G16" s="14">
        <f t="shared" si="3"/>
        <v>443787.5</v>
      </c>
      <c r="H16" s="44">
        <f t="shared" si="4"/>
        <v>0.08561706458</v>
      </c>
      <c r="I16" s="12"/>
      <c r="J16" s="37"/>
      <c r="K16" s="37"/>
      <c r="L16" s="37"/>
      <c r="M16" s="12"/>
      <c r="N16" s="12"/>
      <c r="O16" s="12"/>
      <c r="P16" s="12"/>
      <c r="Q16" s="12"/>
      <c r="R16" s="36"/>
      <c r="S16" s="12"/>
      <c r="T16" s="12"/>
    </row>
    <row r="17">
      <c r="A17" s="41" t="s">
        <v>213</v>
      </c>
      <c r="B17" s="42">
        <v>28.0</v>
      </c>
      <c r="C17" s="43">
        <v>17290.0</v>
      </c>
      <c r="D17" s="14">
        <f t="shared" si="1"/>
        <v>28</v>
      </c>
      <c r="E17" s="1">
        <f t="shared" si="2"/>
        <v>484120</v>
      </c>
      <c r="F17" s="14">
        <f>IFERROR(__xludf.DUMMYFUNCTION("GOOGLEFINANCE(CONCAT(""NSE:"",A17))"),17308.0)</f>
        <v>17308</v>
      </c>
      <c r="G17" s="14">
        <f t="shared" si="3"/>
        <v>484624</v>
      </c>
      <c r="H17" s="44">
        <f t="shared" si="4"/>
        <v>0.001041064199</v>
      </c>
      <c r="I17" s="12"/>
      <c r="J17" s="37"/>
      <c r="K17" s="37"/>
      <c r="L17" s="37"/>
      <c r="M17" s="12"/>
      <c r="N17" s="12"/>
      <c r="O17" s="12"/>
      <c r="P17" s="12"/>
      <c r="Q17" s="12"/>
      <c r="R17" s="36"/>
      <c r="S17" s="12"/>
      <c r="T17" s="12"/>
    </row>
    <row r="18">
      <c r="A18" s="41" t="s">
        <v>110</v>
      </c>
      <c r="B18" s="42">
        <v>167.0</v>
      </c>
      <c r="C18" s="43">
        <v>2021.45</v>
      </c>
      <c r="D18" s="14">
        <f t="shared" si="1"/>
        <v>167</v>
      </c>
      <c r="E18" s="1">
        <f t="shared" si="2"/>
        <v>337582.15</v>
      </c>
      <c r="F18" s="14">
        <f>IFERROR(__xludf.DUMMYFUNCTION("GOOGLEFINANCE(CONCAT(""NSE:"",A18))"),1915.6)</f>
        <v>1915.6</v>
      </c>
      <c r="G18" s="14">
        <f t="shared" si="3"/>
        <v>319905.2</v>
      </c>
      <c r="H18" s="44">
        <f t="shared" si="4"/>
        <v>-0.05236340251</v>
      </c>
      <c r="I18" s="12"/>
      <c r="J18" s="37"/>
      <c r="K18" s="37"/>
      <c r="L18" s="37"/>
      <c r="M18" s="12"/>
      <c r="N18" s="12"/>
      <c r="O18" s="12"/>
      <c r="P18" s="12"/>
      <c r="Q18" s="12"/>
      <c r="R18" s="36"/>
      <c r="S18" s="12"/>
      <c r="T18" s="12"/>
    </row>
    <row r="19">
      <c r="A19" s="41" t="s">
        <v>114</v>
      </c>
      <c r="B19" s="42">
        <v>962.0</v>
      </c>
      <c r="C19" s="43">
        <v>426.75</v>
      </c>
      <c r="D19" s="14">
        <f t="shared" si="1"/>
        <v>962</v>
      </c>
      <c r="E19" s="1">
        <f t="shared" si="2"/>
        <v>410533.5</v>
      </c>
      <c r="F19" s="14">
        <f>IFERROR(__xludf.DUMMYFUNCTION("GOOGLEFINANCE(CONCAT(""NSE:"",A19))"),420.35)</f>
        <v>420.35</v>
      </c>
      <c r="G19" s="14">
        <f t="shared" si="3"/>
        <v>404376.7</v>
      </c>
      <c r="H19" s="44">
        <f t="shared" si="4"/>
        <v>-0.01499707088</v>
      </c>
      <c r="I19" s="12"/>
      <c r="J19" s="37"/>
      <c r="K19" s="37"/>
      <c r="L19" s="37"/>
      <c r="M19" s="12"/>
      <c r="N19" s="12"/>
      <c r="O19" s="12"/>
      <c r="P19" s="12"/>
      <c r="Q19" s="12"/>
      <c r="R19" s="36"/>
      <c r="S19" s="12"/>
      <c r="T19" s="12"/>
    </row>
    <row r="20">
      <c r="A20" s="41" t="s">
        <v>226</v>
      </c>
      <c r="B20" s="42">
        <v>319.0</v>
      </c>
      <c r="C20" s="43">
        <v>1254.5</v>
      </c>
      <c r="D20" s="14">
        <f t="shared" si="1"/>
        <v>319</v>
      </c>
      <c r="E20" s="1">
        <f t="shared" si="2"/>
        <v>400185.5</v>
      </c>
      <c r="F20" s="14">
        <f>IFERROR(__xludf.DUMMYFUNCTION("GOOGLEFINANCE(CONCAT(""NSE:"",A20))"),1254.1)</f>
        <v>1254.1</v>
      </c>
      <c r="G20" s="14">
        <f t="shared" si="3"/>
        <v>400057.9</v>
      </c>
      <c r="H20" s="44">
        <f t="shared" si="4"/>
        <v>-0.0003188521323</v>
      </c>
      <c r="I20" s="12"/>
      <c r="J20" s="37"/>
      <c r="K20" s="37"/>
      <c r="L20" s="37"/>
      <c r="M20" s="12"/>
      <c r="N20" s="12"/>
      <c r="O20" s="12"/>
      <c r="P20" s="12"/>
      <c r="Q20" s="12"/>
      <c r="R20" s="36"/>
      <c r="S20" s="12"/>
      <c r="T20" s="12"/>
    </row>
    <row r="21">
      <c r="A21" s="41" t="s">
        <v>100</v>
      </c>
      <c r="B21" s="42">
        <v>302.0</v>
      </c>
      <c r="C21" s="43">
        <v>1469.3</v>
      </c>
      <c r="D21" s="14">
        <f t="shared" si="1"/>
        <v>302</v>
      </c>
      <c r="E21" s="1">
        <f t="shared" si="2"/>
        <v>443728.6</v>
      </c>
      <c r="F21" s="14">
        <f>IFERROR(__xludf.DUMMYFUNCTION("GOOGLEFINANCE(CONCAT(""NSE:"",A21))"),1417.5)</f>
        <v>1417.5</v>
      </c>
      <c r="G21" s="14">
        <f t="shared" si="3"/>
        <v>428085</v>
      </c>
      <c r="H21" s="44">
        <f t="shared" si="4"/>
        <v>-0.03525488328</v>
      </c>
      <c r="I21" s="12"/>
      <c r="J21" s="37"/>
      <c r="K21" s="37"/>
      <c r="L21" s="37"/>
      <c r="M21" s="12"/>
      <c r="N21" s="12"/>
      <c r="O21" s="12"/>
      <c r="P21" s="12"/>
      <c r="Q21" s="12"/>
      <c r="R21" s="36"/>
      <c r="S21" s="12"/>
      <c r="T21" s="12"/>
    </row>
    <row r="22">
      <c r="A22" s="41" t="s">
        <v>233</v>
      </c>
      <c r="B22" s="42">
        <v>158.0</v>
      </c>
      <c r="C22" s="43">
        <v>3678.3</v>
      </c>
      <c r="D22" s="14">
        <f t="shared" si="1"/>
        <v>158</v>
      </c>
      <c r="E22" s="1">
        <f t="shared" si="2"/>
        <v>581171.4</v>
      </c>
      <c r="F22" s="14">
        <f>IFERROR(__xludf.DUMMYFUNCTION("GOOGLEFINANCE(CONCAT(""NSE:"",A22))"),3463.7)</f>
        <v>3463.7</v>
      </c>
      <c r="G22" s="14">
        <f t="shared" si="3"/>
        <v>547264.6</v>
      </c>
      <c r="H22" s="44">
        <f t="shared" si="4"/>
        <v>-0.05834216894</v>
      </c>
      <c r="I22" s="12"/>
      <c r="J22" s="37"/>
      <c r="K22" s="37"/>
      <c r="L22" s="37"/>
      <c r="M22" s="12"/>
      <c r="N22" s="12"/>
      <c r="O22" s="12"/>
      <c r="P22" s="12"/>
      <c r="Q22" s="12"/>
      <c r="R22" s="36"/>
      <c r="S22" s="12"/>
      <c r="T22" s="12"/>
    </row>
    <row r="23">
      <c r="A23" s="41" t="s">
        <v>238</v>
      </c>
      <c r="B23" s="42">
        <v>87.0</v>
      </c>
      <c r="C23" s="43">
        <v>4584.5</v>
      </c>
      <c r="D23" s="14">
        <f t="shared" si="1"/>
        <v>87</v>
      </c>
      <c r="E23" s="1">
        <f t="shared" si="2"/>
        <v>398851.5</v>
      </c>
      <c r="F23" s="14">
        <f>IFERROR(__xludf.DUMMYFUNCTION("GOOGLEFINANCE(CONCAT(""NSE:"",A23))"),4397.0)</f>
        <v>4397</v>
      </c>
      <c r="G23" s="14">
        <f t="shared" si="3"/>
        <v>382539</v>
      </c>
      <c r="H23" s="44">
        <f t="shared" si="4"/>
        <v>-0.04089868034</v>
      </c>
      <c r="I23" s="12"/>
      <c r="J23" s="37"/>
      <c r="K23" s="37"/>
      <c r="L23" s="37"/>
      <c r="M23" s="12"/>
      <c r="N23" s="12"/>
      <c r="O23" s="12"/>
      <c r="P23" s="12"/>
      <c r="Q23" s="12"/>
      <c r="R23" s="36"/>
      <c r="S23" s="12"/>
      <c r="T23" s="12"/>
    </row>
    <row r="24">
      <c r="A24" s="41" t="s">
        <v>244</v>
      </c>
      <c r="B24" s="42">
        <v>2997.0</v>
      </c>
      <c r="C24" s="43">
        <v>226.77</v>
      </c>
      <c r="D24" s="14">
        <f t="shared" si="1"/>
        <v>2997</v>
      </c>
      <c r="E24" s="1">
        <f t="shared" si="2"/>
        <v>679629.69</v>
      </c>
      <c r="F24" s="14">
        <f>IFERROR(__xludf.DUMMYFUNCTION("GOOGLEFINANCE(CONCAT(""NSE:"",A24))"),213.3)</f>
        <v>213.3</v>
      </c>
      <c r="G24" s="14">
        <f t="shared" si="3"/>
        <v>639260.1</v>
      </c>
      <c r="H24" s="44">
        <f t="shared" si="4"/>
        <v>-0.05939939145</v>
      </c>
      <c r="I24" s="12"/>
      <c r="J24" s="37"/>
      <c r="K24" s="37"/>
      <c r="L24" s="37"/>
      <c r="M24" s="12"/>
      <c r="N24" s="12"/>
      <c r="O24" s="12"/>
      <c r="P24" s="12"/>
      <c r="Q24" s="12"/>
      <c r="R24" s="36"/>
      <c r="S24" s="12"/>
      <c r="T24" s="12"/>
    </row>
    <row r="25">
      <c r="A25" s="41" t="s">
        <v>111</v>
      </c>
      <c r="B25" s="42">
        <v>1019.0</v>
      </c>
      <c r="C25" s="43">
        <v>525.8</v>
      </c>
      <c r="D25" s="14">
        <f t="shared" si="1"/>
        <v>1019</v>
      </c>
      <c r="E25" s="1">
        <f t="shared" si="2"/>
        <v>535790.2</v>
      </c>
      <c r="F25" s="14">
        <f>IFERROR(__xludf.DUMMYFUNCTION("GOOGLEFINANCE(CONCAT(""NSE:"",A25))"),484.55)</f>
        <v>484.55</v>
      </c>
      <c r="G25" s="14">
        <f t="shared" si="3"/>
        <v>493756.45</v>
      </c>
      <c r="H25" s="44">
        <f t="shared" si="4"/>
        <v>-0.07845188285</v>
      </c>
      <c r="I25" s="12"/>
      <c r="J25" s="37"/>
      <c r="K25" s="37"/>
      <c r="L25" s="37"/>
      <c r="M25" s="12"/>
      <c r="N25" s="12"/>
      <c r="O25" s="12"/>
      <c r="P25" s="12"/>
      <c r="Q25" s="12"/>
      <c r="R25" s="36"/>
      <c r="S25" s="12"/>
      <c r="T25" s="12"/>
    </row>
    <row r="26">
      <c r="A26" s="41" t="s">
        <v>251</v>
      </c>
      <c r="B26" s="42">
        <v>34888.0</v>
      </c>
      <c r="C26" s="43">
        <v>14.54</v>
      </c>
      <c r="D26" s="14">
        <f t="shared" si="1"/>
        <v>34888</v>
      </c>
      <c r="E26" s="1">
        <f t="shared" si="2"/>
        <v>507271.52</v>
      </c>
      <c r="F26" s="14">
        <f>IFERROR(__xludf.DUMMYFUNCTION("GOOGLEFINANCE(CONCAT(""NSE:"",A26))"),14.27)</f>
        <v>14.27</v>
      </c>
      <c r="G26" s="14">
        <f t="shared" si="3"/>
        <v>497851.76</v>
      </c>
      <c r="H26" s="44">
        <f t="shared" si="4"/>
        <v>-0.01856946355</v>
      </c>
      <c r="I26" s="12"/>
      <c r="J26" s="37"/>
      <c r="K26" s="37"/>
      <c r="L26" s="37"/>
      <c r="M26" s="12"/>
      <c r="N26" s="12"/>
      <c r="O26" s="12"/>
      <c r="P26" s="12"/>
      <c r="Q26" s="12"/>
      <c r="R26" s="36"/>
      <c r="S26" s="12"/>
      <c r="T26" s="12"/>
    </row>
    <row r="27">
      <c r="A27" s="41" t="s">
        <v>131</v>
      </c>
      <c r="B27" s="42">
        <v>2011.0</v>
      </c>
      <c r="C27" s="43">
        <v>162.1</v>
      </c>
      <c r="D27" s="14">
        <f t="shared" si="1"/>
        <v>2011</v>
      </c>
      <c r="E27" s="1">
        <f t="shared" si="2"/>
        <v>325983.1</v>
      </c>
      <c r="F27" s="14">
        <f>IFERROR(__xludf.DUMMYFUNCTION("GOOGLEFINANCE(CONCAT(""NSE:"",A27))"),161.34)</f>
        <v>161.34</v>
      </c>
      <c r="G27" s="14">
        <f t="shared" si="3"/>
        <v>324454.74</v>
      </c>
      <c r="H27" s="44">
        <f t="shared" si="4"/>
        <v>-0.004688463911</v>
      </c>
      <c r="I27" s="12"/>
      <c r="J27" s="37"/>
      <c r="K27" s="37"/>
      <c r="L27" s="37"/>
      <c r="M27" s="12"/>
      <c r="N27" s="12"/>
      <c r="O27" s="12"/>
      <c r="P27" s="12"/>
      <c r="Q27" s="12"/>
      <c r="R27" s="36"/>
      <c r="S27" s="12"/>
      <c r="T27" s="12"/>
    </row>
    <row r="28">
      <c r="A28" s="41" t="s">
        <v>87</v>
      </c>
      <c r="B28" s="42">
        <v>40.0</v>
      </c>
      <c r="C28" s="43">
        <v>8544.77</v>
      </c>
      <c r="D28" s="14">
        <f t="shared" si="1"/>
        <v>40</v>
      </c>
      <c r="E28" s="1">
        <f t="shared" si="2"/>
        <v>341790.8</v>
      </c>
      <c r="F28" s="14">
        <f>IFERROR(__xludf.DUMMYFUNCTION("GOOGLEFINANCE(CONCAT(""NSE:"",A28))"),8211.0)</f>
        <v>8211</v>
      </c>
      <c r="G28" s="14">
        <f t="shared" si="3"/>
        <v>328440</v>
      </c>
      <c r="H28" s="44">
        <f t="shared" si="4"/>
        <v>-0.03906132055</v>
      </c>
      <c r="I28" s="12"/>
      <c r="J28" s="37"/>
      <c r="K28" s="37"/>
      <c r="L28" s="37"/>
      <c r="M28" s="12"/>
      <c r="N28" s="12"/>
      <c r="O28" s="12"/>
      <c r="P28" s="12"/>
      <c r="Q28" s="12"/>
      <c r="R28" s="36"/>
      <c r="S28" s="12"/>
      <c r="T28" s="12"/>
    </row>
    <row r="29">
      <c r="A29" s="41" t="s">
        <v>259</v>
      </c>
      <c r="B29" s="42">
        <v>1556.0</v>
      </c>
      <c r="C29" s="43">
        <v>282.2</v>
      </c>
      <c r="D29" s="14">
        <f t="shared" si="1"/>
        <v>1556</v>
      </c>
      <c r="E29" s="1">
        <f t="shared" si="2"/>
        <v>439103.2</v>
      </c>
      <c r="F29" s="14">
        <f>IFERROR(__xludf.DUMMYFUNCTION("GOOGLEFINANCE(CONCAT(""NSE:"",A29))"),338.9)</f>
        <v>338.9</v>
      </c>
      <c r="G29" s="14">
        <f t="shared" si="3"/>
        <v>527328.4</v>
      </c>
      <c r="H29" s="44">
        <f t="shared" si="4"/>
        <v>0.2009213324</v>
      </c>
      <c r="I29" s="12"/>
      <c r="J29" s="37"/>
      <c r="K29" s="37"/>
      <c r="L29" s="37"/>
      <c r="M29" s="12"/>
      <c r="N29" s="12"/>
      <c r="O29" s="12"/>
      <c r="P29" s="12"/>
      <c r="Q29" s="12"/>
      <c r="R29" s="36"/>
      <c r="S29" s="12"/>
      <c r="T29" s="12"/>
    </row>
    <row r="30">
      <c r="A30" s="41" t="s">
        <v>264</v>
      </c>
      <c r="B30" s="42">
        <v>169.0</v>
      </c>
      <c r="C30" s="43">
        <v>2616.36</v>
      </c>
      <c r="D30" s="14">
        <f t="shared" si="1"/>
        <v>169</v>
      </c>
      <c r="E30" s="1">
        <f t="shared" si="2"/>
        <v>442164.84</v>
      </c>
      <c r="F30" s="14">
        <f>IFERROR(__xludf.DUMMYFUNCTION("GOOGLEFINANCE(CONCAT(""NSE:"",A30))"),2422.4)</f>
        <v>2422.4</v>
      </c>
      <c r="G30" s="14">
        <f t="shared" si="3"/>
        <v>409385.6</v>
      </c>
      <c r="H30" s="44">
        <f t="shared" si="4"/>
        <v>-0.07413352903</v>
      </c>
      <c r="I30" s="12"/>
      <c r="J30" s="37"/>
      <c r="K30" s="37"/>
      <c r="L30" s="37"/>
      <c r="M30" s="12"/>
      <c r="N30" s="12"/>
      <c r="O30" s="12"/>
      <c r="P30" s="12"/>
      <c r="Q30" s="12"/>
      <c r="R30" s="36"/>
      <c r="S30" s="12"/>
      <c r="T30" s="12"/>
    </row>
    <row r="31">
      <c r="A31" s="41" t="s">
        <v>121</v>
      </c>
      <c r="B31" s="42">
        <v>373.0</v>
      </c>
      <c r="C31" s="43">
        <v>1046.3</v>
      </c>
      <c r="D31" s="14">
        <f t="shared" si="1"/>
        <v>373</v>
      </c>
      <c r="E31" s="1">
        <f t="shared" si="2"/>
        <v>390269.9</v>
      </c>
      <c r="F31" s="14">
        <f>IFERROR(__xludf.DUMMYFUNCTION("GOOGLEFINANCE(CONCAT(""NSE:"",A31))"),989.1)</f>
        <v>989.1</v>
      </c>
      <c r="G31" s="14">
        <f t="shared" si="3"/>
        <v>368934.3</v>
      </c>
      <c r="H31" s="44">
        <f t="shared" si="4"/>
        <v>-0.05466883303</v>
      </c>
      <c r="I31" s="12"/>
      <c r="J31" s="37"/>
      <c r="K31" s="37"/>
      <c r="L31" s="37"/>
      <c r="M31" s="12"/>
      <c r="N31" s="12"/>
      <c r="O31" s="12"/>
      <c r="P31" s="12"/>
      <c r="Q31" s="12"/>
      <c r="R31" s="36"/>
      <c r="S31" s="12"/>
      <c r="T31" s="12"/>
    </row>
    <row r="32">
      <c r="A32" s="41" t="s">
        <v>160</v>
      </c>
      <c r="B32" s="42">
        <v>430.0</v>
      </c>
      <c r="C32" s="43">
        <v>790.15</v>
      </c>
      <c r="D32" s="14">
        <f t="shared" si="1"/>
        <v>430</v>
      </c>
      <c r="E32" s="1">
        <f t="shared" si="2"/>
        <v>339764.5</v>
      </c>
      <c r="F32" s="14">
        <f>IFERROR(__xludf.DUMMYFUNCTION("GOOGLEFINANCE(CONCAT(""NSE:"",A32))"),786.05)</f>
        <v>786.05</v>
      </c>
      <c r="G32" s="14">
        <f t="shared" si="3"/>
        <v>338001.5</v>
      </c>
      <c r="H32" s="44">
        <f t="shared" si="4"/>
        <v>-0.005188888186</v>
      </c>
      <c r="I32" s="12"/>
      <c r="J32" s="37"/>
      <c r="K32" s="37"/>
      <c r="L32" s="37"/>
      <c r="M32" s="12"/>
      <c r="N32" s="12"/>
      <c r="O32" s="12"/>
      <c r="P32" s="12"/>
      <c r="Q32" s="12"/>
      <c r="R32" s="36"/>
      <c r="S32" s="12"/>
      <c r="T32" s="12"/>
    </row>
    <row r="33">
      <c r="A33" s="41" t="s">
        <v>273</v>
      </c>
      <c r="B33" s="42">
        <v>229.0</v>
      </c>
      <c r="C33" s="43">
        <v>2607.88</v>
      </c>
      <c r="D33" s="14">
        <f t="shared" si="1"/>
        <v>229</v>
      </c>
      <c r="E33" s="1">
        <f t="shared" si="2"/>
        <v>597204.52</v>
      </c>
      <c r="F33" s="14">
        <f>IFERROR(__xludf.DUMMYFUNCTION("GOOGLEFINANCE(CONCAT(""NSE:"",A33))"),2491.5)</f>
        <v>2491.5</v>
      </c>
      <c r="G33" s="14">
        <f t="shared" si="3"/>
        <v>570553.5</v>
      </c>
      <c r="H33" s="44">
        <f t="shared" si="4"/>
        <v>-0.04462628649</v>
      </c>
      <c r="I33" s="12"/>
      <c r="J33" s="37"/>
      <c r="K33" s="37"/>
      <c r="L33" s="37"/>
      <c r="M33" s="12"/>
      <c r="N33" s="12"/>
      <c r="O33" s="12"/>
      <c r="P33" s="12"/>
      <c r="Q33" s="12"/>
      <c r="R33" s="36"/>
      <c r="S33" s="12"/>
      <c r="T33" s="12"/>
    </row>
    <row r="34">
      <c r="A34" s="41" t="s">
        <v>276</v>
      </c>
      <c r="B34" s="42">
        <v>1770.0</v>
      </c>
      <c r="C34" s="43">
        <v>199.7</v>
      </c>
      <c r="D34" s="14">
        <f t="shared" si="1"/>
        <v>1770</v>
      </c>
      <c r="E34" s="1">
        <f t="shared" si="2"/>
        <v>353469</v>
      </c>
      <c r="F34" s="14">
        <f>IFERROR(__xludf.DUMMYFUNCTION("GOOGLEFINANCE(CONCAT(""NSE:"",A34))"),208.89)</f>
        <v>208.89</v>
      </c>
      <c r="G34" s="14">
        <f t="shared" si="3"/>
        <v>369735.3</v>
      </c>
      <c r="H34" s="44">
        <f t="shared" si="4"/>
        <v>0.04601902854</v>
      </c>
      <c r="I34" s="12"/>
      <c r="J34" s="37"/>
      <c r="K34" s="37"/>
      <c r="L34" s="37"/>
      <c r="M34" s="12"/>
      <c r="N34" s="12"/>
      <c r="O34" s="12"/>
      <c r="P34" s="12"/>
      <c r="Q34" s="12"/>
      <c r="R34" s="36"/>
      <c r="S34" s="12"/>
      <c r="T34" s="12"/>
    </row>
    <row r="35">
      <c r="B35" s="32"/>
      <c r="I35" s="12"/>
      <c r="J35" s="37"/>
      <c r="K35" s="37"/>
      <c r="L35" s="37"/>
      <c r="M35" s="12"/>
      <c r="N35" s="12"/>
      <c r="O35" s="12"/>
      <c r="P35" s="12"/>
      <c r="Q35" s="12"/>
      <c r="R35" s="36"/>
      <c r="S35" s="12"/>
      <c r="T35" s="12"/>
    </row>
    <row r="36">
      <c r="A36" s="38">
        <v>46176.0</v>
      </c>
      <c r="B36" s="39" t="s">
        <v>300</v>
      </c>
      <c r="C36" s="62" t="s">
        <v>301</v>
      </c>
      <c r="D36" s="40" t="s">
        <v>302</v>
      </c>
      <c r="E36" s="40" t="s">
        <v>303</v>
      </c>
      <c r="F36" s="40" t="s">
        <v>304</v>
      </c>
      <c r="G36" s="40" t="s">
        <v>305</v>
      </c>
      <c r="H36" s="40" t="s">
        <v>306</v>
      </c>
      <c r="I36" s="12"/>
      <c r="J36" s="37"/>
      <c r="K36" s="37"/>
      <c r="L36" s="1" t="s">
        <v>202</v>
      </c>
      <c r="M36" s="1" t="s">
        <v>204</v>
      </c>
      <c r="N36" s="1" t="s">
        <v>205</v>
      </c>
      <c r="O36" s="1" t="s">
        <v>206</v>
      </c>
      <c r="P36" s="1" t="s">
        <v>207</v>
      </c>
      <c r="Q36" s="1" t="s">
        <v>38</v>
      </c>
      <c r="R36" s="1" t="s">
        <v>208</v>
      </c>
      <c r="S36" s="1" t="s">
        <v>209</v>
      </c>
      <c r="T36" s="1" t="s">
        <v>210</v>
      </c>
      <c r="U36" s="1" t="s">
        <v>211</v>
      </c>
      <c r="V36" s="1" t="s">
        <v>212</v>
      </c>
    </row>
    <row r="37">
      <c r="A37" s="63" t="s">
        <v>37</v>
      </c>
      <c r="B37" s="43">
        <v>874.0</v>
      </c>
      <c r="C37" s="43">
        <v>343.3</v>
      </c>
      <c r="D37" s="14">
        <f t="shared" ref="D37:D66" si="5">B37</f>
        <v>874</v>
      </c>
      <c r="E37" s="14">
        <f t="shared" ref="E37:E66" si="6">B37*C37</f>
        <v>300044.2</v>
      </c>
      <c r="F37" s="14">
        <f>IFERROR(__xludf.DUMMYFUNCTION("GOOGLEFINANCE(CONCAT(""NSE:"",A37))"),386.35)</f>
        <v>386.35</v>
      </c>
      <c r="G37" s="14">
        <f t="shared" ref="G37:G66" si="7">B37*F37</f>
        <v>337669.9</v>
      </c>
      <c r="H37" s="44">
        <f t="shared" ref="H37:H66" si="8">(G37-E37)/E37</f>
        <v>0.1254005243</v>
      </c>
      <c r="I37" s="12"/>
      <c r="J37" s="37">
        <f t="shared" ref="J37:J66" si="9">G37-C37*B37</f>
        <v>37625.7</v>
      </c>
      <c r="K37" s="37"/>
      <c r="L37" s="1" t="s">
        <v>193</v>
      </c>
      <c r="M37" s="1" t="s">
        <v>214</v>
      </c>
      <c r="N37" s="1" t="s">
        <v>215</v>
      </c>
      <c r="O37" s="1" t="s">
        <v>37</v>
      </c>
      <c r="P37" s="1" t="s">
        <v>216</v>
      </c>
      <c r="Q37" s="17">
        <v>874.0</v>
      </c>
      <c r="R37" s="17">
        <v>405.55</v>
      </c>
      <c r="S37" s="17">
        <v>354450.7</v>
      </c>
      <c r="T37" s="17">
        <v>0.0</v>
      </c>
      <c r="U37" s="17">
        <v>82.74</v>
      </c>
      <c r="V37" s="17">
        <v>293272.5</v>
      </c>
    </row>
    <row r="38">
      <c r="A38" s="63" t="s">
        <v>213</v>
      </c>
      <c r="B38" s="43">
        <v>25.0</v>
      </c>
      <c r="C38" s="43">
        <v>13574.0</v>
      </c>
      <c r="D38" s="14">
        <f t="shared" si="5"/>
        <v>25</v>
      </c>
      <c r="E38" s="14">
        <f t="shared" si="6"/>
        <v>339350</v>
      </c>
      <c r="F38" s="14">
        <f>IFERROR(__xludf.DUMMYFUNCTION("GOOGLEFINANCE(CONCAT(""NSE:"",A38))"),17308.0)</f>
        <v>17308</v>
      </c>
      <c r="G38" s="14">
        <f t="shared" si="7"/>
        <v>432700</v>
      </c>
      <c r="H38" s="44">
        <f t="shared" si="8"/>
        <v>0.2750847208</v>
      </c>
      <c r="I38" s="12"/>
      <c r="J38" s="37">
        <f t="shared" si="9"/>
        <v>93350</v>
      </c>
      <c r="K38" s="37"/>
      <c r="L38" s="1" t="s">
        <v>193</v>
      </c>
      <c r="M38" s="1" t="s">
        <v>214</v>
      </c>
      <c r="N38" s="1" t="s">
        <v>217</v>
      </c>
      <c r="O38" s="1" t="s">
        <v>194</v>
      </c>
      <c r="P38" s="21"/>
      <c r="Q38" s="17">
        <v>179.0</v>
      </c>
      <c r="R38" s="17">
        <v>3281.6</v>
      </c>
      <c r="S38" s="17">
        <v>587406.4</v>
      </c>
      <c r="T38" s="17">
        <v>0.0</v>
      </c>
      <c r="U38" s="17">
        <v>0.0</v>
      </c>
      <c r="V38" s="17">
        <v>0.0</v>
      </c>
    </row>
    <row r="39">
      <c r="A39" s="63" t="s">
        <v>46</v>
      </c>
      <c r="B39" s="43">
        <v>77.0</v>
      </c>
      <c r="C39" s="43">
        <v>3902.1</v>
      </c>
      <c r="D39" s="14">
        <f t="shared" si="5"/>
        <v>77</v>
      </c>
      <c r="E39" s="14">
        <f t="shared" si="6"/>
        <v>300461.7</v>
      </c>
      <c r="F39" s="14">
        <f>IFERROR(__xludf.DUMMYFUNCTION("GOOGLEFINANCE(CONCAT(""NSE:"",A39))"),3271.6)</f>
        <v>3271.6</v>
      </c>
      <c r="G39" s="14">
        <f t="shared" si="7"/>
        <v>251913.2</v>
      </c>
      <c r="H39" s="44">
        <f t="shared" si="8"/>
        <v>-0.1615796622</v>
      </c>
      <c r="I39" s="12"/>
      <c r="J39" s="37">
        <f t="shared" si="9"/>
        <v>-48548.5</v>
      </c>
      <c r="K39" s="37"/>
      <c r="L39" s="1" t="s">
        <v>193</v>
      </c>
      <c r="M39" s="1" t="s">
        <v>214</v>
      </c>
      <c r="N39" s="1" t="s">
        <v>218</v>
      </c>
      <c r="O39" s="1" t="s">
        <v>103</v>
      </c>
      <c r="P39" s="1" t="s">
        <v>219</v>
      </c>
      <c r="Q39" s="17">
        <v>237.0</v>
      </c>
      <c r="R39" s="17">
        <v>1581.4</v>
      </c>
      <c r="S39" s="17">
        <v>374791.8</v>
      </c>
      <c r="T39" s="17">
        <v>0.0</v>
      </c>
      <c r="U39" s="17">
        <v>78.46</v>
      </c>
      <c r="V39" s="17">
        <v>294061.6</v>
      </c>
    </row>
    <row r="40">
      <c r="A40" s="63" t="s">
        <v>100</v>
      </c>
      <c r="B40" s="43">
        <v>277.0</v>
      </c>
      <c r="C40" s="43">
        <v>1185.2</v>
      </c>
      <c r="D40" s="14">
        <f t="shared" si="5"/>
        <v>277</v>
      </c>
      <c r="E40" s="14">
        <f t="shared" si="6"/>
        <v>328300.4</v>
      </c>
      <c r="F40" s="14">
        <f>IFERROR(__xludf.DUMMYFUNCTION("GOOGLEFINANCE(CONCAT(""NSE:"",A40))"),1417.5)</f>
        <v>1417.5</v>
      </c>
      <c r="G40" s="14">
        <f t="shared" si="7"/>
        <v>392647.5</v>
      </c>
      <c r="H40" s="44">
        <f t="shared" si="8"/>
        <v>0.196000675</v>
      </c>
      <c r="I40" s="12"/>
      <c r="J40" s="37">
        <f t="shared" si="9"/>
        <v>64347.1</v>
      </c>
      <c r="K40" s="37"/>
      <c r="L40" s="1" t="s">
        <v>193</v>
      </c>
      <c r="M40" s="1" t="s">
        <v>214</v>
      </c>
      <c r="N40" s="1" t="s">
        <v>220</v>
      </c>
      <c r="O40" s="1" t="s">
        <v>108</v>
      </c>
      <c r="P40" s="1" t="s">
        <v>221</v>
      </c>
      <c r="Q40" s="17">
        <v>1909.0</v>
      </c>
      <c r="R40" s="17">
        <v>212.63</v>
      </c>
      <c r="S40" s="17">
        <v>405910.7</v>
      </c>
      <c r="T40" s="17">
        <v>0.0</v>
      </c>
      <c r="U40" s="17">
        <v>79.3</v>
      </c>
      <c r="V40" s="17">
        <v>321887.2</v>
      </c>
    </row>
    <row r="41">
      <c r="A41" s="63" t="s">
        <v>67</v>
      </c>
      <c r="B41" s="43">
        <v>21.0</v>
      </c>
      <c r="C41" s="43">
        <v>17900.0</v>
      </c>
      <c r="D41" s="14">
        <f t="shared" si="5"/>
        <v>21</v>
      </c>
      <c r="E41" s="14">
        <f t="shared" si="6"/>
        <v>375900</v>
      </c>
      <c r="F41" s="14">
        <f>IFERROR(__xludf.DUMMYFUNCTION("GOOGLEFINANCE(CONCAT(""NSE:"",A41))"),17516.0)</f>
        <v>17516</v>
      </c>
      <c r="G41" s="14">
        <f t="shared" si="7"/>
        <v>367836</v>
      </c>
      <c r="H41" s="44">
        <f t="shared" si="8"/>
        <v>-0.02145251397</v>
      </c>
      <c r="I41" s="12"/>
      <c r="J41" s="37">
        <f t="shared" si="9"/>
        <v>-8064</v>
      </c>
      <c r="K41" s="37"/>
      <c r="L41" s="1" t="s">
        <v>193</v>
      </c>
      <c r="M41" s="1" t="s">
        <v>214</v>
      </c>
      <c r="N41" s="1" t="s">
        <v>222</v>
      </c>
      <c r="O41" s="1" t="s">
        <v>34</v>
      </c>
      <c r="P41" s="1" t="s">
        <v>223</v>
      </c>
      <c r="Q41" s="17">
        <v>89.0</v>
      </c>
      <c r="R41" s="17">
        <v>2213.4</v>
      </c>
      <c r="S41" s="17">
        <v>196992.6</v>
      </c>
      <c r="T41" s="17">
        <v>0.0</v>
      </c>
      <c r="U41" s="17">
        <v>85.9</v>
      </c>
      <c r="V41" s="17">
        <v>169216.6</v>
      </c>
    </row>
    <row r="42">
      <c r="A42" s="63" t="s">
        <v>109</v>
      </c>
      <c r="B42" s="43">
        <v>646.0</v>
      </c>
      <c r="C42" s="43">
        <v>663.05</v>
      </c>
      <c r="D42" s="14">
        <f t="shared" si="5"/>
        <v>646</v>
      </c>
      <c r="E42" s="14">
        <f t="shared" si="6"/>
        <v>428330.3</v>
      </c>
      <c r="F42" s="14">
        <f>IFERROR(__xludf.DUMMYFUNCTION("GOOGLEFINANCE(CONCAT(""NSE:"",A42))"),549.9)</f>
        <v>549.9</v>
      </c>
      <c r="G42" s="14">
        <f t="shared" si="7"/>
        <v>355235.4</v>
      </c>
      <c r="H42" s="44">
        <f t="shared" si="8"/>
        <v>-0.1706507805</v>
      </c>
      <c r="I42" s="12"/>
      <c r="J42" s="37">
        <f t="shared" si="9"/>
        <v>-73094.9</v>
      </c>
      <c r="K42" s="37"/>
      <c r="L42" s="1" t="s">
        <v>193</v>
      </c>
      <c r="M42" s="1" t="s">
        <v>214</v>
      </c>
      <c r="N42" s="1" t="s">
        <v>224</v>
      </c>
      <c r="O42" s="1" t="s">
        <v>213</v>
      </c>
      <c r="P42" s="1" t="s">
        <v>225</v>
      </c>
      <c r="Q42" s="17">
        <v>25.0</v>
      </c>
      <c r="R42" s="17">
        <v>17803.0</v>
      </c>
      <c r="S42" s="17">
        <v>445075.0</v>
      </c>
      <c r="T42" s="17">
        <v>0.0</v>
      </c>
      <c r="U42" s="17">
        <v>76.82</v>
      </c>
      <c r="V42" s="17">
        <v>341906.6</v>
      </c>
    </row>
    <row r="43">
      <c r="A43" s="63" t="s">
        <v>9</v>
      </c>
      <c r="B43" s="43">
        <v>90.0</v>
      </c>
      <c r="C43" s="43">
        <v>4963.0</v>
      </c>
      <c r="D43" s="14">
        <f t="shared" si="5"/>
        <v>90</v>
      </c>
      <c r="E43" s="14">
        <f t="shared" si="6"/>
        <v>446670</v>
      </c>
      <c r="F43" s="14">
        <f>IFERROR(__xludf.DUMMYFUNCTION("GOOGLEFINANCE(CONCAT(""NSE:"",A43))"),4297.0)</f>
        <v>4297</v>
      </c>
      <c r="G43" s="14">
        <f t="shared" si="7"/>
        <v>386730</v>
      </c>
      <c r="H43" s="44">
        <f t="shared" si="8"/>
        <v>-0.1341930284</v>
      </c>
      <c r="I43" s="12"/>
      <c r="J43" s="37">
        <f t="shared" si="9"/>
        <v>-59940</v>
      </c>
      <c r="K43" s="37"/>
      <c r="L43" s="1" t="s">
        <v>193</v>
      </c>
      <c r="M43" s="1" t="s">
        <v>214</v>
      </c>
      <c r="N43" s="1" t="s">
        <v>227</v>
      </c>
      <c r="O43" s="1" t="s">
        <v>195</v>
      </c>
      <c r="P43" s="1"/>
      <c r="Q43" s="17">
        <v>648.0</v>
      </c>
      <c r="R43" s="17">
        <v>1616.3</v>
      </c>
      <c r="S43" s="17">
        <v>1047362.0</v>
      </c>
      <c r="T43" s="17">
        <v>0.0</v>
      </c>
      <c r="U43" s="17">
        <v>0.0</v>
      </c>
      <c r="V43" s="17">
        <v>0.0</v>
      </c>
    </row>
    <row r="44">
      <c r="A44" s="63" t="s">
        <v>198</v>
      </c>
      <c r="B44" s="43">
        <v>248.0</v>
      </c>
      <c r="C44" s="43">
        <v>1870.36</v>
      </c>
      <c r="D44" s="14">
        <f t="shared" si="5"/>
        <v>248</v>
      </c>
      <c r="E44" s="14">
        <f t="shared" si="6"/>
        <v>463849.28</v>
      </c>
      <c r="F44" s="14">
        <f>IFERROR(__xludf.DUMMYFUNCTION("GOOGLEFINANCE(CONCAT(""NSE:"",A44))"),2125.3)</f>
        <v>2125.3</v>
      </c>
      <c r="G44" s="14">
        <f t="shared" si="7"/>
        <v>527074.4</v>
      </c>
      <c r="H44" s="44">
        <f t="shared" si="8"/>
        <v>0.1363053102</v>
      </c>
      <c r="I44" s="12"/>
      <c r="J44" s="37">
        <f t="shared" si="9"/>
        <v>63225.12</v>
      </c>
      <c r="K44" s="37"/>
      <c r="L44" s="1" t="s">
        <v>193</v>
      </c>
      <c r="M44" s="1" t="s">
        <v>214</v>
      </c>
      <c r="N44" s="1" t="s">
        <v>228</v>
      </c>
      <c r="O44" s="1" t="s">
        <v>196</v>
      </c>
      <c r="P44" s="21"/>
      <c r="Q44" s="17">
        <v>2297.0</v>
      </c>
      <c r="R44" s="17">
        <v>229.87</v>
      </c>
      <c r="S44" s="17">
        <v>528011.4</v>
      </c>
      <c r="T44" s="17">
        <v>0.0</v>
      </c>
      <c r="U44" s="17">
        <v>0.0</v>
      </c>
      <c r="V44" s="17">
        <v>0.0</v>
      </c>
    </row>
    <row r="45">
      <c r="A45" s="63" t="s">
        <v>82</v>
      </c>
      <c r="B45" s="43">
        <v>1149.0</v>
      </c>
      <c r="C45" s="43">
        <v>265.75</v>
      </c>
      <c r="D45" s="14">
        <f t="shared" si="5"/>
        <v>1149</v>
      </c>
      <c r="E45" s="14">
        <f t="shared" si="6"/>
        <v>305346.75</v>
      </c>
      <c r="F45" s="14">
        <f>IFERROR(__xludf.DUMMYFUNCTION("GOOGLEFINANCE(CONCAT(""NSE:"",A45))"),298.85)</f>
        <v>298.85</v>
      </c>
      <c r="G45" s="14">
        <f t="shared" si="7"/>
        <v>343378.65</v>
      </c>
      <c r="H45" s="44">
        <f t="shared" si="8"/>
        <v>0.1245531515</v>
      </c>
      <c r="I45" s="12"/>
      <c r="J45" s="37">
        <f t="shared" si="9"/>
        <v>38031.9</v>
      </c>
      <c r="K45" s="37"/>
      <c r="L45" s="1" t="s">
        <v>193</v>
      </c>
      <c r="M45" s="1" t="s">
        <v>214</v>
      </c>
      <c r="N45" s="1" t="s">
        <v>229</v>
      </c>
      <c r="O45" s="1" t="s">
        <v>46</v>
      </c>
      <c r="P45" s="1" t="s">
        <v>230</v>
      </c>
      <c r="Q45" s="17">
        <v>77.0</v>
      </c>
      <c r="R45" s="17">
        <v>3405.0</v>
      </c>
      <c r="S45" s="17">
        <v>262185.0</v>
      </c>
      <c r="T45" s="17">
        <v>0.0</v>
      </c>
      <c r="U45" s="17">
        <v>77.95</v>
      </c>
      <c r="V45" s="17">
        <v>204373.2</v>
      </c>
    </row>
    <row r="46">
      <c r="A46" s="63" t="s">
        <v>86</v>
      </c>
      <c r="B46" s="43">
        <v>163.0</v>
      </c>
      <c r="C46" s="43">
        <v>2839.2</v>
      </c>
      <c r="D46" s="14">
        <f t="shared" si="5"/>
        <v>163</v>
      </c>
      <c r="E46" s="14">
        <f t="shared" si="6"/>
        <v>462789.6</v>
      </c>
      <c r="F46" s="14">
        <f>IFERROR(__xludf.DUMMYFUNCTION("GOOGLEFINANCE(CONCAT(""NSE:"",A46))"),3290.8)</f>
        <v>3290.8</v>
      </c>
      <c r="G46" s="14">
        <f t="shared" si="7"/>
        <v>536400.4</v>
      </c>
      <c r="H46" s="44">
        <f t="shared" si="8"/>
        <v>0.1590588898</v>
      </c>
      <c r="I46" s="12"/>
      <c r="J46" s="37">
        <f t="shared" si="9"/>
        <v>73610.8</v>
      </c>
      <c r="K46" s="37"/>
      <c r="L46" s="1" t="s">
        <v>193</v>
      </c>
      <c r="M46" s="1" t="s">
        <v>214</v>
      </c>
      <c r="N46" s="1" t="s">
        <v>231</v>
      </c>
      <c r="O46" s="1" t="s">
        <v>100</v>
      </c>
      <c r="P46" s="1" t="s">
        <v>232</v>
      </c>
      <c r="Q46" s="17">
        <v>277.0</v>
      </c>
      <c r="R46" s="17">
        <v>1341.1</v>
      </c>
      <c r="S46" s="17">
        <v>371484.7</v>
      </c>
      <c r="T46" s="17">
        <v>0.0</v>
      </c>
      <c r="U46" s="17">
        <v>76.24</v>
      </c>
      <c r="V46" s="17">
        <v>283219.9</v>
      </c>
    </row>
    <row r="47">
      <c r="A47" s="63" t="s">
        <v>11</v>
      </c>
      <c r="B47" s="43">
        <v>111.0</v>
      </c>
      <c r="C47" s="43">
        <v>4739.1</v>
      </c>
      <c r="D47" s="14">
        <f t="shared" si="5"/>
        <v>111</v>
      </c>
      <c r="E47" s="14">
        <f t="shared" si="6"/>
        <v>526040.1</v>
      </c>
      <c r="F47" s="14">
        <f>IFERROR(__xludf.DUMMYFUNCTION("GOOGLEFINANCE(CONCAT(""NSE:"",A47))"),4576.0)</f>
        <v>4576</v>
      </c>
      <c r="G47" s="14">
        <f t="shared" si="7"/>
        <v>507936</v>
      </c>
      <c r="H47" s="44">
        <f t="shared" si="8"/>
        <v>-0.03441581735</v>
      </c>
      <c r="I47" s="12"/>
      <c r="J47" s="37">
        <f t="shared" si="9"/>
        <v>-18104.1</v>
      </c>
      <c r="K47" s="37"/>
      <c r="L47" s="1" t="s">
        <v>193</v>
      </c>
      <c r="M47" s="1" t="s">
        <v>214</v>
      </c>
      <c r="N47" s="1" t="s">
        <v>234</v>
      </c>
      <c r="O47" s="1" t="s">
        <v>118</v>
      </c>
      <c r="P47" s="1" t="s">
        <v>235</v>
      </c>
      <c r="Q47" s="17">
        <v>56.0</v>
      </c>
      <c r="R47" s="17">
        <v>5193.0</v>
      </c>
      <c r="S47" s="17">
        <v>290808.0</v>
      </c>
      <c r="T47" s="17">
        <v>0.0</v>
      </c>
      <c r="U47" s="17">
        <v>84.27</v>
      </c>
      <c r="V47" s="17">
        <v>245063.9</v>
      </c>
    </row>
    <row r="48">
      <c r="A48" s="63" t="s">
        <v>15</v>
      </c>
      <c r="B48" s="43">
        <v>11.0</v>
      </c>
      <c r="C48" s="43">
        <v>35545.0</v>
      </c>
      <c r="D48" s="14">
        <f t="shared" si="5"/>
        <v>11</v>
      </c>
      <c r="E48" s="14">
        <f t="shared" si="6"/>
        <v>390995</v>
      </c>
      <c r="F48" s="14">
        <f>IFERROR(__xludf.DUMMYFUNCTION("GOOGLEFINANCE(CONCAT(""NSE:"",A48))"),30810.0)</f>
        <v>30810</v>
      </c>
      <c r="G48" s="14">
        <f t="shared" si="7"/>
        <v>338910</v>
      </c>
      <c r="H48" s="44">
        <f t="shared" si="8"/>
        <v>-0.1332114221</v>
      </c>
      <c r="I48" s="12"/>
      <c r="J48" s="37">
        <f t="shared" si="9"/>
        <v>-52085</v>
      </c>
      <c r="K48" s="37"/>
      <c r="L48" s="1" t="s">
        <v>193</v>
      </c>
      <c r="M48" s="1" t="s">
        <v>214</v>
      </c>
      <c r="N48" s="1" t="s">
        <v>236</v>
      </c>
      <c r="O48" s="1" t="s">
        <v>67</v>
      </c>
      <c r="P48" s="1" t="s">
        <v>237</v>
      </c>
      <c r="Q48" s="17">
        <v>21.0</v>
      </c>
      <c r="R48" s="17">
        <v>17370.0</v>
      </c>
      <c r="S48" s="17">
        <v>364770.0</v>
      </c>
      <c r="T48" s="17">
        <v>0.0</v>
      </c>
      <c r="U48" s="17">
        <v>74.89</v>
      </c>
      <c r="V48" s="17">
        <v>273176.3</v>
      </c>
    </row>
    <row r="49">
      <c r="A49" s="63" t="s">
        <v>194</v>
      </c>
      <c r="B49" s="43">
        <v>179.0</v>
      </c>
      <c r="C49" s="43">
        <v>3118.4</v>
      </c>
      <c r="D49" s="14">
        <f t="shared" si="5"/>
        <v>179</v>
      </c>
      <c r="E49" s="14">
        <f t="shared" si="6"/>
        <v>558193.6</v>
      </c>
      <c r="F49" s="14">
        <f>IFERROR(__xludf.DUMMYFUNCTION("GOOGLEFINANCE(CONCAT(""NSE:"",A49))"),3294.2)</f>
        <v>3294.2</v>
      </c>
      <c r="G49" s="14">
        <f t="shared" si="7"/>
        <v>589661.8</v>
      </c>
      <c r="H49" s="44">
        <f t="shared" si="8"/>
        <v>0.05637506414</v>
      </c>
      <c r="I49" s="12"/>
      <c r="J49" s="37">
        <f t="shared" si="9"/>
        <v>31468.2</v>
      </c>
      <c r="K49" s="37"/>
      <c r="L49" s="1" t="s">
        <v>193</v>
      </c>
      <c r="M49" s="1" t="s">
        <v>214</v>
      </c>
      <c r="N49" s="1" t="s">
        <v>239</v>
      </c>
      <c r="O49" s="1" t="s">
        <v>197</v>
      </c>
      <c r="P49" s="1" t="s">
        <v>240</v>
      </c>
      <c r="Q49" s="17">
        <v>337.0</v>
      </c>
      <c r="R49" s="17">
        <v>1367.6</v>
      </c>
      <c r="S49" s="17">
        <v>460881.2</v>
      </c>
      <c r="T49" s="17">
        <v>0.0</v>
      </c>
      <c r="U49" s="17">
        <v>76.05</v>
      </c>
      <c r="V49" s="17">
        <v>350500.2</v>
      </c>
    </row>
    <row r="50">
      <c r="A50" s="63" t="s">
        <v>103</v>
      </c>
      <c r="B50" s="43">
        <v>237.0</v>
      </c>
      <c r="C50" s="43">
        <v>1458.0</v>
      </c>
      <c r="D50" s="14">
        <f t="shared" si="5"/>
        <v>237</v>
      </c>
      <c r="E50" s="14">
        <f t="shared" si="6"/>
        <v>345546</v>
      </c>
      <c r="F50" s="14">
        <f>IFERROR(__xludf.DUMMYFUNCTION("GOOGLEFINANCE(CONCAT(""NSE:"",A50))"),1356.1)</f>
        <v>1356.1</v>
      </c>
      <c r="G50" s="14">
        <f t="shared" si="7"/>
        <v>321395.7</v>
      </c>
      <c r="H50" s="44">
        <f t="shared" si="8"/>
        <v>-0.06989026063</v>
      </c>
      <c r="I50" s="12"/>
      <c r="J50" s="37">
        <f t="shared" si="9"/>
        <v>-24150.3</v>
      </c>
      <c r="K50" s="37"/>
      <c r="L50" s="1" t="s">
        <v>193</v>
      </c>
      <c r="M50" s="1" t="s">
        <v>214</v>
      </c>
      <c r="N50" s="1" t="s">
        <v>241</v>
      </c>
      <c r="O50" s="1" t="s">
        <v>109</v>
      </c>
      <c r="P50" s="1" t="s">
        <v>242</v>
      </c>
      <c r="Q50" s="17">
        <v>646.0</v>
      </c>
      <c r="R50" s="17">
        <v>567.65</v>
      </c>
      <c r="S50" s="17">
        <v>366701.9</v>
      </c>
      <c r="T50" s="17">
        <v>0.0</v>
      </c>
      <c r="U50" s="17">
        <v>75.75</v>
      </c>
      <c r="V50" s="17">
        <v>277776.7</v>
      </c>
    </row>
    <row r="51">
      <c r="A51" s="63" t="s">
        <v>108</v>
      </c>
      <c r="B51" s="43">
        <v>1909.0</v>
      </c>
      <c r="C51" s="43">
        <v>231.85</v>
      </c>
      <c r="D51" s="14">
        <f t="shared" si="5"/>
        <v>1909</v>
      </c>
      <c r="E51" s="14">
        <f t="shared" si="6"/>
        <v>442601.65</v>
      </c>
      <c r="F51" s="14">
        <f>IFERROR(__xludf.DUMMYFUNCTION("GOOGLEFINANCE(CONCAT(""NSE:"",A51))"),203.99)</f>
        <v>203.99</v>
      </c>
      <c r="G51" s="14">
        <f t="shared" si="7"/>
        <v>389416.91</v>
      </c>
      <c r="H51" s="44">
        <f t="shared" si="8"/>
        <v>-0.1201638991</v>
      </c>
      <c r="I51" s="12"/>
      <c r="J51" s="37">
        <f t="shared" si="9"/>
        <v>-53184.74</v>
      </c>
      <c r="K51" s="37"/>
      <c r="L51" s="1" t="s">
        <v>193</v>
      </c>
      <c r="M51" s="1" t="s">
        <v>214</v>
      </c>
      <c r="N51" s="1" t="s">
        <v>243</v>
      </c>
      <c r="O51" s="1" t="s">
        <v>9</v>
      </c>
      <c r="P51" s="1" t="s">
        <v>245</v>
      </c>
      <c r="Q51" s="17">
        <v>90.0</v>
      </c>
      <c r="R51" s="17">
        <v>4339.2</v>
      </c>
      <c r="S51" s="17">
        <v>390528.0</v>
      </c>
      <c r="T51" s="17">
        <v>0.0</v>
      </c>
      <c r="U51" s="17">
        <v>77.33</v>
      </c>
      <c r="V51" s="17">
        <v>301995.3</v>
      </c>
    </row>
    <row r="52">
      <c r="A52" s="63" t="s">
        <v>34</v>
      </c>
      <c r="B52" s="43">
        <v>89.0</v>
      </c>
      <c r="C52" s="43">
        <v>1749.3</v>
      </c>
      <c r="D52" s="14">
        <f t="shared" si="5"/>
        <v>89</v>
      </c>
      <c r="E52" s="14">
        <f t="shared" si="6"/>
        <v>155687.7</v>
      </c>
      <c r="F52" s="14">
        <f>IFERROR(__xludf.DUMMYFUNCTION("GOOGLEFINANCE(CONCAT(""NSE:"",A52))"),2211.9)</f>
        <v>2211.9</v>
      </c>
      <c r="G52" s="14">
        <f t="shared" si="7"/>
        <v>196859.1</v>
      </c>
      <c r="H52" s="44">
        <f t="shared" si="8"/>
        <v>0.2644486366</v>
      </c>
      <c r="I52" s="12"/>
      <c r="J52" s="37">
        <f t="shared" si="9"/>
        <v>41171.4</v>
      </c>
      <c r="K52" s="37"/>
      <c r="L52" s="1" t="s">
        <v>193</v>
      </c>
      <c r="M52" s="1" t="s">
        <v>214</v>
      </c>
      <c r="N52" s="1" t="s">
        <v>246</v>
      </c>
      <c r="O52" s="1" t="s">
        <v>244</v>
      </c>
      <c r="P52" s="1" t="s">
        <v>247</v>
      </c>
      <c r="Q52" s="17">
        <v>2420.0</v>
      </c>
      <c r="R52" s="17">
        <v>251.47</v>
      </c>
      <c r="S52" s="17">
        <v>608557.4</v>
      </c>
      <c r="T52" s="17">
        <v>0.0</v>
      </c>
      <c r="U52" s="17">
        <v>75.5</v>
      </c>
      <c r="V52" s="17">
        <v>459460.8</v>
      </c>
    </row>
    <row r="53">
      <c r="A53" s="63" t="s">
        <v>195</v>
      </c>
      <c r="B53" s="43">
        <v>648.0</v>
      </c>
      <c r="C53" s="43">
        <v>978.5</v>
      </c>
      <c r="D53" s="14">
        <f t="shared" si="5"/>
        <v>648</v>
      </c>
      <c r="E53" s="14">
        <f t="shared" si="6"/>
        <v>634068</v>
      </c>
      <c r="F53" s="14">
        <f>IFERROR(__xludf.DUMMYFUNCTION("GOOGLEFINANCE(CONCAT(""NSE:"",A53))"),1542.5)</f>
        <v>1542.5</v>
      </c>
      <c r="G53" s="14">
        <f t="shared" si="7"/>
        <v>999540</v>
      </c>
      <c r="H53" s="44">
        <f t="shared" si="8"/>
        <v>0.5763924374</v>
      </c>
      <c r="I53" s="12"/>
      <c r="J53" s="37">
        <f t="shared" si="9"/>
        <v>365472</v>
      </c>
      <c r="K53" s="37"/>
      <c r="L53" s="1" t="s">
        <v>193</v>
      </c>
      <c r="M53" s="1" t="s">
        <v>214</v>
      </c>
      <c r="N53" s="1" t="s">
        <v>139</v>
      </c>
      <c r="O53" s="1" t="s">
        <v>112</v>
      </c>
      <c r="P53" s="1" t="s">
        <v>140</v>
      </c>
      <c r="Q53" s="17">
        <v>298.0</v>
      </c>
      <c r="R53" s="17">
        <v>1037.4</v>
      </c>
      <c r="S53" s="17">
        <v>309145.2</v>
      </c>
      <c r="T53" s="17">
        <v>0.0</v>
      </c>
      <c r="U53" s="17">
        <v>84.62</v>
      </c>
      <c r="V53" s="17">
        <v>261598.7</v>
      </c>
    </row>
    <row r="54">
      <c r="A54" s="63" t="s">
        <v>196</v>
      </c>
      <c r="B54" s="43">
        <v>2297.0</v>
      </c>
      <c r="C54" s="43">
        <v>219.18</v>
      </c>
      <c r="D54" s="14">
        <f t="shared" si="5"/>
        <v>2297</v>
      </c>
      <c r="E54" s="14">
        <f t="shared" si="6"/>
        <v>503456.46</v>
      </c>
      <c r="F54" s="14">
        <f>IFERROR(__xludf.DUMMYFUNCTION("GOOGLEFINANCE(CONCAT(""NSE:"",A54))"),231.03)</f>
        <v>231.03</v>
      </c>
      <c r="G54" s="14">
        <f t="shared" si="7"/>
        <v>530675.91</v>
      </c>
      <c r="H54" s="44">
        <f t="shared" si="8"/>
        <v>0.05406515193</v>
      </c>
      <c r="I54" s="12"/>
      <c r="J54" s="37">
        <f t="shared" si="9"/>
        <v>27219.45</v>
      </c>
      <c r="K54" s="37"/>
      <c r="L54" s="1" t="s">
        <v>193</v>
      </c>
      <c r="M54" s="1" t="s">
        <v>214</v>
      </c>
      <c r="N54" s="1" t="s">
        <v>248</v>
      </c>
      <c r="O54" s="1" t="s">
        <v>111</v>
      </c>
      <c r="P54" s="1" t="s">
        <v>249</v>
      </c>
      <c r="Q54" s="17">
        <v>958.0</v>
      </c>
      <c r="R54" s="17">
        <v>533.55</v>
      </c>
      <c r="S54" s="17">
        <v>511140.9</v>
      </c>
      <c r="T54" s="17">
        <v>0.0</v>
      </c>
      <c r="U54" s="17">
        <v>75.13</v>
      </c>
      <c r="V54" s="17">
        <v>384020.2</v>
      </c>
    </row>
    <row r="55">
      <c r="A55" s="63" t="s">
        <v>118</v>
      </c>
      <c r="B55" s="43">
        <v>56.0</v>
      </c>
      <c r="C55" s="43">
        <v>5685.0</v>
      </c>
      <c r="D55" s="14">
        <f t="shared" si="5"/>
        <v>56</v>
      </c>
      <c r="E55" s="14">
        <f t="shared" si="6"/>
        <v>318360</v>
      </c>
      <c r="F55" s="14">
        <f>IFERROR(__xludf.DUMMYFUNCTION("GOOGLEFINANCE(CONCAT(""NSE:"",A55))"),5003.0)</f>
        <v>5003</v>
      </c>
      <c r="G55" s="14">
        <f t="shared" si="7"/>
        <v>280168</v>
      </c>
      <c r="H55" s="44">
        <f t="shared" si="8"/>
        <v>-0.1199648197</v>
      </c>
      <c r="I55" s="12"/>
      <c r="J55" s="37">
        <f t="shared" si="9"/>
        <v>-38192</v>
      </c>
      <c r="K55" s="37"/>
      <c r="L55" s="1" t="s">
        <v>193</v>
      </c>
      <c r="M55" s="1" t="s">
        <v>214</v>
      </c>
      <c r="N55" s="1" t="s">
        <v>250</v>
      </c>
      <c r="O55" s="1" t="s">
        <v>251</v>
      </c>
      <c r="P55" s="1" t="s">
        <v>252</v>
      </c>
      <c r="Q55" s="17">
        <v>32653.0</v>
      </c>
      <c r="R55" s="17">
        <v>14.68</v>
      </c>
      <c r="S55" s="17">
        <v>479346.0</v>
      </c>
      <c r="T55" s="17">
        <v>0.0</v>
      </c>
      <c r="U55" s="17">
        <v>75.96</v>
      </c>
      <c r="V55" s="17">
        <v>364111.3</v>
      </c>
    </row>
    <row r="56">
      <c r="A56" s="63" t="s">
        <v>197</v>
      </c>
      <c r="B56" s="43">
        <v>337.0</v>
      </c>
      <c r="C56" s="43">
        <v>1063.4</v>
      </c>
      <c r="D56" s="14">
        <f t="shared" si="5"/>
        <v>337</v>
      </c>
      <c r="E56" s="14">
        <f t="shared" si="6"/>
        <v>358365.8</v>
      </c>
      <c r="F56" s="14">
        <f>IFERROR(__xludf.DUMMYFUNCTION("GOOGLEFINANCE(CONCAT(""NSE:"",A56))"),1287.7)</f>
        <v>1287.7</v>
      </c>
      <c r="G56" s="14">
        <f t="shared" si="7"/>
        <v>433954.9</v>
      </c>
      <c r="H56" s="44">
        <f t="shared" si="8"/>
        <v>0.2109272146</v>
      </c>
      <c r="I56" s="12"/>
      <c r="J56" s="37">
        <f t="shared" si="9"/>
        <v>75589.1</v>
      </c>
      <c r="K56" s="37"/>
      <c r="L56" s="1" t="s">
        <v>193</v>
      </c>
      <c r="M56" s="1" t="s">
        <v>214</v>
      </c>
      <c r="N56" s="1" t="s">
        <v>253</v>
      </c>
      <c r="O56" s="1" t="s">
        <v>198</v>
      </c>
      <c r="P56" s="1" t="s">
        <v>254</v>
      </c>
      <c r="Q56" s="17">
        <v>248.0</v>
      </c>
      <c r="R56" s="17">
        <v>2123.1</v>
      </c>
      <c r="S56" s="17">
        <v>526528.8</v>
      </c>
      <c r="T56" s="17">
        <v>0.0</v>
      </c>
      <c r="U56" s="17">
        <v>76.86</v>
      </c>
      <c r="V56" s="17">
        <v>404690.0</v>
      </c>
    </row>
    <row r="57">
      <c r="A57" s="63" t="s">
        <v>244</v>
      </c>
      <c r="B57" s="43">
        <v>2420.0</v>
      </c>
      <c r="C57" s="43">
        <v>195.57</v>
      </c>
      <c r="D57" s="14">
        <f t="shared" si="5"/>
        <v>2420</v>
      </c>
      <c r="E57" s="14">
        <f t="shared" si="6"/>
        <v>473279.4</v>
      </c>
      <c r="F57" s="14">
        <f>IFERROR(__xludf.DUMMYFUNCTION("GOOGLEFINANCE(CONCAT(""NSE:"",A57))"),213.3)</f>
        <v>213.3</v>
      </c>
      <c r="G57" s="14">
        <f t="shared" si="7"/>
        <v>516186</v>
      </c>
      <c r="H57" s="44">
        <f t="shared" si="8"/>
        <v>0.09065807639</v>
      </c>
      <c r="I57" s="12"/>
      <c r="J57" s="37">
        <f t="shared" si="9"/>
        <v>42906.6</v>
      </c>
      <c r="K57" s="37"/>
      <c r="L57" s="1" t="s">
        <v>193</v>
      </c>
      <c r="M57" s="1" t="s">
        <v>214</v>
      </c>
      <c r="N57" s="1" t="s">
        <v>255</v>
      </c>
      <c r="O57" s="1" t="s">
        <v>81</v>
      </c>
      <c r="P57" s="1" t="s">
        <v>256</v>
      </c>
      <c r="Q57" s="17">
        <v>335.0</v>
      </c>
      <c r="R57" s="17">
        <v>1938.5</v>
      </c>
      <c r="S57" s="17">
        <v>649397.5</v>
      </c>
      <c r="T57" s="17">
        <v>0.0</v>
      </c>
      <c r="U57" s="17">
        <v>83.74</v>
      </c>
      <c r="V57" s="17">
        <v>543805.5</v>
      </c>
    </row>
    <row r="58">
      <c r="A58" s="63" t="s">
        <v>112</v>
      </c>
      <c r="B58" s="43">
        <v>298.0</v>
      </c>
      <c r="C58" s="43">
        <v>1134.9</v>
      </c>
      <c r="D58" s="14">
        <f t="shared" si="5"/>
        <v>298</v>
      </c>
      <c r="E58" s="14">
        <f t="shared" si="6"/>
        <v>338200.2</v>
      </c>
      <c r="F58" s="14">
        <f>IFERROR(__xludf.DUMMYFUNCTION("GOOGLEFINANCE(CONCAT(""NSE:"",A58))"),983.7)</f>
        <v>983.7</v>
      </c>
      <c r="G58" s="14">
        <f t="shared" si="7"/>
        <v>293142.6</v>
      </c>
      <c r="H58" s="44">
        <f t="shared" si="8"/>
        <v>-0.1332275971</v>
      </c>
      <c r="I58" s="12"/>
      <c r="J58" s="37">
        <f t="shared" si="9"/>
        <v>-45057.6</v>
      </c>
      <c r="K58" s="37"/>
      <c r="L58" s="1" t="s">
        <v>193</v>
      </c>
      <c r="M58" s="1" t="s">
        <v>214</v>
      </c>
      <c r="N58" s="1" t="s">
        <v>257</v>
      </c>
      <c r="O58" s="1" t="s">
        <v>82</v>
      </c>
      <c r="P58" s="1" t="s">
        <v>258</v>
      </c>
      <c r="Q58" s="17">
        <v>1149.0</v>
      </c>
      <c r="R58" s="17">
        <v>314.3</v>
      </c>
      <c r="S58" s="17">
        <v>361130.7</v>
      </c>
      <c r="T58" s="17">
        <v>0.0</v>
      </c>
      <c r="U58" s="17">
        <v>82.28</v>
      </c>
      <c r="V58" s="17">
        <v>297138.3</v>
      </c>
    </row>
    <row r="59">
      <c r="A59" s="63" t="s">
        <v>111</v>
      </c>
      <c r="B59" s="43">
        <v>958.0</v>
      </c>
      <c r="C59" s="43">
        <v>541.3</v>
      </c>
      <c r="D59" s="14">
        <f t="shared" si="5"/>
        <v>958</v>
      </c>
      <c r="E59" s="14">
        <f t="shared" si="6"/>
        <v>518565.4</v>
      </c>
      <c r="F59" s="14">
        <f>IFERROR(__xludf.DUMMYFUNCTION("GOOGLEFINANCE(CONCAT(""NSE:"",A59))"),484.55)</f>
        <v>484.55</v>
      </c>
      <c r="G59" s="14">
        <f t="shared" si="7"/>
        <v>464198.9</v>
      </c>
      <c r="H59" s="44">
        <f t="shared" si="8"/>
        <v>-0.1048401995</v>
      </c>
      <c r="I59" s="12"/>
      <c r="J59" s="37">
        <f t="shared" si="9"/>
        <v>-54366.5</v>
      </c>
      <c r="K59" s="37"/>
      <c r="L59" s="1" t="s">
        <v>193</v>
      </c>
      <c r="M59" s="1" t="s">
        <v>214</v>
      </c>
      <c r="N59" s="1" t="s">
        <v>260</v>
      </c>
      <c r="O59" s="1" t="s">
        <v>86</v>
      </c>
      <c r="P59" s="1" t="s">
        <v>261</v>
      </c>
      <c r="Q59" s="17">
        <v>163.0</v>
      </c>
      <c r="R59" s="17">
        <v>3332.0</v>
      </c>
      <c r="S59" s="17">
        <v>543116.0</v>
      </c>
      <c r="T59" s="17">
        <v>0.0</v>
      </c>
      <c r="U59" s="17">
        <v>80.05</v>
      </c>
      <c r="V59" s="17">
        <v>434764.4</v>
      </c>
    </row>
    <row r="60">
      <c r="A60" s="63" t="s">
        <v>251</v>
      </c>
      <c r="B60" s="43">
        <v>32653.0</v>
      </c>
      <c r="C60" s="43">
        <v>14.17</v>
      </c>
      <c r="D60" s="14">
        <f t="shared" si="5"/>
        <v>32653</v>
      </c>
      <c r="E60" s="14">
        <f t="shared" si="6"/>
        <v>462693.01</v>
      </c>
      <c r="F60" s="14">
        <f>IFERROR(__xludf.DUMMYFUNCTION("GOOGLEFINANCE(CONCAT(""NSE:"",A60))"),14.27)</f>
        <v>14.27</v>
      </c>
      <c r="G60" s="14">
        <f t="shared" si="7"/>
        <v>465958.31</v>
      </c>
      <c r="H60" s="44">
        <f t="shared" si="8"/>
        <v>0.00705716302</v>
      </c>
      <c r="I60" s="12"/>
      <c r="J60" s="37">
        <f t="shared" si="9"/>
        <v>3265.3</v>
      </c>
      <c r="K60" s="37"/>
      <c r="L60" s="1" t="s">
        <v>193</v>
      </c>
      <c r="M60" s="1" t="s">
        <v>214</v>
      </c>
      <c r="N60" s="1" t="s">
        <v>262</v>
      </c>
      <c r="O60" s="1" t="s">
        <v>90</v>
      </c>
      <c r="P60" s="1" t="s">
        <v>263</v>
      </c>
      <c r="Q60" s="17">
        <v>281.0</v>
      </c>
      <c r="R60" s="17">
        <v>1194.4</v>
      </c>
      <c r="S60" s="17">
        <v>335626.4</v>
      </c>
      <c r="T60" s="17">
        <v>0.0</v>
      </c>
      <c r="U60" s="17">
        <v>80.01</v>
      </c>
      <c r="V60" s="17">
        <v>268534.7</v>
      </c>
    </row>
    <row r="61">
      <c r="A61" s="63" t="s">
        <v>81</v>
      </c>
      <c r="B61" s="43">
        <v>335.0</v>
      </c>
      <c r="C61" s="43">
        <v>1386.5</v>
      </c>
      <c r="D61" s="14">
        <f t="shared" si="5"/>
        <v>335</v>
      </c>
      <c r="E61" s="14">
        <f t="shared" si="6"/>
        <v>464477.5</v>
      </c>
      <c r="F61" s="14">
        <f>IFERROR(__xludf.DUMMYFUNCTION("GOOGLEFINANCE(CONCAT(""NSE:"",A61))"),1944.7)</f>
        <v>1944.7</v>
      </c>
      <c r="G61" s="14">
        <f t="shared" si="7"/>
        <v>651474.5</v>
      </c>
      <c r="H61" s="44">
        <f t="shared" si="8"/>
        <v>0.4025964659</v>
      </c>
      <c r="I61" s="12"/>
      <c r="J61" s="37">
        <f t="shared" si="9"/>
        <v>186997</v>
      </c>
      <c r="K61" s="37"/>
      <c r="L61" s="1" t="s">
        <v>193</v>
      </c>
      <c r="M61" s="1" t="s">
        <v>214</v>
      </c>
      <c r="N61" s="1" t="s">
        <v>156</v>
      </c>
      <c r="O61" s="1" t="s">
        <v>28</v>
      </c>
      <c r="P61" s="1" t="s">
        <v>157</v>
      </c>
      <c r="Q61" s="17">
        <v>1181.0</v>
      </c>
      <c r="R61" s="17">
        <v>394.95</v>
      </c>
      <c r="S61" s="17">
        <v>466436.0</v>
      </c>
      <c r="T61" s="17">
        <v>0.0</v>
      </c>
      <c r="U61" s="17">
        <v>78.97</v>
      </c>
      <c r="V61" s="17">
        <v>368344.5</v>
      </c>
    </row>
    <row r="62">
      <c r="A62" s="63" t="s">
        <v>90</v>
      </c>
      <c r="B62" s="43">
        <v>281.0</v>
      </c>
      <c r="C62" s="43">
        <v>1071.3</v>
      </c>
      <c r="D62" s="14">
        <f t="shared" si="5"/>
        <v>281</v>
      </c>
      <c r="E62" s="14">
        <f t="shared" si="6"/>
        <v>301035.3</v>
      </c>
      <c r="F62" s="14">
        <f>IFERROR(__xludf.DUMMYFUNCTION("GOOGLEFINANCE(CONCAT(""NSE:"",A62))"),1113.3)</f>
        <v>1113.3</v>
      </c>
      <c r="G62" s="14">
        <f t="shared" si="7"/>
        <v>312837.3</v>
      </c>
      <c r="H62" s="44">
        <f t="shared" si="8"/>
        <v>0.03920470456</v>
      </c>
      <c r="I62" s="12"/>
      <c r="J62" s="37">
        <f t="shared" si="9"/>
        <v>11802</v>
      </c>
      <c r="K62" s="37"/>
      <c r="L62" s="1" t="s">
        <v>193</v>
      </c>
      <c r="M62" s="1" t="s">
        <v>214</v>
      </c>
      <c r="N62" s="1" t="s">
        <v>265</v>
      </c>
      <c r="O62" s="1" t="s">
        <v>11</v>
      </c>
      <c r="P62" s="1" t="s">
        <v>266</v>
      </c>
      <c r="Q62" s="17">
        <v>111.0</v>
      </c>
      <c r="R62" s="17">
        <v>5322.9</v>
      </c>
      <c r="S62" s="17">
        <v>590841.9</v>
      </c>
      <c r="T62" s="17">
        <v>0.0</v>
      </c>
      <c r="U62" s="17">
        <v>73.07</v>
      </c>
      <c r="V62" s="17">
        <v>431728.2</v>
      </c>
    </row>
    <row r="63">
      <c r="A63" s="63" t="s">
        <v>28</v>
      </c>
      <c r="B63" s="43">
        <v>1181.0</v>
      </c>
      <c r="C63" s="43">
        <v>433.05</v>
      </c>
      <c r="D63" s="14">
        <f t="shared" si="5"/>
        <v>1181</v>
      </c>
      <c r="E63" s="14">
        <f t="shared" si="6"/>
        <v>511432.05</v>
      </c>
      <c r="F63" s="14">
        <f>IFERROR(__xludf.DUMMYFUNCTION("GOOGLEFINANCE(CONCAT(""NSE:"",A63))"),356.3)</f>
        <v>356.3</v>
      </c>
      <c r="G63" s="14">
        <f t="shared" si="7"/>
        <v>420790.3</v>
      </c>
      <c r="H63" s="44">
        <f t="shared" si="8"/>
        <v>-0.1772312666</v>
      </c>
      <c r="I63" s="12"/>
      <c r="J63" s="37">
        <f t="shared" si="9"/>
        <v>-90641.75</v>
      </c>
      <c r="K63" s="37"/>
      <c r="L63" s="1" t="s">
        <v>193</v>
      </c>
      <c r="M63" s="1" t="s">
        <v>214</v>
      </c>
      <c r="N63" s="1" t="s">
        <v>267</v>
      </c>
      <c r="O63" s="1" t="s">
        <v>15</v>
      </c>
      <c r="P63" s="1" t="s">
        <v>268</v>
      </c>
      <c r="Q63" s="17">
        <v>11.0</v>
      </c>
      <c r="R63" s="17">
        <v>33330.0</v>
      </c>
      <c r="S63" s="17">
        <v>366630.0</v>
      </c>
      <c r="T63" s="17">
        <v>0.0</v>
      </c>
      <c r="U63" s="17">
        <v>76.95</v>
      </c>
      <c r="V63" s="17">
        <v>282121.8</v>
      </c>
    </row>
    <row r="64">
      <c r="A64" s="63" t="s">
        <v>31</v>
      </c>
      <c r="B64" s="43">
        <v>276.0</v>
      </c>
      <c r="C64" s="43">
        <v>1122.3</v>
      </c>
      <c r="D64" s="14">
        <f t="shared" si="5"/>
        <v>276</v>
      </c>
      <c r="E64" s="14">
        <f t="shared" si="6"/>
        <v>309754.8</v>
      </c>
      <c r="F64" s="14">
        <f>IFERROR(__xludf.DUMMYFUNCTION("GOOGLEFINANCE(CONCAT(""NSE:"",A64))"),1193.0)</f>
        <v>1193</v>
      </c>
      <c r="G64" s="14">
        <f t="shared" si="7"/>
        <v>329268</v>
      </c>
      <c r="H64" s="44">
        <f t="shared" si="8"/>
        <v>0.06299563397</v>
      </c>
      <c r="I64" s="12"/>
      <c r="J64" s="37">
        <f t="shared" si="9"/>
        <v>19513.2</v>
      </c>
      <c r="K64" s="37"/>
      <c r="L64" s="1" t="s">
        <v>193</v>
      </c>
      <c r="M64" s="1" t="s">
        <v>214</v>
      </c>
      <c r="N64" s="1" t="s">
        <v>269</v>
      </c>
      <c r="O64" s="1" t="s">
        <v>31</v>
      </c>
      <c r="P64" s="1" t="s">
        <v>270</v>
      </c>
      <c r="Q64" s="17">
        <v>276.0</v>
      </c>
      <c r="R64" s="17">
        <v>1201.9</v>
      </c>
      <c r="S64" s="17">
        <v>331724.4</v>
      </c>
      <c r="T64" s="17">
        <v>0.0</v>
      </c>
      <c r="U64" s="17">
        <v>76.0</v>
      </c>
      <c r="V64" s="17">
        <v>252110.5</v>
      </c>
    </row>
    <row r="65">
      <c r="A65" s="63" t="s">
        <v>91</v>
      </c>
      <c r="B65" s="43">
        <v>389.0</v>
      </c>
      <c r="C65" s="43">
        <v>1188.0</v>
      </c>
      <c r="D65" s="14">
        <f t="shared" si="5"/>
        <v>389</v>
      </c>
      <c r="E65" s="14">
        <f t="shared" si="6"/>
        <v>462132</v>
      </c>
      <c r="F65" s="14">
        <f>IFERROR(__xludf.DUMMYFUNCTION("GOOGLEFINANCE(CONCAT(""NSE:"",A65))"),1642.0)</f>
        <v>1642</v>
      </c>
      <c r="G65" s="14">
        <f t="shared" si="7"/>
        <v>638738</v>
      </c>
      <c r="H65" s="44">
        <f t="shared" si="8"/>
        <v>0.3821548822</v>
      </c>
      <c r="I65" s="12"/>
      <c r="J65" s="37">
        <f t="shared" si="9"/>
        <v>176606</v>
      </c>
      <c r="K65" s="37"/>
      <c r="L65" s="1" t="s">
        <v>193</v>
      </c>
      <c r="M65" s="1" t="s">
        <v>214</v>
      </c>
      <c r="N65" s="1" t="s">
        <v>271</v>
      </c>
      <c r="O65" s="1" t="s">
        <v>91</v>
      </c>
      <c r="P65" s="1" t="s">
        <v>272</v>
      </c>
      <c r="Q65" s="17">
        <v>389.0</v>
      </c>
      <c r="R65" s="17">
        <v>1474.3</v>
      </c>
      <c r="S65" s="17">
        <v>573502.7</v>
      </c>
      <c r="T65" s="17">
        <v>0.0</v>
      </c>
      <c r="U65" s="17">
        <v>77.99</v>
      </c>
      <c r="V65" s="17">
        <v>447274.8</v>
      </c>
    </row>
    <row r="66">
      <c r="A66" s="63" t="s">
        <v>201</v>
      </c>
      <c r="B66" s="43">
        <v>608.0</v>
      </c>
      <c r="C66" s="43">
        <v>489.85</v>
      </c>
      <c r="D66" s="14">
        <f t="shared" si="5"/>
        <v>608</v>
      </c>
      <c r="E66" s="14">
        <f t="shared" si="6"/>
        <v>297828.8</v>
      </c>
      <c r="F66" s="14">
        <f>IFERROR(__xludf.DUMMYFUNCTION("GOOGLEFINANCE(CONCAT(""NSE:"",A66))"),492.45)</f>
        <v>492.45</v>
      </c>
      <c r="G66" s="14">
        <f t="shared" si="7"/>
        <v>299409.6</v>
      </c>
      <c r="H66" s="44">
        <f t="shared" si="8"/>
        <v>0.00530774727</v>
      </c>
      <c r="I66" s="12"/>
      <c r="J66" s="37">
        <f t="shared" si="9"/>
        <v>1580.8</v>
      </c>
      <c r="K66" s="37"/>
      <c r="L66" s="1" t="s">
        <v>193</v>
      </c>
      <c r="M66" s="1" t="s">
        <v>214</v>
      </c>
      <c r="N66" s="1" t="s">
        <v>274</v>
      </c>
      <c r="O66" s="1" t="s">
        <v>201</v>
      </c>
      <c r="P66" s="1" t="s">
        <v>275</v>
      </c>
      <c r="Q66" s="17">
        <v>608.0</v>
      </c>
      <c r="R66" s="17">
        <v>492.45</v>
      </c>
      <c r="S66" s="17">
        <v>299409.6</v>
      </c>
      <c r="T66" s="17">
        <v>0.0</v>
      </c>
      <c r="U66" s="17">
        <v>81.87</v>
      </c>
      <c r="V66" s="17">
        <v>245126.6</v>
      </c>
    </row>
    <row r="67">
      <c r="A67" s="40"/>
      <c r="B67" s="40"/>
      <c r="C67" s="40"/>
      <c r="D67" s="40"/>
      <c r="E67" s="40"/>
      <c r="F67" s="40"/>
      <c r="G67" s="40"/>
      <c r="H67" s="40"/>
      <c r="I67" s="12"/>
      <c r="J67" s="37"/>
      <c r="K67" s="37"/>
      <c r="L67" s="37"/>
      <c r="M67" s="12"/>
      <c r="N67" s="12"/>
      <c r="O67" s="12"/>
      <c r="P67" s="12"/>
      <c r="Q67" s="12"/>
      <c r="R67" s="36"/>
      <c r="S67" s="12"/>
      <c r="T67" s="12"/>
    </row>
    <row r="68">
      <c r="A68" s="38">
        <v>46090.0</v>
      </c>
      <c r="B68" s="39" t="s">
        <v>300</v>
      </c>
      <c r="C68" s="62" t="s">
        <v>301</v>
      </c>
      <c r="D68" s="40" t="s">
        <v>302</v>
      </c>
      <c r="E68" s="40" t="s">
        <v>303</v>
      </c>
      <c r="F68" s="40" t="s">
        <v>304</v>
      </c>
      <c r="G68" s="40" t="s">
        <v>305</v>
      </c>
      <c r="H68" s="40" t="s">
        <v>306</v>
      </c>
      <c r="I68" s="12"/>
      <c r="J68" s="37"/>
      <c r="K68" s="37"/>
      <c r="L68" s="37"/>
      <c r="M68" s="12"/>
      <c r="N68" s="12"/>
      <c r="O68" s="12"/>
      <c r="P68" s="12"/>
      <c r="Q68" s="12"/>
      <c r="R68" s="36"/>
      <c r="S68" s="12"/>
      <c r="T68" s="12"/>
    </row>
    <row r="69">
      <c r="A69" s="63" t="s">
        <v>46</v>
      </c>
      <c r="B69" s="43">
        <v>116.0</v>
      </c>
      <c r="C69" s="43">
        <v>2723.4</v>
      </c>
      <c r="D69" s="14">
        <f t="shared" ref="D69:D98" si="10">B69</f>
        <v>116</v>
      </c>
      <c r="E69" s="14">
        <f t="shared" ref="E69:E98" si="11">B69*C69</f>
        <v>315914.4</v>
      </c>
      <c r="F69" s="14">
        <f>IFERROR(__xludf.DUMMYFUNCTION("GOOGLEFINANCE(CONCAT(""NSE:"",A69))"),3271.6)</f>
        <v>3271.6</v>
      </c>
      <c r="G69" s="14">
        <f t="shared" ref="G69:G98" si="12">D69*F69</f>
        <v>379505.6</v>
      </c>
      <c r="H69" s="44">
        <f t="shared" ref="H69:H98" si="13">(G69-E69)/E69</f>
        <v>0.201292502</v>
      </c>
      <c r="I69" s="12"/>
      <c r="J69" s="1"/>
      <c r="K69" s="1"/>
      <c r="L69" s="1"/>
      <c r="M69" s="1"/>
      <c r="N69" s="1"/>
      <c r="O69" s="1"/>
      <c r="P69" s="1"/>
      <c r="Q69" s="1"/>
      <c r="R69" s="68"/>
      <c r="S69" s="1"/>
      <c r="T69" s="1"/>
    </row>
    <row r="70">
      <c r="A70" s="63" t="s">
        <v>60</v>
      </c>
      <c r="B70" s="43">
        <v>126.0</v>
      </c>
      <c r="C70" s="43">
        <v>2475.5</v>
      </c>
      <c r="D70" s="14">
        <f t="shared" si="10"/>
        <v>126</v>
      </c>
      <c r="E70" s="14">
        <f t="shared" si="11"/>
        <v>311913</v>
      </c>
      <c r="F70" s="14">
        <f>IFERROR(__xludf.DUMMYFUNCTION("GOOGLEFINANCE(CONCAT(""NSE:"",A70))"),2337.0)</f>
        <v>2337</v>
      </c>
      <c r="G70" s="14">
        <f t="shared" si="12"/>
        <v>294462</v>
      </c>
      <c r="H70" s="44">
        <f t="shared" si="13"/>
        <v>-0.05594829327</v>
      </c>
      <c r="I70" s="12"/>
      <c r="J70" s="1"/>
      <c r="K70" s="1"/>
      <c r="L70" s="1"/>
      <c r="M70" s="1"/>
      <c r="N70" s="1"/>
      <c r="O70" s="17"/>
      <c r="P70" s="17"/>
      <c r="Q70" s="17"/>
      <c r="R70" s="82"/>
      <c r="S70" s="17"/>
      <c r="T70" s="17"/>
    </row>
    <row r="71">
      <c r="A71" s="63" t="s">
        <v>86</v>
      </c>
      <c r="B71" s="43">
        <v>187.0</v>
      </c>
      <c r="C71" s="43">
        <v>2562.88</v>
      </c>
      <c r="D71" s="14">
        <f t="shared" si="10"/>
        <v>187</v>
      </c>
      <c r="E71" s="14">
        <f t="shared" si="11"/>
        <v>479258.56</v>
      </c>
      <c r="F71" s="14">
        <f>IFERROR(__xludf.DUMMYFUNCTION("GOOGLEFINANCE(CONCAT(""NSE:"",A71))"),3290.8)</f>
        <v>3290.8</v>
      </c>
      <c r="G71" s="14">
        <f t="shared" si="12"/>
        <v>615379.6</v>
      </c>
      <c r="H71" s="44">
        <f t="shared" si="13"/>
        <v>0.2840242227</v>
      </c>
      <c r="I71" s="12"/>
      <c r="J71" s="1"/>
      <c r="K71" s="1"/>
      <c r="L71" s="1"/>
      <c r="M71" s="1"/>
      <c r="N71" s="1"/>
      <c r="O71" s="17"/>
      <c r="P71" s="17"/>
      <c r="Q71" s="17"/>
      <c r="R71" s="82"/>
      <c r="S71" s="17"/>
      <c r="T71" s="17"/>
    </row>
    <row r="72">
      <c r="A72" s="63" t="s">
        <v>15</v>
      </c>
      <c r="B72" s="43">
        <v>14.0</v>
      </c>
      <c r="C72" s="43">
        <v>24570.94</v>
      </c>
      <c r="D72" s="14">
        <f t="shared" si="10"/>
        <v>14</v>
      </c>
      <c r="E72" s="14">
        <f t="shared" si="11"/>
        <v>343993.16</v>
      </c>
      <c r="F72" s="14">
        <f>IFERROR(__xludf.DUMMYFUNCTION("GOOGLEFINANCE(CONCAT(""NSE:"",A72))"),30810.0)</f>
        <v>30810</v>
      </c>
      <c r="G72" s="14">
        <f t="shared" si="12"/>
        <v>431340</v>
      </c>
      <c r="H72" s="44">
        <f t="shared" si="13"/>
        <v>0.2539202814</v>
      </c>
      <c r="I72" s="12"/>
      <c r="J72" s="1"/>
      <c r="K72" s="1"/>
      <c r="L72" s="1"/>
      <c r="M72" s="1"/>
      <c r="N72" s="1"/>
      <c r="O72" s="17"/>
      <c r="P72" s="17"/>
      <c r="Q72" s="17"/>
      <c r="R72" s="82"/>
      <c r="S72" s="17"/>
      <c r="T72" s="17"/>
    </row>
    <row r="73">
      <c r="A73" s="63" t="s">
        <v>37</v>
      </c>
      <c r="B73" s="43">
        <v>1081.0</v>
      </c>
      <c r="C73" s="43">
        <v>316.5</v>
      </c>
      <c r="D73" s="14">
        <f t="shared" si="10"/>
        <v>1081</v>
      </c>
      <c r="E73" s="14">
        <f t="shared" si="11"/>
        <v>342136.5</v>
      </c>
      <c r="F73" s="14">
        <f>IFERROR(__xludf.DUMMYFUNCTION("GOOGLEFINANCE(CONCAT(""NSE:"",A73))"),386.35)</f>
        <v>386.35</v>
      </c>
      <c r="G73" s="14">
        <f t="shared" si="12"/>
        <v>417644.35</v>
      </c>
      <c r="H73" s="44">
        <f t="shared" si="13"/>
        <v>0.2206951027</v>
      </c>
      <c r="I73" s="12"/>
      <c r="J73" s="1"/>
      <c r="K73" s="1"/>
      <c r="L73" s="1"/>
      <c r="M73" s="1"/>
      <c r="N73" s="1"/>
      <c r="O73" s="17"/>
      <c r="P73" s="17"/>
      <c r="Q73" s="17"/>
      <c r="R73" s="82"/>
      <c r="S73" s="17"/>
      <c r="T73" s="17"/>
    </row>
    <row r="74">
      <c r="A74" s="63" t="s">
        <v>213</v>
      </c>
      <c r="B74" s="43">
        <v>29.0</v>
      </c>
      <c r="C74" s="43">
        <v>9964.0</v>
      </c>
      <c r="D74" s="14">
        <f t="shared" si="10"/>
        <v>29</v>
      </c>
      <c r="E74" s="14">
        <f t="shared" si="11"/>
        <v>288956</v>
      </c>
      <c r="F74" s="14">
        <f>IFERROR(__xludf.DUMMYFUNCTION("GOOGLEFINANCE(CONCAT(""NSE:"",A74))"),17308.0)</f>
        <v>17308</v>
      </c>
      <c r="G74" s="14">
        <f t="shared" si="12"/>
        <v>501932</v>
      </c>
      <c r="H74" s="44">
        <f t="shared" si="13"/>
        <v>0.7370533922</v>
      </c>
      <c r="I74" s="12"/>
      <c r="J74" s="1"/>
      <c r="K74" s="1"/>
      <c r="L74" s="1"/>
      <c r="M74" s="1"/>
      <c r="N74" s="1"/>
      <c r="O74" s="17"/>
      <c r="P74" s="17"/>
      <c r="Q74" s="17"/>
      <c r="R74" s="82"/>
      <c r="S74" s="17"/>
      <c r="T74" s="17"/>
    </row>
    <row r="75">
      <c r="A75" s="63" t="s">
        <v>51</v>
      </c>
      <c r="B75" s="43">
        <v>1690.0</v>
      </c>
      <c r="C75" s="43">
        <v>185.49</v>
      </c>
      <c r="D75" s="14">
        <f t="shared" si="10"/>
        <v>1690</v>
      </c>
      <c r="E75" s="14">
        <f t="shared" si="11"/>
        <v>313478.1</v>
      </c>
      <c r="F75" s="14">
        <f>IFERROR(__xludf.DUMMYFUNCTION("GOOGLEFINANCE(CONCAT(""NSE:"",A75))"),157.53)</f>
        <v>157.53</v>
      </c>
      <c r="G75" s="14">
        <f t="shared" si="12"/>
        <v>266225.7</v>
      </c>
      <c r="H75" s="44">
        <f t="shared" si="13"/>
        <v>-0.1507358887</v>
      </c>
      <c r="I75" s="12"/>
      <c r="J75" s="1"/>
      <c r="K75" s="1"/>
      <c r="L75" s="1"/>
      <c r="M75" s="1"/>
      <c r="N75" s="1"/>
      <c r="O75" s="17"/>
      <c r="P75" s="17"/>
      <c r="Q75" s="17"/>
      <c r="R75" s="82"/>
      <c r="S75" s="17"/>
      <c r="T75" s="17"/>
    </row>
    <row r="76">
      <c r="A76" s="63" t="s">
        <v>54</v>
      </c>
      <c r="B76" s="43">
        <v>296.0</v>
      </c>
      <c r="C76" s="43">
        <v>924.2</v>
      </c>
      <c r="D76" s="14">
        <f t="shared" si="10"/>
        <v>296</v>
      </c>
      <c r="E76" s="14">
        <f t="shared" si="11"/>
        <v>273563.2</v>
      </c>
      <c r="F76" s="14">
        <f>IFERROR(__xludf.DUMMYFUNCTION("GOOGLEFINANCE(CONCAT(""NSE:"",A76))"),1036.2)</f>
        <v>1036.2</v>
      </c>
      <c r="G76" s="14">
        <f t="shared" si="12"/>
        <v>306715.2</v>
      </c>
      <c r="H76" s="44">
        <f t="shared" si="13"/>
        <v>0.1211858905</v>
      </c>
      <c r="I76" s="12"/>
      <c r="J76" s="1"/>
      <c r="K76" s="1"/>
      <c r="L76" s="1"/>
      <c r="M76" s="1"/>
      <c r="N76" s="1"/>
      <c r="O76" s="17"/>
      <c r="P76" s="17"/>
      <c r="Q76" s="17"/>
      <c r="R76" s="82"/>
      <c r="S76" s="17"/>
      <c r="T76" s="17"/>
    </row>
    <row r="77">
      <c r="A77" s="63" t="s">
        <v>329</v>
      </c>
      <c r="B77" s="43">
        <v>1605.0</v>
      </c>
      <c r="C77" s="43">
        <v>151.07</v>
      </c>
      <c r="D77" s="14">
        <f t="shared" si="10"/>
        <v>1605</v>
      </c>
      <c r="E77" s="14">
        <f t="shared" si="11"/>
        <v>242467.35</v>
      </c>
      <c r="F77" s="14">
        <f>IFERROR(__xludf.DUMMYFUNCTION("GOOGLEFINANCE(CONCAT(""NSE:"",A77))"),138.55)</f>
        <v>138.55</v>
      </c>
      <c r="G77" s="14">
        <f t="shared" si="12"/>
        <v>222372.75</v>
      </c>
      <c r="H77" s="44">
        <f t="shared" si="13"/>
        <v>-0.08287548818</v>
      </c>
      <c r="I77" s="12"/>
      <c r="J77" s="1"/>
      <c r="K77" s="1"/>
      <c r="L77" s="1"/>
      <c r="M77" s="1"/>
      <c r="N77" s="1"/>
      <c r="O77" s="17"/>
      <c r="P77" s="17"/>
      <c r="Q77" s="17"/>
      <c r="R77" s="82"/>
      <c r="S77" s="17"/>
      <c r="T77" s="17"/>
    </row>
    <row r="78">
      <c r="A78" s="63" t="s">
        <v>110</v>
      </c>
      <c r="B78" s="43">
        <v>139.0</v>
      </c>
      <c r="C78" s="43">
        <v>1828.7</v>
      </c>
      <c r="D78" s="14">
        <f t="shared" si="10"/>
        <v>139</v>
      </c>
      <c r="E78" s="14">
        <f t="shared" si="11"/>
        <v>254189.3</v>
      </c>
      <c r="F78" s="14">
        <f>IFERROR(__xludf.DUMMYFUNCTION("GOOGLEFINANCE(CONCAT(""NSE:"",A78))"),1915.6)</f>
        <v>1915.6</v>
      </c>
      <c r="G78" s="14">
        <f t="shared" si="12"/>
        <v>266268.4</v>
      </c>
      <c r="H78" s="44">
        <f t="shared" si="13"/>
        <v>0.04752009624</v>
      </c>
      <c r="I78" s="12"/>
      <c r="J78" s="1"/>
      <c r="K78" s="1"/>
      <c r="L78" s="1"/>
      <c r="M78" s="1"/>
      <c r="N78" s="1"/>
      <c r="O78" s="17"/>
      <c r="P78" s="17"/>
      <c r="Q78" s="17"/>
      <c r="R78" s="82"/>
      <c r="S78" s="17"/>
      <c r="T78" s="17"/>
    </row>
    <row r="79">
      <c r="A79" s="63" t="s">
        <v>62</v>
      </c>
      <c r="B79" s="43">
        <v>1919.0</v>
      </c>
      <c r="C79" s="43">
        <v>138.91</v>
      </c>
      <c r="D79" s="14">
        <f t="shared" si="10"/>
        <v>1919</v>
      </c>
      <c r="E79" s="14">
        <f t="shared" si="11"/>
        <v>266568.29</v>
      </c>
      <c r="F79" s="14">
        <f>IFERROR(__xludf.DUMMYFUNCTION("GOOGLEFINANCE(CONCAT(""NSE:"",A79))"),122.6)</f>
        <v>122.6</v>
      </c>
      <c r="G79" s="14">
        <f t="shared" si="12"/>
        <v>235269.4</v>
      </c>
      <c r="H79" s="44">
        <f t="shared" si="13"/>
        <v>-0.117414153</v>
      </c>
      <c r="I79" s="12"/>
      <c r="J79" s="1"/>
      <c r="K79" s="1"/>
      <c r="L79" s="1"/>
      <c r="M79" s="1"/>
      <c r="N79" s="1"/>
      <c r="O79" s="17"/>
      <c r="P79" s="17"/>
      <c r="Q79" s="17"/>
      <c r="R79" s="82"/>
      <c r="S79" s="17"/>
      <c r="T79" s="17"/>
    </row>
    <row r="80">
      <c r="A80" s="63" t="s">
        <v>99</v>
      </c>
      <c r="B80" s="43">
        <v>293.0</v>
      </c>
      <c r="C80" s="43">
        <v>1008.2</v>
      </c>
      <c r="D80" s="14">
        <f t="shared" si="10"/>
        <v>293</v>
      </c>
      <c r="E80" s="14">
        <f t="shared" si="11"/>
        <v>295402.6</v>
      </c>
      <c r="F80" s="14">
        <f>IFERROR(__xludf.DUMMYFUNCTION("GOOGLEFINANCE(CONCAT(""NSE:"",A80))"),1065.3)</f>
        <v>1065.3</v>
      </c>
      <c r="G80" s="14">
        <f t="shared" si="12"/>
        <v>312132.9</v>
      </c>
      <c r="H80" s="44">
        <f t="shared" si="13"/>
        <v>0.05663558818</v>
      </c>
      <c r="I80" s="12"/>
      <c r="J80" s="1"/>
      <c r="K80" s="1"/>
      <c r="L80" s="1"/>
      <c r="M80" s="1"/>
      <c r="N80" s="1"/>
      <c r="O80" s="17"/>
      <c r="P80" s="17"/>
      <c r="Q80" s="17"/>
      <c r="R80" s="82"/>
      <c r="S80" s="17"/>
      <c r="T80" s="17"/>
    </row>
    <row r="81">
      <c r="A81" s="63" t="s">
        <v>100</v>
      </c>
      <c r="B81" s="43">
        <v>389.0</v>
      </c>
      <c r="C81" s="43">
        <v>944.6</v>
      </c>
      <c r="D81" s="14">
        <f t="shared" si="10"/>
        <v>389</v>
      </c>
      <c r="E81" s="14">
        <f t="shared" si="11"/>
        <v>367449.4</v>
      </c>
      <c r="F81" s="14">
        <f>IFERROR(__xludf.DUMMYFUNCTION("GOOGLEFINANCE(CONCAT(""NSE:"",A81))"),1417.5)</f>
        <v>1417.5</v>
      </c>
      <c r="G81" s="14">
        <f t="shared" si="12"/>
        <v>551407.5</v>
      </c>
      <c r="H81" s="44">
        <f t="shared" si="13"/>
        <v>0.5006351895</v>
      </c>
      <c r="I81" s="12"/>
      <c r="J81" s="1"/>
      <c r="K81" s="1"/>
      <c r="L81" s="1"/>
      <c r="M81" s="1"/>
      <c r="N81" s="1"/>
      <c r="O81" s="17"/>
      <c r="P81" s="17"/>
      <c r="Q81" s="17"/>
      <c r="R81" s="82"/>
      <c r="S81" s="17"/>
      <c r="T81" s="17"/>
    </row>
    <row r="82">
      <c r="A82" s="63" t="s">
        <v>107</v>
      </c>
      <c r="B82" s="43">
        <v>1095.0</v>
      </c>
      <c r="C82" s="43">
        <v>248.3</v>
      </c>
      <c r="D82" s="14">
        <f t="shared" si="10"/>
        <v>1095</v>
      </c>
      <c r="E82" s="14">
        <f t="shared" si="11"/>
        <v>271888.5</v>
      </c>
      <c r="F82" s="14">
        <f>IFERROR(__xludf.DUMMYFUNCTION("GOOGLEFINANCE(CONCAT(""NSE:"",A82))"),232.4)</f>
        <v>232.4</v>
      </c>
      <c r="G82" s="14">
        <f t="shared" si="12"/>
        <v>254478</v>
      </c>
      <c r="H82" s="44">
        <f t="shared" si="13"/>
        <v>-0.064035441</v>
      </c>
      <c r="I82" s="12"/>
      <c r="J82" s="1"/>
      <c r="K82" s="1"/>
      <c r="L82" s="1"/>
      <c r="M82" s="1"/>
      <c r="N82" s="1"/>
      <c r="O82" s="17"/>
      <c r="P82" s="17"/>
      <c r="Q82" s="17"/>
      <c r="R82" s="82"/>
      <c r="S82" s="17"/>
      <c r="T82" s="17"/>
    </row>
    <row r="83">
      <c r="A83" s="63" t="s">
        <v>238</v>
      </c>
      <c r="B83" s="43">
        <v>126.0</v>
      </c>
      <c r="C83" s="43">
        <v>3488.72</v>
      </c>
      <c r="D83" s="14">
        <f t="shared" si="10"/>
        <v>126</v>
      </c>
      <c r="E83" s="14">
        <f t="shared" si="11"/>
        <v>439578.72</v>
      </c>
      <c r="F83" s="14">
        <f>IFERROR(__xludf.DUMMYFUNCTION("GOOGLEFINANCE(CONCAT(""NSE:"",A83))"),4397.0)</f>
        <v>4397</v>
      </c>
      <c r="G83" s="14">
        <f t="shared" si="12"/>
        <v>554022</v>
      </c>
      <c r="H83" s="44">
        <f t="shared" si="13"/>
        <v>0.2603476347</v>
      </c>
      <c r="I83" s="12"/>
      <c r="J83" s="1"/>
      <c r="K83" s="1"/>
      <c r="L83" s="1"/>
      <c r="M83" s="1"/>
      <c r="N83" s="1"/>
      <c r="O83" s="17"/>
      <c r="P83" s="17"/>
      <c r="Q83" s="17"/>
      <c r="R83" s="82"/>
      <c r="S83" s="17"/>
      <c r="T83" s="17"/>
    </row>
    <row r="84">
      <c r="A84" s="63" t="s">
        <v>67</v>
      </c>
      <c r="B84" s="43">
        <v>28.0</v>
      </c>
      <c r="C84" s="43">
        <v>20210.0</v>
      </c>
      <c r="D84" s="14">
        <f t="shared" si="10"/>
        <v>28</v>
      </c>
      <c r="E84" s="14">
        <f t="shared" si="11"/>
        <v>565880</v>
      </c>
      <c r="F84" s="14">
        <f>IFERROR(__xludf.DUMMYFUNCTION("GOOGLEFINANCE(CONCAT(""NSE:"",A84))"),17516.0)</f>
        <v>17516</v>
      </c>
      <c r="G84" s="14">
        <f t="shared" si="12"/>
        <v>490448</v>
      </c>
      <c r="H84" s="44">
        <f t="shared" si="13"/>
        <v>-0.1333003464</v>
      </c>
      <c r="I84" s="12"/>
      <c r="J84" s="1"/>
      <c r="K84" s="1"/>
      <c r="L84" s="1"/>
      <c r="M84" s="1"/>
      <c r="N84" s="1"/>
      <c r="O84" s="17"/>
      <c r="P84" s="17"/>
      <c r="Q84" s="17"/>
      <c r="R84" s="82"/>
      <c r="S84" s="17"/>
      <c r="T84" s="17"/>
    </row>
    <row r="85">
      <c r="A85" s="63" t="s">
        <v>109</v>
      </c>
      <c r="B85" s="43">
        <v>717.0</v>
      </c>
      <c r="C85" s="43">
        <v>530.8</v>
      </c>
      <c r="D85" s="14">
        <f t="shared" si="10"/>
        <v>717</v>
      </c>
      <c r="E85" s="14">
        <f t="shared" si="11"/>
        <v>380583.6</v>
      </c>
      <c r="F85" s="14">
        <f>IFERROR(__xludf.DUMMYFUNCTION("GOOGLEFINANCE(CONCAT(""NSE:"",A85))"),549.9)</f>
        <v>549.9</v>
      </c>
      <c r="G85" s="14">
        <f t="shared" si="12"/>
        <v>394278.3</v>
      </c>
      <c r="H85" s="44">
        <f t="shared" si="13"/>
        <v>0.03598342125</v>
      </c>
      <c r="I85" s="12"/>
      <c r="J85" s="1"/>
      <c r="K85" s="1"/>
      <c r="L85" s="1"/>
      <c r="M85" s="1"/>
      <c r="N85" s="1"/>
      <c r="O85" s="17"/>
      <c r="P85" s="17"/>
      <c r="Q85" s="17"/>
      <c r="R85" s="82"/>
      <c r="S85" s="17"/>
      <c r="T85" s="17"/>
    </row>
    <row r="86">
      <c r="A86" s="63" t="s">
        <v>335</v>
      </c>
      <c r="B86" s="43">
        <v>422.0</v>
      </c>
      <c r="C86" s="43">
        <v>638.5</v>
      </c>
      <c r="D86" s="14">
        <f t="shared" si="10"/>
        <v>422</v>
      </c>
      <c r="E86" s="14">
        <f t="shared" si="11"/>
        <v>269447</v>
      </c>
      <c r="F86" s="14">
        <f>IFERROR(__xludf.DUMMYFUNCTION("GOOGLEFINANCE(CONCAT(""NSE:"",A86))"),812.7)</f>
        <v>812.7</v>
      </c>
      <c r="G86" s="14">
        <f t="shared" si="12"/>
        <v>342959.4</v>
      </c>
      <c r="H86" s="44">
        <f t="shared" si="13"/>
        <v>0.2728269381</v>
      </c>
      <c r="I86" s="12"/>
      <c r="J86" s="1"/>
      <c r="K86" s="1"/>
      <c r="L86" s="1"/>
      <c r="M86" s="1"/>
      <c r="N86" s="1"/>
      <c r="O86" s="17"/>
      <c r="P86" s="17"/>
      <c r="Q86" s="17"/>
      <c r="R86" s="82"/>
      <c r="S86" s="17"/>
      <c r="T86" s="17"/>
    </row>
    <row r="87">
      <c r="A87" s="63" t="s">
        <v>9</v>
      </c>
      <c r="B87" s="43">
        <v>136.0</v>
      </c>
      <c r="C87" s="43">
        <v>3710.4</v>
      </c>
      <c r="D87" s="14">
        <f t="shared" si="10"/>
        <v>136</v>
      </c>
      <c r="E87" s="14">
        <f t="shared" si="11"/>
        <v>504614.4</v>
      </c>
      <c r="F87" s="14">
        <f>IFERROR(__xludf.DUMMYFUNCTION("GOOGLEFINANCE(CONCAT(""NSE:"",A87))"),4297.0)</f>
        <v>4297</v>
      </c>
      <c r="G87" s="14">
        <f t="shared" si="12"/>
        <v>584392</v>
      </c>
      <c r="H87" s="44">
        <f t="shared" si="13"/>
        <v>0.1580961621</v>
      </c>
      <c r="I87" s="12"/>
      <c r="J87" s="1"/>
      <c r="K87" s="1"/>
      <c r="L87" s="1"/>
      <c r="M87" s="1"/>
      <c r="N87" s="1"/>
      <c r="O87" s="17"/>
      <c r="P87" s="17"/>
      <c r="Q87" s="17"/>
      <c r="R87" s="82"/>
      <c r="S87" s="17"/>
      <c r="T87" s="17"/>
    </row>
    <row r="88">
      <c r="A88" s="63" t="s">
        <v>111</v>
      </c>
      <c r="B88" s="43">
        <v>896.0</v>
      </c>
      <c r="C88" s="43">
        <v>539.95</v>
      </c>
      <c r="D88" s="14">
        <f t="shared" si="10"/>
        <v>896</v>
      </c>
      <c r="E88" s="14">
        <f t="shared" si="11"/>
        <v>483795.2</v>
      </c>
      <c r="F88" s="14">
        <f>IFERROR(__xludf.DUMMYFUNCTION("GOOGLEFINANCE(CONCAT(""NSE:"",A88))"),484.55)</f>
        <v>484.55</v>
      </c>
      <c r="G88" s="14">
        <f t="shared" si="12"/>
        <v>434156.8</v>
      </c>
      <c r="H88" s="44">
        <f t="shared" si="13"/>
        <v>-0.1026020928</v>
      </c>
      <c r="I88" s="12"/>
      <c r="J88" s="1"/>
      <c r="K88" s="1"/>
      <c r="L88" s="1"/>
      <c r="M88" s="1"/>
      <c r="N88" s="1"/>
      <c r="O88" s="17"/>
      <c r="P88" s="17"/>
      <c r="Q88" s="17"/>
      <c r="R88" s="82"/>
      <c r="S88" s="17"/>
      <c r="T88" s="17"/>
    </row>
    <row r="89">
      <c r="A89" s="63" t="s">
        <v>76</v>
      </c>
      <c r="B89" s="43">
        <v>310.0</v>
      </c>
      <c r="C89" s="43">
        <v>895.0</v>
      </c>
      <c r="D89" s="14">
        <f t="shared" si="10"/>
        <v>310</v>
      </c>
      <c r="E89" s="14">
        <f t="shared" si="11"/>
        <v>277450</v>
      </c>
      <c r="F89" s="14">
        <f>IFERROR(__xludf.DUMMYFUNCTION("GOOGLEFINANCE(CONCAT(""NSE:"",A89))"),842.9)</f>
        <v>842.9</v>
      </c>
      <c r="G89" s="14">
        <f t="shared" si="12"/>
        <v>261299</v>
      </c>
      <c r="H89" s="44">
        <f t="shared" si="13"/>
        <v>-0.0582122905</v>
      </c>
      <c r="I89" s="12"/>
      <c r="J89" s="1"/>
      <c r="K89" s="1"/>
      <c r="L89" s="1"/>
      <c r="M89" s="1"/>
      <c r="N89" s="1"/>
      <c r="O89" s="17"/>
      <c r="P89" s="17"/>
      <c r="Q89" s="17"/>
      <c r="R89" s="82"/>
      <c r="S89" s="17"/>
      <c r="T89" s="17"/>
    </row>
    <row r="90">
      <c r="A90" s="63" t="s">
        <v>336</v>
      </c>
      <c r="B90" s="43">
        <v>1068.0</v>
      </c>
      <c r="C90" s="43">
        <v>293.76</v>
      </c>
      <c r="D90" s="14">
        <f t="shared" si="10"/>
        <v>1068</v>
      </c>
      <c r="E90" s="14">
        <f t="shared" si="11"/>
        <v>313735.68</v>
      </c>
      <c r="F90" s="14">
        <f>IFERROR(__xludf.DUMMYFUNCTION("GOOGLEFINANCE(CONCAT(""NSE:"",A90))"),333.2)</f>
        <v>333.2</v>
      </c>
      <c r="G90" s="14">
        <f t="shared" si="12"/>
        <v>355857.6</v>
      </c>
      <c r="H90" s="44">
        <f t="shared" si="13"/>
        <v>0.1342592593</v>
      </c>
      <c r="I90" s="12"/>
      <c r="J90" s="1"/>
      <c r="K90" s="1"/>
      <c r="L90" s="1"/>
      <c r="M90" s="1"/>
      <c r="N90" s="1"/>
      <c r="O90" s="17"/>
      <c r="P90" s="17"/>
      <c r="Q90" s="17"/>
      <c r="R90" s="82"/>
      <c r="S90" s="17"/>
      <c r="T90" s="17"/>
    </row>
    <row r="91">
      <c r="A91" s="63" t="s">
        <v>198</v>
      </c>
      <c r="B91" s="43">
        <v>303.0</v>
      </c>
      <c r="C91" s="43">
        <v>1468.26</v>
      </c>
      <c r="D91" s="14">
        <f t="shared" si="10"/>
        <v>303</v>
      </c>
      <c r="E91" s="14">
        <f t="shared" si="11"/>
        <v>444882.78</v>
      </c>
      <c r="F91" s="14">
        <f>IFERROR(__xludf.DUMMYFUNCTION("GOOGLEFINANCE(CONCAT(""NSE:"",A91))"),2125.3)</f>
        <v>2125.3</v>
      </c>
      <c r="G91" s="14">
        <f t="shared" si="12"/>
        <v>643965.9</v>
      </c>
      <c r="H91" s="44">
        <f t="shared" si="13"/>
        <v>0.4474956752</v>
      </c>
      <c r="I91" s="12"/>
      <c r="J91" s="1"/>
      <c r="K91" s="1"/>
      <c r="L91" s="1"/>
      <c r="M91" s="1"/>
      <c r="N91" s="1"/>
      <c r="O91" s="17"/>
      <c r="P91" s="17"/>
      <c r="Q91" s="17"/>
      <c r="R91" s="82"/>
      <c r="S91" s="17"/>
      <c r="T91" s="17"/>
    </row>
    <row r="92">
      <c r="A92" s="63" t="s">
        <v>81</v>
      </c>
      <c r="B92" s="43">
        <v>288.0</v>
      </c>
      <c r="C92" s="43">
        <v>998.3</v>
      </c>
      <c r="D92" s="14">
        <f t="shared" si="10"/>
        <v>288</v>
      </c>
      <c r="E92" s="14">
        <f t="shared" si="11"/>
        <v>287510.4</v>
      </c>
      <c r="F92" s="14">
        <f>IFERROR(__xludf.DUMMYFUNCTION("GOOGLEFINANCE(CONCAT(""NSE:"",A92))"),1944.7)</f>
        <v>1944.7</v>
      </c>
      <c r="G92" s="14">
        <f t="shared" si="12"/>
        <v>560073.6</v>
      </c>
      <c r="H92" s="44">
        <f t="shared" si="13"/>
        <v>0.9480116198</v>
      </c>
      <c r="I92" s="12"/>
      <c r="J92" s="1"/>
      <c r="K92" s="1"/>
      <c r="L92" s="1"/>
      <c r="M92" s="1"/>
      <c r="N92" s="1"/>
      <c r="O92" s="17"/>
      <c r="P92" s="17"/>
      <c r="Q92" s="17"/>
      <c r="R92" s="82"/>
      <c r="S92" s="17"/>
      <c r="T92" s="17"/>
    </row>
    <row r="93">
      <c r="A93" s="63" t="s">
        <v>82</v>
      </c>
      <c r="B93" s="43">
        <v>1171.0</v>
      </c>
      <c r="C93" s="43">
        <v>265.25</v>
      </c>
      <c r="D93" s="14">
        <f t="shared" si="10"/>
        <v>1171</v>
      </c>
      <c r="E93" s="14">
        <f t="shared" si="11"/>
        <v>310607.75</v>
      </c>
      <c r="F93" s="14">
        <f>IFERROR(__xludf.DUMMYFUNCTION("GOOGLEFINANCE(CONCAT(""NSE:"",A93))"),298.85)</f>
        <v>298.85</v>
      </c>
      <c r="G93" s="14">
        <f t="shared" si="12"/>
        <v>349953.35</v>
      </c>
      <c r="H93" s="44">
        <f t="shared" si="13"/>
        <v>0.12667295</v>
      </c>
      <c r="I93" s="12"/>
      <c r="J93" s="1"/>
      <c r="K93" s="1"/>
      <c r="L93" s="1"/>
      <c r="M93" s="1"/>
      <c r="N93" s="1"/>
      <c r="O93" s="17"/>
      <c r="P93" s="17"/>
      <c r="Q93" s="17"/>
      <c r="R93" s="82"/>
      <c r="S93" s="17"/>
      <c r="T93" s="17"/>
    </row>
    <row r="94">
      <c r="A94" s="63" t="s">
        <v>338</v>
      </c>
      <c r="B94" s="43">
        <v>1492.0</v>
      </c>
      <c r="C94" s="43">
        <v>192.08</v>
      </c>
      <c r="D94" s="14">
        <f t="shared" si="10"/>
        <v>1492</v>
      </c>
      <c r="E94" s="14">
        <f t="shared" si="11"/>
        <v>286583.36</v>
      </c>
      <c r="F94" s="14">
        <f>IFERROR(__xludf.DUMMYFUNCTION("GOOGLEFINANCE(CONCAT(""NSE:"",A94))"),162.81)</f>
        <v>162.81</v>
      </c>
      <c r="G94" s="14">
        <f t="shared" si="12"/>
        <v>242912.52</v>
      </c>
      <c r="H94" s="44">
        <f t="shared" si="13"/>
        <v>-0.1523844232</v>
      </c>
      <c r="I94" s="12"/>
      <c r="J94" s="1"/>
      <c r="K94" s="1"/>
      <c r="L94" s="1"/>
      <c r="M94" s="1"/>
      <c r="N94" s="1"/>
      <c r="O94" s="17"/>
      <c r="P94" s="17"/>
      <c r="Q94" s="17"/>
      <c r="R94" s="82"/>
      <c r="S94" s="17"/>
      <c r="T94" s="17"/>
    </row>
    <row r="95">
      <c r="A95" s="63" t="s">
        <v>28</v>
      </c>
      <c r="B95" s="43">
        <v>942.0</v>
      </c>
      <c r="C95" s="43">
        <v>392.6</v>
      </c>
      <c r="D95" s="14">
        <f t="shared" si="10"/>
        <v>942</v>
      </c>
      <c r="E95" s="14">
        <f t="shared" si="11"/>
        <v>369829.2</v>
      </c>
      <c r="F95" s="14">
        <f>IFERROR(__xludf.DUMMYFUNCTION("GOOGLEFINANCE(CONCAT(""NSE:"",A95))"),356.3)</f>
        <v>356.3</v>
      </c>
      <c r="G95" s="14">
        <f t="shared" si="12"/>
        <v>335634.6</v>
      </c>
      <c r="H95" s="44">
        <f t="shared" si="13"/>
        <v>-0.09246051961</v>
      </c>
      <c r="I95" s="12"/>
      <c r="J95" s="1"/>
      <c r="K95" s="1"/>
      <c r="L95" s="1"/>
      <c r="M95" s="1"/>
      <c r="N95" s="1"/>
      <c r="O95" s="17"/>
      <c r="P95" s="17"/>
      <c r="Q95" s="17"/>
      <c r="R95" s="82"/>
      <c r="S95" s="17"/>
      <c r="T95" s="17"/>
    </row>
    <row r="96">
      <c r="A96" s="63" t="s">
        <v>11</v>
      </c>
      <c r="B96" s="43">
        <v>132.0</v>
      </c>
      <c r="C96" s="43">
        <v>3156.68</v>
      </c>
      <c r="D96" s="14">
        <f t="shared" si="10"/>
        <v>132</v>
      </c>
      <c r="E96" s="14">
        <f t="shared" si="11"/>
        <v>416681.76</v>
      </c>
      <c r="F96" s="14">
        <f>IFERROR(__xludf.DUMMYFUNCTION("GOOGLEFINANCE(CONCAT(""NSE:"",A96))"),4576.0)</f>
        <v>4576</v>
      </c>
      <c r="G96" s="14">
        <f t="shared" si="12"/>
        <v>604032</v>
      </c>
      <c r="H96" s="44">
        <f t="shared" si="13"/>
        <v>0.4496242888</v>
      </c>
      <c r="I96" s="12"/>
      <c r="J96" s="1"/>
      <c r="K96" s="1"/>
      <c r="L96" s="1"/>
      <c r="M96" s="1"/>
      <c r="N96" s="1"/>
      <c r="O96" s="17"/>
      <c r="P96" s="17"/>
      <c r="Q96" s="17"/>
      <c r="R96" s="82"/>
      <c r="S96" s="17"/>
      <c r="T96" s="17"/>
    </row>
    <row r="97">
      <c r="A97" s="63" t="s">
        <v>88</v>
      </c>
      <c r="B97" s="43">
        <v>1099.0</v>
      </c>
      <c r="C97" s="43">
        <v>294.75</v>
      </c>
      <c r="D97" s="14">
        <f t="shared" si="10"/>
        <v>1099</v>
      </c>
      <c r="E97" s="14">
        <f t="shared" si="11"/>
        <v>323930.25</v>
      </c>
      <c r="F97" s="14">
        <f>IFERROR(__xludf.DUMMYFUNCTION("GOOGLEFINANCE(CONCAT(""NSE:"",A97))"),406.85)</f>
        <v>406.85</v>
      </c>
      <c r="G97" s="14">
        <f t="shared" si="12"/>
        <v>447128.15</v>
      </c>
      <c r="H97" s="44">
        <f t="shared" si="13"/>
        <v>0.380322307</v>
      </c>
      <c r="I97" s="12"/>
      <c r="J97" s="1"/>
      <c r="K97" s="1"/>
      <c r="L97" s="1"/>
      <c r="M97" s="1"/>
      <c r="N97" s="1"/>
      <c r="O97" s="17"/>
      <c r="P97" s="17"/>
      <c r="Q97" s="17"/>
      <c r="R97" s="82"/>
      <c r="S97" s="17"/>
      <c r="T97" s="17"/>
    </row>
    <row r="98">
      <c r="A98" s="63" t="s">
        <v>91</v>
      </c>
      <c r="B98" s="43">
        <v>380.0</v>
      </c>
      <c r="C98" s="43">
        <v>709.65</v>
      </c>
      <c r="D98" s="14">
        <f t="shared" si="10"/>
        <v>380</v>
      </c>
      <c r="E98" s="14">
        <f t="shared" si="11"/>
        <v>269667</v>
      </c>
      <c r="F98" s="14">
        <f>IFERROR(__xludf.DUMMYFUNCTION("GOOGLEFINANCE(CONCAT(""NSE:"",A98))"),1642.0)</f>
        <v>1642</v>
      </c>
      <c r="G98" s="14">
        <f t="shared" si="12"/>
        <v>623960</v>
      </c>
      <c r="H98" s="44">
        <f t="shared" si="13"/>
        <v>1.31381667</v>
      </c>
      <c r="I98" s="12"/>
      <c r="J98" s="1"/>
      <c r="K98" s="1"/>
      <c r="L98" s="1"/>
      <c r="M98" s="1"/>
      <c r="N98" s="1"/>
      <c r="O98" s="17"/>
      <c r="P98" s="17"/>
      <c r="Q98" s="17"/>
      <c r="R98" s="82"/>
      <c r="S98" s="17"/>
      <c r="T98" s="17"/>
    </row>
    <row r="99">
      <c r="A99" s="8"/>
      <c r="B99" s="32"/>
      <c r="I99" s="12"/>
      <c r="J99" s="1"/>
      <c r="K99" s="1"/>
      <c r="L99" s="1"/>
      <c r="M99" s="1"/>
      <c r="N99" s="1"/>
      <c r="O99" s="17"/>
      <c r="P99" s="17"/>
      <c r="Q99" s="17"/>
      <c r="R99" s="82"/>
      <c r="S99" s="17"/>
      <c r="T99" s="17"/>
    </row>
    <row r="100">
      <c r="A100" s="38">
        <v>45901.0</v>
      </c>
      <c r="B100" s="39" t="s">
        <v>300</v>
      </c>
      <c r="C100" s="62" t="s">
        <v>301</v>
      </c>
      <c r="D100" s="40" t="s">
        <v>302</v>
      </c>
      <c r="E100" s="40" t="s">
        <v>303</v>
      </c>
      <c r="F100" s="40" t="s">
        <v>304</v>
      </c>
      <c r="G100" s="40" t="s">
        <v>305</v>
      </c>
      <c r="H100" s="40" t="s">
        <v>306</v>
      </c>
      <c r="I100" s="12"/>
      <c r="J100" s="1"/>
      <c r="K100" s="1"/>
      <c r="L100" s="1"/>
      <c r="M100" s="1"/>
      <c r="N100" s="1"/>
      <c r="O100" s="17"/>
      <c r="P100" s="17"/>
      <c r="Q100" s="17"/>
      <c r="R100" s="82"/>
      <c r="S100" s="17"/>
      <c r="T100" s="17"/>
    </row>
    <row r="101">
      <c r="A101" s="63" t="s">
        <v>49</v>
      </c>
      <c r="B101" s="43">
        <v>79.0</v>
      </c>
      <c r="C101" s="43">
        <v>7619.0</v>
      </c>
      <c r="D101" s="8">
        <v>79.0</v>
      </c>
      <c r="E101" s="14">
        <f t="shared" ref="E101:E119" si="14">B101*C101</f>
        <v>601901</v>
      </c>
      <c r="F101" s="14">
        <f>IFERROR(__xludf.DUMMYFUNCTION("GOOGLEFINANCE(CONCAT(""NSE:"",A101))"),7028.5)</f>
        <v>7028.5</v>
      </c>
      <c r="G101" s="14">
        <f t="shared" ref="G101:G119" si="15">F101*D101</f>
        <v>555251.5</v>
      </c>
      <c r="H101" s="44">
        <f t="shared" ref="H101:H119" si="16">(G101-E101)/E101</f>
        <v>-0.0775036094</v>
      </c>
      <c r="I101" s="12"/>
      <c r="J101" s="37"/>
      <c r="K101" s="37"/>
      <c r="L101" s="37"/>
      <c r="M101" s="12"/>
      <c r="N101" s="12"/>
      <c r="O101" s="12"/>
      <c r="P101" s="12"/>
      <c r="Q101" s="12"/>
      <c r="R101" s="36"/>
      <c r="S101" s="12"/>
      <c r="T101" s="12"/>
    </row>
    <row r="102">
      <c r="A102" s="63" t="s">
        <v>341</v>
      </c>
      <c r="B102" s="43">
        <v>259.0</v>
      </c>
      <c r="C102" s="43">
        <v>1780.2</v>
      </c>
      <c r="D102" s="8">
        <v>259.0</v>
      </c>
      <c r="E102" s="14">
        <f t="shared" si="14"/>
        <v>461071.8</v>
      </c>
      <c r="F102" s="14">
        <f>IFERROR(__xludf.DUMMYFUNCTION("GOOGLEFINANCE(CONCAT(""NSE:"",A102))"),1473.0)</f>
        <v>1473</v>
      </c>
      <c r="G102" s="14">
        <f t="shared" si="15"/>
        <v>381507</v>
      </c>
      <c r="H102" s="44">
        <f t="shared" si="16"/>
        <v>-0.1725648804</v>
      </c>
      <c r="I102" s="12"/>
      <c r="J102" s="37"/>
      <c r="K102" s="37"/>
      <c r="L102" s="37"/>
      <c r="M102" s="12"/>
      <c r="N102" s="12"/>
      <c r="O102" s="12"/>
      <c r="P102" s="12"/>
      <c r="Q102" s="12"/>
      <c r="R102" s="36"/>
      <c r="S102" s="12"/>
      <c r="T102" s="12"/>
    </row>
    <row r="103">
      <c r="A103" s="63" t="s">
        <v>46</v>
      </c>
      <c r="B103" s="43">
        <v>381.0</v>
      </c>
      <c r="C103" s="43">
        <v>2229.4</v>
      </c>
      <c r="D103" s="8">
        <v>381.0</v>
      </c>
      <c r="E103" s="14">
        <f t="shared" si="14"/>
        <v>849401.4</v>
      </c>
      <c r="F103" s="14">
        <f>IFERROR(__xludf.DUMMYFUNCTION("GOOGLEFINANCE(CONCAT(""NSE:"",A103))"),3271.6)</f>
        <v>3271.6</v>
      </c>
      <c r="G103" s="14">
        <f t="shared" si="15"/>
        <v>1246479.6</v>
      </c>
      <c r="H103" s="44">
        <f t="shared" si="16"/>
        <v>0.4674800395</v>
      </c>
      <c r="I103" s="12"/>
      <c r="J103" s="37"/>
      <c r="K103" s="37"/>
      <c r="L103" s="37"/>
      <c r="M103" s="12"/>
      <c r="N103" s="12"/>
      <c r="O103" s="12"/>
      <c r="P103" s="12"/>
      <c r="Q103" s="12"/>
      <c r="R103" s="36"/>
      <c r="S103" s="12"/>
      <c r="T103" s="12"/>
    </row>
    <row r="104">
      <c r="A104" s="63" t="s">
        <v>344</v>
      </c>
      <c r="B104" s="43">
        <v>262.0</v>
      </c>
      <c r="C104" s="43">
        <v>1765.0</v>
      </c>
      <c r="D104" s="8">
        <v>262.0</v>
      </c>
      <c r="E104" s="14">
        <f t="shared" si="14"/>
        <v>462430</v>
      </c>
      <c r="F104" s="14">
        <f>IFERROR(__xludf.DUMMYFUNCTION("GOOGLEFINANCE(CONCAT(""NSE:"",A104))"),1773.7)</f>
        <v>1773.7</v>
      </c>
      <c r="G104" s="14">
        <f t="shared" si="15"/>
        <v>464709.4</v>
      </c>
      <c r="H104" s="44">
        <f t="shared" si="16"/>
        <v>0.00492917847</v>
      </c>
      <c r="I104" s="12"/>
      <c r="J104" s="37"/>
      <c r="K104" s="37"/>
      <c r="L104" s="37"/>
      <c r="M104" s="12"/>
      <c r="N104" s="12"/>
      <c r="O104" s="12"/>
      <c r="P104" s="12"/>
      <c r="Q104" s="12"/>
      <c r="R104" s="36"/>
      <c r="S104" s="12"/>
      <c r="T104" s="12"/>
    </row>
    <row r="105">
      <c r="A105" s="63" t="s">
        <v>56</v>
      </c>
      <c r="B105" s="43">
        <v>326.0</v>
      </c>
      <c r="C105" s="43">
        <v>1409.7</v>
      </c>
      <c r="D105" s="8">
        <v>326.0</v>
      </c>
      <c r="E105" s="14">
        <f t="shared" si="14"/>
        <v>459562.2</v>
      </c>
      <c r="F105" s="14">
        <f>IFERROR(__xludf.DUMMYFUNCTION("GOOGLEFINANCE(CONCAT(""NSE:"",A105))"),1330.2)</f>
        <v>1330.2</v>
      </c>
      <c r="G105" s="14">
        <f t="shared" si="15"/>
        <v>433645.2</v>
      </c>
      <c r="H105" s="44">
        <f t="shared" si="16"/>
        <v>-0.05639497765</v>
      </c>
      <c r="I105" s="12"/>
      <c r="J105" s="37"/>
      <c r="K105" s="37"/>
      <c r="L105" s="37"/>
      <c r="M105" s="12"/>
      <c r="N105" s="12"/>
      <c r="O105" s="12"/>
      <c r="P105" s="12"/>
      <c r="Q105" s="12"/>
      <c r="R105" s="36"/>
      <c r="S105" s="12"/>
      <c r="T105" s="12"/>
    </row>
    <row r="106">
      <c r="A106" s="63" t="s">
        <v>7</v>
      </c>
      <c r="B106" s="43">
        <v>71.0</v>
      </c>
      <c r="C106" s="43">
        <v>10575.0</v>
      </c>
      <c r="D106" s="8">
        <v>213.0</v>
      </c>
      <c r="E106" s="14">
        <f t="shared" si="14"/>
        <v>750825</v>
      </c>
      <c r="F106" s="14">
        <f>IFERROR(__xludf.DUMMYFUNCTION("GOOGLEFINANCE(CONCAT(""NSE:"",A106))"),1938.6)</f>
        <v>1938.6</v>
      </c>
      <c r="G106" s="14">
        <f t="shared" si="15"/>
        <v>412921.8</v>
      </c>
      <c r="H106" s="44">
        <f t="shared" si="16"/>
        <v>-0.4500425532</v>
      </c>
      <c r="I106" s="12"/>
      <c r="J106" s="37"/>
      <c r="K106" s="37"/>
      <c r="L106" s="37"/>
      <c r="M106" s="12"/>
      <c r="N106" s="12"/>
      <c r="O106" s="12"/>
      <c r="P106" s="12"/>
      <c r="Q106" s="12"/>
      <c r="R106" s="36"/>
      <c r="S106" s="12"/>
      <c r="T106" s="12"/>
    </row>
    <row r="107">
      <c r="A107" s="63" t="s">
        <v>60</v>
      </c>
      <c r="B107" s="43">
        <v>229.0</v>
      </c>
      <c r="C107" s="43">
        <v>2467.2</v>
      </c>
      <c r="D107" s="8">
        <v>229.0</v>
      </c>
      <c r="E107" s="14">
        <f t="shared" si="14"/>
        <v>564988.8</v>
      </c>
      <c r="F107" s="14">
        <f>IFERROR(__xludf.DUMMYFUNCTION("GOOGLEFINANCE(CONCAT(""NSE:"",A107))"),2337.0)</f>
        <v>2337</v>
      </c>
      <c r="G107" s="14">
        <f t="shared" si="15"/>
        <v>535173</v>
      </c>
      <c r="H107" s="44">
        <f t="shared" si="16"/>
        <v>-0.05277237354</v>
      </c>
      <c r="I107" s="12"/>
      <c r="J107" s="37"/>
      <c r="K107" s="37"/>
      <c r="L107" s="37"/>
      <c r="M107" s="12"/>
      <c r="N107" s="12"/>
      <c r="O107" s="12"/>
      <c r="P107" s="12"/>
      <c r="Q107" s="12"/>
      <c r="R107" s="36"/>
      <c r="S107" s="12"/>
      <c r="T107" s="12"/>
    </row>
    <row r="108">
      <c r="A108" s="63" t="s">
        <v>179</v>
      </c>
      <c r="B108" s="43">
        <v>3538.0</v>
      </c>
      <c r="C108" s="43">
        <v>183.82</v>
      </c>
      <c r="D108" s="8">
        <v>3538.0</v>
      </c>
      <c r="E108" s="14">
        <f t="shared" si="14"/>
        <v>650355.16</v>
      </c>
      <c r="F108" s="14">
        <f>IFERROR(__xludf.DUMMYFUNCTION("GOOGLEFINANCE(CONCAT(""NSE:"",A108))"),121.52)</f>
        <v>121.52</v>
      </c>
      <c r="G108" s="14">
        <f t="shared" si="15"/>
        <v>429937.76</v>
      </c>
      <c r="H108" s="44">
        <f t="shared" si="16"/>
        <v>-0.3389185072</v>
      </c>
      <c r="I108" s="12"/>
      <c r="J108" s="37"/>
      <c r="K108" s="37"/>
      <c r="L108" s="37"/>
      <c r="M108" s="12"/>
      <c r="N108" s="12"/>
      <c r="O108" s="12"/>
      <c r="P108" s="12"/>
      <c r="Q108" s="12"/>
      <c r="R108" s="36"/>
      <c r="S108" s="12"/>
      <c r="T108" s="12"/>
    </row>
    <row r="109">
      <c r="A109" s="63" t="s">
        <v>346</v>
      </c>
      <c r="B109" s="43">
        <v>50.0</v>
      </c>
      <c r="C109" s="43">
        <v>18140.0</v>
      </c>
      <c r="D109" s="8">
        <v>50.0</v>
      </c>
      <c r="E109" s="14">
        <f t="shared" si="14"/>
        <v>907000</v>
      </c>
      <c r="F109" s="14">
        <f>IFERROR(__xludf.DUMMYFUNCTION("GOOGLEFINANCE(CONCAT(""NSE:"",A109))"),10993.0)</f>
        <v>10993</v>
      </c>
      <c r="G109" s="14">
        <f t="shared" si="15"/>
        <v>549650</v>
      </c>
      <c r="H109" s="44">
        <f t="shared" si="16"/>
        <v>-0.3939911797</v>
      </c>
      <c r="I109" s="12"/>
      <c r="J109" s="37"/>
      <c r="K109" s="37"/>
      <c r="L109" s="37"/>
      <c r="M109" s="12"/>
      <c r="N109" s="12"/>
      <c r="O109" s="12"/>
      <c r="P109" s="12"/>
      <c r="Q109" s="12"/>
      <c r="R109" s="36"/>
      <c r="S109" s="12"/>
      <c r="T109" s="12"/>
    </row>
    <row r="110">
      <c r="A110" s="63" t="s">
        <v>347</v>
      </c>
      <c r="B110" s="43">
        <v>606.0</v>
      </c>
      <c r="C110" s="43">
        <v>728.0</v>
      </c>
      <c r="D110" s="8">
        <v>606.0</v>
      </c>
      <c r="E110" s="14">
        <f t="shared" si="14"/>
        <v>441168</v>
      </c>
      <c r="F110" s="14">
        <f>IFERROR(__xludf.DUMMYFUNCTION("GOOGLEFINANCE(CONCAT(""NSE:"",A110))"),767.2)</f>
        <v>767.2</v>
      </c>
      <c r="G110" s="14">
        <f t="shared" si="15"/>
        <v>464923.2</v>
      </c>
      <c r="H110" s="44">
        <f t="shared" si="16"/>
        <v>0.05384615385</v>
      </c>
      <c r="I110" s="12"/>
      <c r="J110" s="37"/>
      <c r="K110" s="37"/>
      <c r="L110" s="37"/>
      <c r="M110" s="12"/>
      <c r="N110" s="12"/>
      <c r="O110" s="12"/>
      <c r="P110" s="12"/>
      <c r="Q110" s="12"/>
      <c r="R110" s="36"/>
      <c r="S110" s="12"/>
      <c r="T110" s="12"/>
    </row>
    <row r="111">
      <c r="A111" s="63" t="s">
        <v>68</v>
      </c>
      <c r="B111" s="43">
        <v>437.0</v>
      </c>
      <c r="C111" s="43">
        <v>1329.6</v>
      </c>
      <c r="D111" s="8">
        <v>437.0</v>
      </c>
      <c r="E111" s="14">
        <f t="shared" si="14"/>
        <v>581035.2</v>
      </c>
      <c r="F111" s="14">
        <f>IFERROR(__xludf.DUMMYFUNCTION("GOOGLEFINANCE(CONCAT(""NSE:"",A111))"),1824.9)</f>
        <v>1824.9</v>
      </c>
      <c r="G111" s="14">
        <f t="shared" si="15"/>
        <v>797481.3</v>
      </c>
      <c r="H111" s="44">
        <f t="shared" si="16"/>
        <v>0.3725180505</v>
      </c>
      <c r="I111" s="12"/>
      <c r="J111" s="37"/>
      <c r="K111" s="37"/>
      <c r="L111" s="37"/>
      <c r="M111" s="12"/>
      <c r="N111" s="12"/>
      <c r="O111" s="12"/>
      <c r="P111" s="12"/>
      <c r="Q111" s="12"/>
      <c r="R111" s="36"/>
      <c r="S111" s="12"/>
      <c r="T111" s="12"/>
    </row>
    <row r="112">
      <c r="A112" s="63" t="s">
        <v>72</v>
      </c>
      <c r="B112" s="43">
        <v>169.0</v>
      </c>
      <c r="C112" s="43">
        <v>2659.4</v>
      </c>
      <c r="D112" s="8">
        <v>169.0</v>
      </c>
      <c r="E112" s="14">
        <f t="shared" si="14"/>
        <v>449438.6</v>
      </c>
      <c r="F112" s="14">
        <f>IFERROR(__xludf.DUMMYFUNCTION("GOOGLEFINANCE(CONCAT(""NSE:"",A112))"),2203.2)</f>
        <v>2203.2</v>
      </c>
      <c r="G112" s="14">
        <f t="shared" si="15"/>
        <v>372340.8</v>
      </c>
      <c r="H112" s="44">
        <f t="shared" si="16"/>
        <v>-0.1715424532</v>
      </c>
      <c r="I112" s="12"/>
      <c r="J112" s="37"/>
      <c r="K112" s="37"/>
      <c r="L112" s="37"/>
      <c r="M112" s="12"/>
      <c r="N112" s="12"/>
      <c r="O112" s="12"/>
      <c r="P112" s="12"/>
      <c r="Q112" s="12"/>
      <c r="R112" s="36"/>
      <c r="S112" s="12"/>
      <c r="T112" s="12"/>
    </row>
    <row r="113">
      <c r="A113" s="63" t="s">
        <v>86</v>
      </c>
      <c r="B113" s="43">
        <v>70.0</v>
      </c>
      <c r="C113" s="43">
        <v>7799.0</v>
      </c>
      <c r="D113" s="8">
        <v>70.0</v>
      </c>
      <c r="E113" s="14">
        <f t="shared" si="14"/>
        <v>545930</v>
      </c>
      <c r="F113" s="14">
        <f>IFERROR(__xludf.DUMMYFUNCTION("GOOGLEFINANCE(CONCAT(""NSE:"",A113))"),3290.8)</f>
        <v>3290.8</v>
      </c>
      <c r="G113" s="14">
        <f t="shared" si="15"/>
        <v>230356</v>
      </c>
      <c r="H113" s="44">
        <f t="shared" si="16"/>
        <v>-0.5780484678</v>
      </c>
      <c r="I113" s="12"/>
      <c r="J113" s="37"/>
      <c r="K113" s="37"/>
      <c r="L113" s="37"/>
      <c r="M113" s="12"/>
      <c r="N113" s="12"/>
      <c r="O113" s="12"/>
      <c r="P113" s="12"/>
      <c r="Q113" s="12"/>
      <c r="R113" s="36"/>
      <c r="S113" s="12"/>
      <c r="T113" s="12"/>
    </row>
    <row r="114">
      <c r="A114" s="63" t="s">
        <v>348</v>
      </c>
      <c r="B114" s="43">
        <v>817.0</v>
      </c>
      <c r="C114" s="43">
        <v>711.0</v>
      </c>
      <c r="D114" s="8">
        <v>817.0</v>
      </c>
      <c r="E114" s="14">
        <f t="shared" si="14"/>
        <v>580887</v>
      </c>
      <c r="F114" s="14">
        <f>IFERROR(__xludf.DUMMYFUNCTION("GOOGLEFINANCE(CONCAT(""NSE:"",A114))"),547.0)</f>
        <v>547</v>
      </c>
      <c r="G114" s="14">
        <f t="shared" si="15"/>
        <v>446899</v>
      </c>
      <c r="H114" s="44">
        <f t="shared" si="16"/>
        <v>-0.2306610408</v>
      </c>
      <c r="I114" s="12"/>
      <c r="J114" s="37"/>
      <c r="K114" s="37"/>
      <c r="L114" s="37"/>
      <c r="M114" s="12"/>
      <c r="N114" s="12"/>
      <c r="O114" s="12"/>
      <c r="P114" s="12"/>
      <c r="Q114" s="12"/>
      <c r="R114" s="36"/>
      <c r="S114" s="12"/>
      <c r="T114" s="12"/>
    </row>
    <row r="115">
      <c r="A115" s="63" t="s">
        <v>75</v>
      </c>
      <c r="B115" s="43">
        <v>825.0</v>
      </c>
      <c r="C115" s="43">
        <v>1230.9</v>
      </c>
      <c r="D115" s="8">
        <v>825.0</v>
      </c>
      <c r="E115" s="14">
        <f t="shared" si="14"/>
        <v>1015492.5</v>
      </c>
      <c r="F115" s="14">
        <f>IFERROR(__xludf.DUMMYFUNCTION("GOOGLEFINANCE(CONCAT(""NSE:"",A115))"),1761.4)</f>
        <v>1761.4</v>
      </c>
      <c r="G115" s="14">
        <f t="shared" si="15"/>
        <v>1453155</v>
      </c>
      <c r="H115" s="44">
        <f t="shared" si="16"/>
        <v>0.4309854578</v>
      </c>
      <c r="I115" s="12"/>
      <c r="J115" s="37"/>
      <c r="K115" s="37"/>
      <c r="L115" s="37"/>
      <c r="M115" s="12"/>
      <c r="N115" s="12"/>
      <c r="O115" s="12"/>
      <c r="P115" s="12"/>
      <c r="Q115" s="12"/>
      <c r="R115" s="36"/>
      <c r="S115" s="12"/>
      <c r="T115" s="12"/>
    </row>
    <row r="116">
      <c r="A116" s="63" t="s">
        <v>15</v>
      </c>
      <c r="B116" s="43">
        <v>30.0</v>
      </c>
      <c r="C116" s="43">
        <v>18895.0</v>
      </c>
      <c r="D116" s="8">
        <v>30.0</v>
      </c>
      <c r="E116" s="14">
        <f t="shared" si="14"/>
        <v>566850</v>
      </c>
      <c r="F116" s="14">
        <f>IFERROR(__xludf.DUMMYFUNCTION("GOOGLEFINANCE(CONCAT(""NSE:"",A116))"),30810.0)</f>
        <v>30810</v>
      </c>
      <c r="G116" s="14">
        <f t="shared" si="15"/>
        <v>924300</v>
      </c>
      <c r="H116" s="44">
        <f t="shared" si="16"/>
        <v>0.6305901032</v>
      </c>
      <c r="I116" s="12"/>
      <c r="J116" s="37"/>
      <c r="K116" s="37"/>
      <c r="L116" s="37"/>
      <c r="M116" s="12"/>
      <c r="N116" s="12"/>
      <c r="O116" s="12"/>
      <c r="P116" s="12"/>
      <c r="Q116" s="12"/>
      <c r="R116" s="36"/>
      <c r="S116" s="12"/>
      <c r="T116" s="12"/>
    </row>
    <row r="117">
      <c r="A117" s="63" t="s">
        <v>349</v>
      </c>
      <c r="B117" s="43">
        <v>13755.0</v>
      </c>
      <c r="C117" s="43">
        <v>46.24</v>
      </c>
      <c r="D117" s="8">
        <v>13755.0</v>
      </c>
      <c r="E117" s="14">
        <f t="shared" si="14"/>
        <v>636031.2</v>
      </c>
      <c r="F117" s="14">
        <f>IFERROR(__xludf.DUMMYFUNCTION("GOOGLEFINANCE(CONCAT(""NSE:"",A117))"),21.02)</f>
        <v>21.02</v>
      </c>
      <c r="G117" s="14">
        <f t="shared" si="15"/>
        <v>289130.1</v>
      </c>
      <c r="H117" s="44">
        <f t="shared" si="16"/>
        <v>-0.5454152249</v>
      </c>
      <c r="I117" s="12"/>
      <c r="J117" s="37"/>
      <c r="K117" s="37"/>
      <c r="L117" s="37"/>
      <c r="M117" s="12"/>
      <c r="N117" s="12"/>
      <c r="O117" s="12"/>
      <c r="P117" s="12"/>
      <c r="Q117" s="12"/>
      <c r="R117" s="36"/>
      <c r="S117" s="12"/>
      <c r="T117" s="12"/>
    </row>
    <row r="118">
      <c r="A118" s="63" t="s">
        <v>350</v>
      </c>
      <c r="B118" s="43">
        <v>1220.0</v>
      </c>
      <c r="C118" s="43">
        <v>599.9</v>
      </c>
      <c r="D118" s="8">
        <v>1220.0</v>
      </c>
      <c r="E118" s="14">
        <f t="shared" si="14"/>
        <v>731878</v>
      </c>
      <c r="F118" s="14">
        <f>IFERROR(__xludf.DUMMYFUNCTION("GOOGLEFINANCE(CONCAT(""NSE:"",A118))"),508.85)</f>
        <v>508.85</v>
      </c>
      <c r="G118" s="14">
        <f t="shared" si="15"/>
        <v>620797</v>
      </c>
      <c r="H118" s="44">
        <f t="shared" si="16"/>
        <v>-0.1517752959</v>
      </c>
      <c r="I118" s="12"/>
      <c r="J118" s="37"/>
      <c r="K118" s="37"/>
      <c r="L118" s="37"/>
      <c r="M118" s="12"/>
      <c r="N118" s="12"/>
      <c r="O118" s="12"/>
      <c r="P118" s="12"/>
      <c r="Q118" s="12"/>
      <c r="R118" s="36"/>
      <c r="S118" s="12"/>
      <c r="T118" s="12"/>
    </row>
    <row r="119">
      <c r="A119" s="63" t="s">
        <v>351</v>
      </c>
      <c r="B119" s="43">
        <v>329.0</v>
      </c>
      <c r="C119" s="43">
        <v>1422.6</v>
      </c>
      <c r="D119" s="8">
        <v>329.0</v>
      </c>
      <c r="E119" s="14">
        <f t="shared" si="14"/>
        <v>468035.4</v>
      </c>
      <c r="F119" s="14">
        <f>IFERROR(__xludf.DUMMYFUNCTION("GOOGLEFINANCE(CONCAT(""NSE:"",A119))"),2044.3)</f>
        <v>2044.3</v>
      </c>
      <c r="G119" s="14">
        <f t="shared" si="15"/>
        <v>672574.7</v>
      </c>
      <c r="H119" s="44">
        <f t="shared" si="16"/>
        <v>0.4370167299</v>
      </c>
      <c r="I119" s="12"/>
      <c r="J119" s="37"/>
      <c r="K119" s="37"/>
      <c r="L119" s="37"/>
      <c r="M119" s="12"/>
      <c r="N119" s="12"/>
      <c r="O119" s="12"/>
      <c r="P119" s="12"/>
      <c r="Q119" s="12"/>
      <c r="R119" s="36"/>
      <c r="S119" s="12"/>
      <c r="T119" s="12"/>
    </row>
    <row r="120">
      <c r="A120" s="63" t="s">
        <v>352</v>
      </c>
      <c r="B120" s="43">
        <v>300.0</v>
      </c>
      <c r="C120" s="43">
        <v>25068.0</v>
      </c>
      <c r="I120" s="12"/>
      <c r="J120" s="37"/>
      <c r="K120" s="37"/>
      <c r="L120" s="37"/>
      <c r="M120" s="12"/>
      <c r="N120" s="12"/>
      <c r="O120" s="12"/>
      <c r="P120" s="12"/>
      <c r="Q120" s="12"/>
      <c r="R120" s="36"/>
      <c r="S120" s="12"/>
      <c r="T120" s="12"/>
    </row>
    <row r="121">
      <c r="A121" s="1"/>
      <c r="B121" s="32"/>
      <c r="G121" s="14">
        <f>SUM(G101:G120)</f>
        <v>11281232.36</v>
      </c>
      <c r="I121" s="12"/>
      <c r="J121" s="37"/>
      <c r="K121" s="37"/>
      <c r="L121" s="37"/>
      <c r="M121" s="12"/>
      <c r="N121" s="12"/>
      <c r="O121" s="12"/>
      <c r="P121" s="12"/>
      <c r="Q121" s="12"/>
      <c r="R121" s="36"/>
      <c r="S121" s="12"/>
      <c r="T121" s="12"/>
    </row>
    <row r="122">
      <c r="A122" s="38">
        <v>45810.0</v>
      </c>
      <c r="B122" s="39" t="s">
        <v>300</v>
      </c>
      <c r="C122" s="62" t="s">
        <v>301</v>
      </c>
      <c r="D122" s="40" t="s">
        <v>302</v>
      </c>
      <c r="E122" s="40" t="s">
        <v>303</v>
      </c>
      <c r="F122" s="40" t="s">
        <v>304</v>
      </c>
      <c r="G122" s="40" t="s">
        <v>305</v>
      </c>
      <c r="H122" s="40" t="s">
        <v>306</v>
      </c>
      <c r="I122" s="88"/>
      <c r="J122" s="89"/>
      <c r="K122" s="90"/>
      <c r="L122" s="90"/>
      <c r="M122" s="88"/>
      <c r="N122" s="88"/>
      <c r="O122" s="88"/>
      <c r="P122" s="88"/>
      <c r="Q122" s="88"/>
      <c r="R122" s="91"/>
      <c r="S122" s="88"/>
      <c r="T122" s="88"/>
      <c r="U122" s="64"/>
      <c r="V122" s="64"/>
      <c r="W122" s="64"/>
      <c r="X122" s="64"/>
      <c r="Y122" s="64"/>
      <c r="Z122" s="64"/>
      <c r="AA122" s="64"/>
      <c r="AB122" s="64"/>
      <c r="AC122" s="64"/>
      <c r="AD122" s="64"/>
      <c r="AE122" s="64"/>
      <c r="AF122" s="64"/>
      <c r="AG122" s="64"/>
      <c r="AH122" s="64"/>
    </row>
    <row r="123">
      <c r="A123" s="63" t="s">
        <v>49</v>
      </c>
      <c r="B123" s="43">
        <v>79.0</v>
      </c>
      <c r="C123" s="43">
        <v>6391.0</v>
      </c>
      <c r="D123" s="92">
        <f t="shared" ref="D123:D136" si="17">B123</f>
        <v>79</v>
      </c>
      <c r="E123" s="11">
        <f t="shared" ref="E123:E152" si="18">C123*B123</f>
        <v>504889</v>
      </c>
      <c r="F123" s="93">
        <f>IFERROR(__xludf.DUMMYFUNCTION("GOOGLEFINANCE(CONCATENATE(""NSE:"",  A123))"),7028.5)</f>
        <v>7028.5</v>
      </c>
      <c r="G123" s="11">
        <f t="shared" ref="G123:G152" si="19">F123*D123</f>
        <v>555251.5</v>
      </c>
      <c r="H123" s="94">
        <f t="shared" ref="H123:H152" si="20">(G123-E123)/E123</f>
        <v>0.09974964794</v>
      </c>
      <c r="I123" s="93"/>
      <c r="J123" s="1"/>
      <c r="K123" s="1"/>
      <c r="L123" s="1"/>
      <c r="M123" s="1"/>
      <c r="N123" s="1"/>
      <c r="O123" s="17"/>
      <c r="P123" s="17"/>
      <c r="Q123" s="17"/>
      <c r="R123" s="95"/>
      <c r="S123" s="93"/>
      <c r="T123" s="12"/>
    </row>
    <row r="124">
      <c r="A124" s="63" t="s">
        <v>46</v>
      </c>
      <c r="B124" s="43">
        <v>381.0</v>
      </c>
      <c r="C124" s="43">
        <v>2710.8</v>
      </c>
      <c r="D124" s="92">
        <f t="shared" si="17"/>
        <v>381</v>
      </c>
      <c r="E124" s="11">
        <f t="shared" si="18"/>
        <v>1032814.8</v>
      </c>
      <c r="F124" s="93">
        <f>IFERROR(__xludf.DUMMYFUNCTION("GOOGLEFINANCE(CONCATENATE(""NSE:"",  A124))"),3271.6)</f>
        <v>3271.6</v>
      </c>
      <c r="G124" s="11">
        <f t="shared" si="19"/>
        <v>1246479.6</v>
      </c>
      <c r="H124" s="94">
        <f t="shared" si="20"/>
        <v>0.2068761989</v>
      </c>
      <c r="I124" s="12"/>
      <c r="J124" s="1"/>
      <c r="K124" s="1"/>
      <c r="L124" s="1"/>
      <c r="M124" s="1"/>
      <c r="N124" s="1"/>
      <c r="O124" s="17"/>
      <c r="P124" s="17"/>
      <c r="Q124" s="17"/>
      <c r="R124" s="36"/>
      <c r="S124" s="12"/>
      <c r="T124" s="12"/>
    </row>
    <row r="125">
      <c r="A125" s="63" t="s">
        <v>56</v>
      </c>
      <c r="B125" s="43">
        <v>597.0</v>
      </c>
      <c r="C125" s="43">
        <v>1518.6</v>
      </c>
      <c r="D125" s="92">
        <f t="shared" si="17"/>
        <v>597</v>
      </c>
      <c r="E125" s="11">
        <f t="shared" si="18"/>
        <v>906604.2</v>
      </c>
      <c r="F125" s="93">
        <f>IFERROR(__xludf.DUMMYFUNCTION("GOOGLEFINANCE(CONCATENATE(""NSE:"",  A125))"),1330.2)</f>
        <v>1330.2</v>
      </c>
      <c r="G125" s="11">
        <f t="shared" si="19"/>
        <v>794129.4</v>
      </c>
      <c r="H125" s="94">
        <f t="shared" si="20"/>
        <v>-0.1240616357</v>
      </c>
      <c r="I125" s="12"/>
      <c r="J125" s="1"/>
      <c r="K125" s="1"/>
      <c r="L125" s="1"/>
      <c r="M125" s="1"/>
      <c r="N125" s="1"/>
      <c r="O125" s="17"/>
      <c r="P125" s="17"/>
      <c r="Q125" s="17"/>
      <c r="R125" s="36"/>
      <c r="S125" s="12"/>
      <c r="T125" s="12"/>
    </row>
    <row r="126">
      <c r="A126" s="63" t="s">
        <v>69</v>
      </c>
      <c r="B126" s="43">
        <v>1593.0</v>
      </c>
      <c r="C126" s="43">
        <v>379.6</v>
      </c>
      <c r="D126" s="92">
        <f t="shared" si="17"/>
        <v>1593</v>
      </c>
      <c r="E126" s="11">
        <f t="shared" si="18"/>
        <v>604702.8</v>
      </c>
      <c r="F126" s="93">
        <f>IFERROR(__xludf.DUMMYFUNCTION("GOOGLEFINANCE(CONCATENATE(""NSE:"",  A126))"),273.35)</f>
        <v>273.35</v>
      </c>
      <c r="G126" s="11">
        <f t="shared" si="19"/>
        <v>435446.55</v>
      </c>
      <c r="H126" s="94">
        <f t="shared" si="20"/>
        <v>-0.2798998946</v>
      </c>
      <c r="I126" s="12"/>
      <c r="J126" s="1"/>
      <c r="K126" s="1"/>
      <c r="L126" s="1"/>
      <c r="M126" s="1"/>
      <c r="N126" s="1"/>
      <c r="O126" s="17"/>
      <c r="P126" s="17"/>
      <c r="Q126" s="17"/>
      <c r="R126" s="36"/>
      <c r="S126" s="12"/>
      <c r="T126" s="12"/>
    </row>
    <row r="127">
      <c r="A127" s="63" t="s">
        <v>7</v>
      </c>
      <c r="B127" s="43">
        <v>88.0</v>
      </c>
      <c r="C127" s="43">
        <v>8370.23</v>
      </c>
      <c r="D127" s="92">
        <f t="shared" si="17"/>
        <v>88</v>
      </c>
      <c r="E127" s="11">
        <f t="shared" si="18"/>
        <v>736580.24</v>
      </c>
      <c r="F127" s="93">
        <f>IFERROR(__xludf.DUMMYFUNCTION("GOOGLEFINANCE(CONCATENATE(""NSE:"",  A127))"),1938.6)</f>
        <v>1938.6</v>
      </c>
      <c r="G127" s="11">
        <f t="shared" si="19"/>
        <v>170596.8</v>
      </c>
      <c r="H127" s="94">
        <f t="shared" si="20"/>
        <v>-0.7683934611</v>
      </c>
      <c r="I127" s="12"/>
      <c r="J127" s="1"/>
      <c r="K127" s="1"/>
      <c r="L127" s="1"/>
      <c r="M127" s="1"/>
      <c r="N127" s="1"/>
      <c r="O127" s="17"/>
      <c r="P127" s="17"/>
      <c r="Q127" s="17"/>
      <c r="R127" s="36"/>
      <c r="S127" s="12"/>
      <c r="T127" s="12"/>
    </row>
    <row r="128">
      <c r="A128" s="63" t="s">
        <v>60</v>
      </c>
      <c r="B128" s="43">
        <v>259.0</v>
      </c>
      <c r="C128" s="43">
        <v>3043.24</v>
      </c>
      <c r="D128" s="92">
        <f t="shared" si="17"/>
        <v>259</v>
      </c>
      <c r="E128" s="11">
        <f t="shared" si="18"/>
        <v>788199.16</v>
      </c>
      <c r="F128" s="93">
        <f>IFERROR(__xludf.DUMMYFUNCTION("GOOGLEFINANCE(CONCATENATE(""NSE:"",  A128))"),2337.0)</f>
        <v>2337</v>
      </c>
      <c r="G128" s="11">
        <f t="shared" si="19"/>
        <v>605283</v>
      </c>
      <c r="H128" s="94">
        <f t="shared" si="20"/>
        <v>-0.2320684534</v>
      </c>
      <c r="I128" s="12"/>
      <c r="J128" s="1"/>
      <c r="K128" s="1"/>
      <c r="L128" s="1"/>
      <c r="M128" s="1"/>
      <c r="N128" s="1"/>
      <c r="O128" s="17"/>
      <c r="P128" s="17"/>
      <c r="Q128" s="17"/>
      <c r="R128" s="36"/>
      <c r="S128" s="12"/>
      <c r="T128" s="12"/>
    </row>
    <row r="129">
      <c r="A129" s="63" t="s">
        <v>12</v>
      </c>
      <c r="B129" s="43">
        <v>431.0</v>
      </c>
      <c r="C129" s="43">
        <v>1163.0</v>
      </c>
      <c r="D129" s="92">
        <f t="shared" si="17"/>
        <v>431</v>
      </c>
      <c r="E129" s="11">
        <f t="shared" si="18"/>
        <v>501253</v>
      </c>
      <c r="F129" s="93">
        <f>IFERROR(__xludf.DUMMYFUNCTION("GOOGLEFINANCE(CONCATENATE(""NSE:"",  A129))"),1019.35)</f>
        <v>1019.35</v>
      </c>
      <c r="G129" s="11">
        <f t="shared" si="19"/>
        <v>439339.85</v>
      </c>
      <c r="H129" s="94">
        <f t="shared" si="20"/>
        <v>-0.123516767</v>
      </c>
      <c r="I129" s="12"/>
      <c r="J129" s="1"/>
      <c r="K129" s="1"/>
      <c r="L129" s="1"/>
      <c r="M129" s="1"/>
      <c r="N129" s="1"/>
      <c r="O129" s="17"/>
      <c r="P129" s="17"/>
      <c r="Q129" s="17"/>
      <c r="R129" s="98"/>
    </row>
    <row r="130">
      <c r="A130" s="63" t="s">
        <v>68</v>
      </c>
      <c r="B130" s="43">
        <v>437.0</v>
      </c>
      <c r="C130" s="43">
        <v>1411.36</v>
      </c>
      <c r="D130" s="92">
        <f t="shared" si="17"/>
        <v>437</v>
      </c>
      <c r="E130" s="11">
        <f t="shared" si="18"/>
        <v>616764.32</v>
      </c>
      <c r="F130" s="93">
        <f>IFERROR(__xludf.DUMMYFUNCTION("GOOGLEFINANCE(CONCATENATE(""NSE:"",  A130))"),1824.9)</f>
        <v>1824.9</v>
      </c>
      <c r="G130" s="11">
        <f t="shared" si="19"/>
        <v>797481.3</v>
      </c>
      <c r="H130" s="94">
        <f t="shared" si="20"/>
        <v>0.2930081623</v>
      </c>
      <c r="I130" s="12"/>
      <c r="J130" s="1"/>
      <c r="K130" s="1"/>
      <c r="L130" s="1"/>
      <c r="M130" s="1"/>
      <c r="N130" s="1"/>
      <c r="O130" s="17"/>
      <c r="P130" s="17"/>
      <c r="Q130" s="17"/>
      <c r="R130" s="98"/>
    </row>
    <row r="131">
      <c r="A131" s="63" t="s">
        <v>72</v>
      </c>
      <c r="B131" s="43">
        <v>227.0</v>
      </c>
      <c r="C131" s="43">
        <v>3470.47</v>
      </c>
      <c r="D131" s="92">
        <f t="shared" si="17"/>
        <v>227</v>
      </c>
      <c r="E131" s="11">
        <f t="shared" si="18"/>
        <v>787796.69</v>
      </c>
      <c r="F131" s="93">
        <f>IFERROR(__xludf.DUMMYFUNCTION("GOOGLEFINANCE(CONCATENATE(""NSE:"",  A131))"),2203.2)</f>
        <v>2203.2</v>
      </c>
      <c r="G131" s="11">
        <f t="shared" si="19"/>
        <v>500126.4</v>
      </c>
      <c r="H131" s="94">
        <f t="shared" si="20"/>
        <v>-0.3651580333</v>
      </c>
      <c r="I131" s="12"/>
      <c r="J131" s="1"/>
      <c r="K131" s="1"/>
      <c r="L131" s="1"/>
      <c r="M131" s="1"/>
      <c r="N131" s="1"/>
      <c r="O131" s="17"/>
      <c r="P131" s="17"/>
      <c r="Q131" s="17"/>
      <c r="R131" s="98"/>
    </row>
    <row r="132">
      <c r="A132" s="63" t="s">
        <v>75</v>
      </c>
      <c r="B132" s="43">
        <v>925.0</v>
      </c>
      <c r="C132" s="43">
        <v>948.31</v>
      </c>
      <c r="D132" s="92">
        <f t="shared" si="17"/>
        <v>925</v>
      </c>
      <c r="E132" s="11">
        <f t="shared" si="18"/>
        <v>877186.75</v>
      </c>
      <c r="F132" s="93">
        <f>IFERROR(__xludf.DUMMYFUNCTION("GOOGLEFINANCE(CONCATENATE(""NSE:"",  A132))"),1761.4)</f>
        <v>1761.4</v>
      </c>
      <c r="G132" s="11">
        <f t="shared" si="19"/>
        <v>1629295</v>
      </c>
      <c r="H132" s="94">
        <f t="shared" si="20"/>
        <v>0.8574094969</v>
      </c>
      <c r="I132" s="12"/>
      <c r="J132" s="1"/>
      <c r="K132" s="1"/>
      <c r="L132" s="1"/>
      <c r="M132" s="1"/>
      <c r="N132" s="1"/>
      <c r="O132" s="17"/>
      <c r="P132" s="17"/>
      <c r="Q132" s="17"/>
      <c r="R132" s="98"/>
    </row>
    <row r="133">
      <c r="A133" s="63" t="s">
        <v>15</v>
      </c>
      <c r="B133" s="43">
        <v>30.0</v>
      </c>
      <c r="C133" s="43">
        <v>19430.76</v>
      </c>
      <c r="D133" s="92">
        <f t="shared" si="17"/>
        <v>30</v>
      </c>
      <c r="E133" s="11">
        <f t="shared" si="18"/>
        <v>582922.8</v>
      </c>
      <c r="F133" s="93">
        <f>IFERROR(__xludf.DUMMYFUNCTION("GOOGLEFINANCE(CONCATENATE(""NSE:"",  A133))"),30810.0)</f>
        <v>30810</v>
      </c>
      <c r="G133" s="11">
        <f t="shared" si="19"/>
        <v>924300</v>
      </c>
      <c r="H133" s="94">
        <f t="shared" si="20"/>
        <v>0.585630207</v>
      </c>
      <c r="I133" s="12"/>
      <c r="J133" s="1"/>
      <c r="K133" s="1"/>
      <c r="L133" s="1"/>
      <c r="M133" s="1"/>
      <c r="N133" s="1"/>
      <c r="O133" s="17"/>
      <c r="P133" s="17"/>
      <c r="Q133" s="17"/>
      <c r="R133" s="98"/>
    </row>
    <row r="134">
      <c r="A134" s="63" t="s">
        <v>341</v>
      </c>
      <c r="B134" s="43">
        <v>259.0</v>
      </c>
      <c r="C134" s="43">
        <v>1909.42</v>
      </c>
      <c r="D134" s="92">
        <f t="shared" si="17"/>
        <v>259</v>
      </c>
      <c r="E134" s="11">
        <f t="shared" si="18"/>
        <v>494539.78</v>
      </c>
      <c r="F134" s="93">
        <f>IFERROR(__xludf.DUMMYFUNCTION("GOOGLEFINANCE(CONCATENATE(""NSE:"",  A134))"),1473.0)</f>
        <v>1473</v>
      </c>
      <c r="G134" s="11">
        <f t="shared" si="19"/>
        <v>381507</v>
      </c>
      <c r="H134" s="94">
        <f t="shared" si="20"/>
        <v>-0.2285615527</v>
      </c>
      <c r="I134" s="12"/>
      <c r="J134" s="1"/>
      <c r="K134" s="1"/>
      <c r="L134" s="1"/>
      <c r="M134" s="1"/>
      <c r="N134" s="1"/>
      <c r="O134" s="17"/>
      <c r="P134" s="17"/>
      <c r="Q134" s="17"/>
      <c r="R134" s="98"/>
    </row>
    <row r="135">
      <c r="A135" s="63" t="s">
        <v>373</v>
      </c>
      <c r="B135" s="43">
        <v>221.0</v>
      </c>
      <c r="C135" s="43">
        <v>2186.8</v>
      </c>
      <c r="D135" s="92">
        <f t="shared" si="17"/>
        <v>221</v>
      </c>
      <c r="E135" s="11">
        <f t="shared" si="18"/>
        <v>483282.8</v>
      </c>
      <c r="F135" s="93">
        <f>IFERROR(__xludf.DUMMYFUNCTION("GOOGLEFINANCE(CONCATENATE(""NSE:"",  A135))"),2605.2)</f>
        <v>2605.2</v>
      </c>
      <c r="G135" s="11">
        <f t="shared" si="19"/>
        <v>575749.2</v>
      </c>
      <c r="H135" s="94">
        <f t="shared" si="20"/>
        <v>0.191329797</v>
      </c>
      <c r="I135" s="12"/>
      <c r="J135" s="1"/>
      <c r="K135" s="1"/>
      <c r="L135" s="1"/>
      <c r="M135" s="1"/>
      <c r="N135" s="1"/>
      <c r="O135" s="17"/>
      <c r="P135" s="17"/>
      <c r="Q135" s="17"/>
      <c r="R135" s="98"/>
    </row>
    <row r="136">
      <c r="A136" s="63" t="s">
        <v>375</v>
      </c>
      <c r="B136" s="43">
        <v>248.0</v>
      </c>
      <c r="C136" s="43">
        <v>1916.3</v>
      </c>
      <c r="D136" s="92">
        <f t="shared" si="17"/>
        <v>248</v>
      </c>
      <c r="E136" s="11">
        <f t="shared" si="18"/>
        <v>475242.4</v>
      </c>
      <c r="F136" s="93">
        <f>IFERROR(__xludf.DUMMYFUNCTION("GOOGLEFINANCE(CONCATENATE(""NSE:"",  A136))"),1481.6)</f>
        <v>1481.6</v>
      </c>
      <c r="G136" s="11">
        <f t="shared" si="19"/>
        <v>367436.8</v>
      </c>
      <c r="H136" s="94">
        <f t="shared" si="20"/>
        <v>-0.2268433961</v>
      </c>
      <c r="I136" s="12"/>
      <c r="J136" s="1"/>
      <c r="K136" s="1"/>
      <c r="L136" s="1"/>
      <c r="M136" s="1"/>
      <c r="N136" s="1"/>
      <c r="O136" s="17"/>
      <c r="P136" s="17"/>
      <c r="Q136" s="17"/>
      <c r="R136" s="98"/>
    </row>
    <row r="137">
      <c r="A137" s="63" t="s">
        <v>344</v>
      </c>
      <c r="B137" s="43">
        <v>56.0</v>
      </c>
      <c r="C137" s="43">
        <v>8558.0</v>
      </c>
      <c r="D137" s="99">
        <f>B137*5</f>
        <v>280</v>
      </c>
      <c r="E137" s="11">
        <f t="shared" si="18"/>
        <v>479248</v>
      </c>
      <c r="F137" s="93">
        <f>IFERROR(__xludf.DUMMYFUNCTION("GOOGLEFINANCE(CONCATENATE(""NSE:"",  A137))"),1773.7)</f>
        <v>1773.7</v>
      </c>
      <c r="G137" s="11">
        <f t="shared" si="19"/>
        <v>496636</v>
      </c>
      <c r="H137" s="94">
        <f t="shared" si="20"/>
        <v>0.03628184155</v>
      </c>
      <c r="I137" s="12"/>
      <c r="J137" s="1"/>
      <c r="K137" s="1"/>
      <c r="L137" s="1"/>
      <c r="M137" s="1"/>
      <c r="N137" s="1"/>
      <c r="O137" s="17"/>
      <c r="P137" s="17"/>
      <c r="Q137" s="17"/>
      <c r="R137" s="98"/>
    </row>
    <row r="138">
      <c r="A138" s="63" t="s">
        <v>386</v>
      </c>
      <c r="B138" s="43">
        <v>306.0</v>
      </c>
      <c r="C138" s="43">
        <v>1887.7</v>
      </c>
      <c r="D138" s="92">
        <f t="shared" ref="D138:D152" si="21">B138</f>
        <v>306</v>
      </c>
      <c r="E138" s="11">
        <f t="shared" si="18"/>
        <v>577636.2</v>
      </c>
      <c r="F138" s="93">
        <f>IFERROR(__xludf.DUMMYFUNCTION("GOOGLEFINANCE(CONCATENATE(""NSE:"",  A138))"),1619.9)</f>
        <v>1619.9</v>
      </c>
      <c r="G138" s="11">
        <f t="shared" si="19"/>
        <v>495689.4</v>
      </c>
      <c r="H138" s="94">
        <f t="shared" si="20"/>
        <v>-0.1418657626</v>
      </c>
      <c r="I138" s="12"/>
      <c r="J138" s="1"/>
      <c r="K138" s="1"/>
      <c r="L138" s="1"/>
      <c r="M138" s="1"/>
      <c r="N138" s="1"/>
      <c r="O138" s="17"/>
      <c r="P138" s="17"/>
      <c r="Q138" s="17"/>
      <c r="R138" s="98"/>
    </row>
    <row r="139">
      <c r="A139" s="63" t="s">
        <v>179</v>
      </c>
      <c r="B139" s="43">
        <v>3538.0</v>
      </c>
      <c r="C139" s="43">
        <v>133.18</v>
      </c>
      <c r="D139" s="92">
        <f t="shared" si="21"/>
        <v>3538</v>
      </c>
      <c r="E139" s="11">
        <f t="shared" si="18"/>
        <v>471190.84</v>
      </c>
      <c r="F139" s="93">
        <f>IFERROR(__xludf.DUMMYFUNCTION("GOOGLEFINANCE(CONCATENATE(""NSE:"",  A139))"),121.52)</f>
        <v>121.52</v>
      </c>
      <c r="G139" s="11">
        <f t="shared" si="19"/>
        <v>429937.76</v>
      </c>
      <c r="H139" s="94">
        <f t="shared" si="20"/>
        <v>-0.08755068329</v>
      </c>
      <c r="I139" s="12"/>
      <c r="J139" s="1"/>
      <c r="K139" s="1"/>
      <c r="L139" s="1"/>
      <c r="M139" s="1"/>
      <c r="N139" s="1"/>
      <c r="O139" s="17"/>
      <c r="P139" s="17"/>
      <c r="Q139" s="17"/>
      <c r="R139" s="98"/>
    </row>
    <row r="140">
      <c r="A140" s="63" t="s">
        <v>346</v>
      </c>
      <c r="B140" s="43">
        <v>50.0</v>
      </c>
      <c r="C140" s="43">
        <v>22648.6</v>
      </c>
      <c r="D140" s="92">
        <f t="shared" si="21"/>
        <v>50</v>
      </c>
      <c r="E140" s="11">
        <f t="shared" si="18"/>
        <v>1132430</v>
      </c>
      <c r="F140" s="93">
        <f>IFERROR(__xludf.DUMMYFUNCTION("GOOGLEFINANCE(CONCATENATE(""NSE:"",  A140))"),10993.0)</f>
        <v>10993</v>
      </c>
      <c r="G140" s="11">
        <f t="shared" si="19"/>
        <v>549650</v>
      </c>
      <c r="H140" s="94">
        <f t="shared" si="20"/>
        <v>-0.5146278357</v>
      </c>
      <c r="I140" s="12"/>
      <c r="J140" s="1"/>
      <c r="K140" s="1"/>
      <c r="L140" s="1"/>
      <c r="M140" s="1"/>
      <c r="N140" s="1"/>
      <c r="O140" s="17"/>
      <c r="P140" s="17"/>
      <c r="Q140" s="17"/>
      <c r="R140" s="98"/>
    </row>
    <row r="141">
      <c r="A141" s="63" t="s">
        <v>16</v>
      </c>
      <c r="B141" s="43">
        <v>80.0</v>
      </c>
      <c r="C141" s="43">
        <v>5877.5</v>
      </c>
      <c r="D141" s="92">
        <f t="shared" si="21"/>
        <v>80</v>
      </c>
      <c r="E141" s="11">
        <f t="shared" si="18"/>
        <v>470200</v>
      </c>
      <c r="F141" s="93">
        <f>IFERROR(__xludf.DUMMYFUNCTION("GOOGLEFINANCE(CONCATENATE(""NSE:"",  A141))"),3537.8)</f>
        <v>3537.8</v>
      </c>
      <c r="G141" s="11">
        <f t="shared" si="19"/>
        <v>283024</v>
      </c>
      <c r="H141" s="94">
        <f t="shared" si="20"/>
        <v>-0.3980774139</v>
      </c>
      <c r="I141" s="12"/>
      <c r="J141" s="1"/>
      <c r="K141" s="1"/>
      <c r="L141" s="1"/>
      <c r="M141" s="1"/>
      <c r="N141" s="1"/>
      <c r="O141" s="17"/>
      <c r="P141" s="17"/>
      <c r="Q141" s="17"/>
      <c r="R141" s="98"/>
    </row>
    <row r="142">
      <c r="A142" s="63" t="s">
        <v>347</v>
      </c>
      <c r="B142" s="43">
        <v>714.0</v>
      </c>
      <c r="C142" s="43">
        <v>671.15</v>
      </c>
      <c r="D142" s="92">
        <f t="shared" si="21"/>
        <v>714</v>
      </c>
      <c r="E142" s="11">
        <f t="shared" si="18"/>
        <v>479201.1</v>
      </c>
      <c r="F142" s="93">
        <f>IFERROR(__xludf.DUMMYFUNCTION("GOOGLEFINANCE(CONCATENATE(""NSE:"",  A142))"),767.2)</f>
        <v>767.2</v>
      </c>
      <c r="G142" s="11">
        <f t="shared" si="19"/>
        <v>547780.8</v>
      </c>
      <c r="H142" s="94">
        <f t="shared" si="20"/>
        <v>0.143112568</v>
      </c>
      <c r="I142" s="12"/>
      <c r="J142" s="1"/>
      <c r="K142" s="1"/>
      <c r="L142" s="1"/>
      <c r="M142" s="1"/>
      <c r="N142" s="1"/>
      <c r="O142" s="17"/>
      <c r="P142" s="17"/>
      <c r="Q142" s="17"/>
      <c r="R142" s="98"/>
    </row>
    <row r="143">
      <c r="A143" s="63" t="s">
        <v>86</v>
      </c>
      <c r="B143" s="43">
        <v>76.0</v>
      </c>
      <c r="C143" s="43">
        <v>6794.0</v>
      </c>
      <c r="D143" s="92">
        <f t="shared" si="21"/>
        <v>76</v>
      </c>
      <c r="E143" s="11">
        <f t="shared" si="18"/>
        <v>516344</v>
      </c>
      <c r="F143" s="93">
        <f>IFERROR(__xludf.DUMMYFUNCTION("GOOGLEFINANCE(CONCATENATE(""NSE:"",  A143))"),3290.8)</f>
        <v>3290.8</v>
      </c>
      <c r="G143" s="11">
        <f t="shared" si="19"/>
        <v>250100.8</v>
      </c>
      <c r="H143" s="94">
        <f t="shared" si="20"/>
        <v>-0.5156314395</v>
      </c>
      <c r="I143" s="12"/>
      <c r="J143" s="1"/>
      <c r="K143" s="1"/>
      <c r="L143" s="1"/>
      <c r="M143" s="1"/>
      <c r="N143" s="1"/>
      <c r="O143" s="17"/>
      <c r="P143" s="17"/>
      <c r="Q143" s="17"/>
      <c r="R143" s="98"/>
    </row>
    <row r="144">
      <c r="A144" s="63" t="s">
        <v>348</v>
      </c>
      <c r="B144" s="43">
        <v>1260.0</v>
      </c>
      <c r="C144" s="43">
        <v>485.16</v>
      </c>
      <c r="D144" s="92">
        <f t="shared" si="21"/>
        <v>1260</v>
      </c>
      <c r="E144" s="11">
        <f t="shared" si="18"/>
        <v>611301.6</v>
      </c>
      <c r="F144" s="93">
        <f>IFERROR(__xludf.DUMMYFUNCTION("GOOGLEFINANCE(CONCATENATE(""NSE:"",  A144))"),547.0)</f>
        <v>547</v>
      </c>
      <c r="G144" s="11">
        <f t="shared" si="19"/>
        <v>689220</v>
      </c>
      <c r="H144" s="94">
        <f t="shared" si="20"/>
        <v>0.127463105</v>
      </c>
      <c r="I144" s="12"/>
      <c r="J144" s="1"/>
      <c r="K144" s="1"/>
      <c r="L144" s="1"/>
      <c r="M144" s="1"/>
      <c r="N144" s="1"/>
      <c r="O144" s="17"/>
      <c r="P144" s="17"/>
      <c r="Q144" s="17"/>
      <c r="R144" s="98"/>
    </row>
    <row r="145">
      <c r="A145" s="63" t="s">
        <v>388</v>
      </c>
      <c r="B145" s="43">
        <v>53.0</v>
      </c>
      <c r="C145" s="43">
        <v>11636.0</v>
      </c>
      <c r="D145" s="92">
        <f t="shared" si="21"/>
        <v>53</v>
      </c>
      <c r="E145" s="11">
        <f t="shared" si="18"/>
        <v>616708</v>
      </c>
      <c r="F145" s="93">
        <f>IFERROR(__xludf.DUMMYFUNCTION("GOOGLEFINANCE(CONCATENATE(""NSE:"",  A145))"),22780.0)</f>
        <v>22780</v>
      </c>
      <c r="G145" s="11">
        <f t="shared" si="19"/>
        <v>1207340</v>
      </c>
      <c r="H145" s="94">
        <f t="shared" si="20"/>
        <v>0.9577174287</v>
      </c>
      <c r="J145" s="1"/>
      <c r="K145" s="1"/>
      <c r="L145" s="1"/>
      <c r="M145" s="1"/>
      <c r="N145" s="1"/>
      <c r="O145" s="17"/>
      <c r="P145" s="17"/>
      <c r="Q145" s="17"/>
      <c r="R145" s="98">
        <f>Q145-L154</f>
        <v>-866136</v>
      </c>
    </row>
    <row r="146">
      <c r="A146" s="63" t="s">
        <v>181</v>
      </c>
      <c r="B146" s="43">
        <v>1176.0</v>
      </c>
      <c r="C146" s="43">
        <v>402.57</v>
      </c>
      <c r="D146" s="92">
        <f t="shared" si="21"/>
        <v>1176</v>
      </c>
      <c r="E146" s="11">
        <f t="shared" si="18"/>
        <v>473422.32</v>
      </c>
      <c r="F146" s="93">
        <f>IFERROR(__xludf.DUMMYFUNCTION("GOOGLEFINANCE(CONCATENATE(""NSE:"",  A146))"),323.85)</f>
        <v>323.85</v>
      </c>
      <c r="G146" s="11">
        <f t="shared" si="19"/>
        <v>380847.6</v>
      </c>
      <c r="H146" s="94">
        <f t="shared" si="20"/>
        <v>-0.1955436322</v>
      </c>
      <c r="J146" s="1"/>
      <c r="K146" s="1"/>
      <c r="L146" s="1"/>
      <c r="M146" s="1"/>
      <c r="N146" s="1"/>
      <c r="O146" s="17"/>
      <c r="P146" s="17"/>
      <c r="Q146" s="17"/>
    </row>
    <row r="147">
      <c r="A147" s="63" t="s">
        <v>392</v>
      </c>
      <c r="B147" s="43">
        <v>1233.0</v>
      </c>
      <c r="C147" s="43">
        <v>780.3</v>
      </c>
      <c r="D147" s="92">
        <f t="shared" si="21"/>
        <v>1233</v>
      </c>
      <c r="E147" s="11">
        <f t="shared" si="18"/>
        <v>962109.9</v>
      </c>
      <c r="F147" s="93">
        <f>IFERROR(__xludf.DUMMYFUNCTION("GOOGLEFINANCE(CONCATENATE(""NSE:"",  A147))"),527.8)</f>
        <v>527.8</v>
      </c>
      <c r="G147" s="11">
        <f t="shared" si="19"/>
        <v>650777.4</v>
      </c>
      <c r="H147" s="94">
        <f t="shared" si="20"/>
        <v>-0.3235934897</v>
      </c>
      <c r="J147" s="1"/>
      <c r="K147" s="1"/>
      <c r="L147" s="1"/>
      <c r="M147" s="1"/>
      <c r="N147" s="1"/>
      <c r="O147" s="17"/>
      <c r="P147" s="17"/>
      <c r="Q147" s="17"/>
    </row>
    <row r="148">
      <c r="A148" s="63" t="s">
        <v>349</v>
      </c>
      <c r="B148" s="43">
        <v>13755.0</v>
      </c>
      <c r="C148" s="43">
        <v>59.28</v>
      </c>
      <c r="D148" s="92">
        <f t="shared" si="21"/>
        <v>13755</v>
      </c>
      <c r="E148" s="11">
        <f t="shared" si="18"/>
        <v>815396.4</v>
      </c>
      <c r="F148" s="93">
        <f>IFERROR(__xludf.DUMMYFUNCTION("GOOGLEFINANCE(CONCATENATE(""NSE:"",  A148))"),21.02)</f>
        <v>21.02</v>
      </c>
      <c r="G148" s="11">
        <f t="shared" si="19"/>
        <v>289130.1</v>
      </c>
      <c r="H148" s="94">
        <f t="shared" si="20"/>
        <v>-0.6454116059</v>
      </c>
      <c r="J148" s="1"/>
      <c r="K148" s="1"/>
      <c r="L148" s="1"/>
      <c r="M148" s="1"/>
      <c r="N148" s="1"/>
      <c r="O148" s="17"/>
      <c r="P148" s="17"/>
      <c r="Q148" s="17"/>
    </row>
    <row r="149">
      <c r="A149" s="63" t="s">
        <v>350</v>
      </c>
      <c r="B149" s="43">
        <v>1353.0</v>
      </c>
      <c r="C149" s="43">
        <v>437.39</v>
      </c>
      <c r="D149" s="92">
        <f t="shared" si="21"/>
        <v>1353</v>
      </c>
      <c r="E149" s="11">
        <f t="shared" si="18"/>
        <v>591788.67</v>
      </c>
      <c r="F149" s="93">
        <f>IFERROR(__xludf.DUMMYFUNCTION("GOOGLEFINANCE(CONCATENATE(""NSE:"",  A149))"),508.85)</f>
        <v>508.85</v>
      </c>
      <c r="G149" s="11">
        <f t="shared" si="19"/>
        <v>688474.05</v>
      </c>
      <c r="H149" s="94">
        <f t="shared" si="20"/>
        <v>0.1633782208</v>
      </c>
      <c r="J149" s="1"/>
      <c r="K149" s="1"/>
      <c r="L149" s="1"/>
      <c r="M149" s="1"/>
      <c r="N149" s="1"/>
      <c r="O149" s="17"/>
      <c r="P149" s="17"/>
      <c r="Q149" s="17"/>
      <c r="R149" s="45"/>
      <c r="S149" s="45"/>
      <c r="T149" s="45"/>
      <c r="U149" s="45"/>
      <c r="V149" s="45"/>
      <c r="W149" s="45"/>
      <c r="X149" s="45"/>
    </row>
    <row r="150">
      <c r="A150" s="63" t="s">
        <v>273</v>
      </c>
      <c r="B150" s="43">
        <v>510.0</v>
      </c>
      <c r="C150" s="43">
        <v>921.3</v>
      </c>
      <c r="D150" s="92">
        <f t="shared" si="21"/>
        <v>510</v>
      </c>
      <c r="E150" s="11">
        <f t="shared" si="18"/>
        <v>469863</v>
      </c>
      <c r="F150" s="93">
        <f>IFERROR(__xludf.DUMMYFUNCTION("GOOGLEFINANCE(CONCATENATE(""NSE:"",  A150))"),2491.5)</f>
        <v>2491.5</v>
      </c>
      <c r="G150" s="11">
        <f t="shared" si="19"/>
        <v>1270665</v>
      </c>
      <c r="H150" s="94">
        <f t="shared" si="20"/>
        <v>1.704330837</v>
      </c>
      <c r="J150" s="1"/>
      <c r="K150" s="1"/>
      <c r="L150" s="1"/>
      <c r="M150" s="1"/>
      <c r="N150" s="1"/>
      <c r="O150" s="17"/>
      <c r="P150" s="17"/>
      <c r="Q150" s="17"/>
      <c r="R150" s="45"/>
      <c r="S150" s="45"/>
      <c r="T150" s="45"/>
      <c r="U150" s="45"/>
      <c r="V150" s="45"/>
      <c r="W150" s="45"/>
      <c r="X150" s="45"/>
    </row>
    <row r="151">
      <c r="A151" s="63" t="s">
        <v>351</v>
      </c>
      <c r="B151" s="43">
        <v>566.0</v>
      </c>
      <c r="C151" s="43">
        <v>1458.0</v>
      </c>
      <c r="D151" s="92">
        <f t="shared" si="21"/>
        <v>566</v>
      </c>
      <c r="E151" s="11">
        <f t="shared" si="18"/>
        <v>825228</v>
      </c>
      <c r="F151" s="93">
        <f>IFERROR(__xludf.DUMMYFUNCTION("GOOGLEFINANCE(CONCATENATE(""NSE:"",  A151))"),2044.3)</f>
        <v>2044.3</v>
      </c>
      <c r="G151" s="11">
        <f t="shared" si="19"/>
        <v>1157073.8</v>
      </c>
      <c r="H151" s="94">
        <f t="shared" si="20"/>
        <v>0.4021262003</v>
      </c>
      <c r="J151" s="1"/>
      <c r="K151" s="1"/>
      <c r="L151" s="1"/>
      <c r="M151" s="1"/>
      <c r="N151" s="1"/>
      <c r="O151" s="17"/>
      <c r="P151" s="17"/>
      <c r="Q151" s="17"/>
      <c r="R151" s="45"/>
      <c r="S151" s="45"/>
      <c r="T151" s="45"/>
      <c r="U151" s="45"/>
      <c r="V151" s="45"/>
      <c r="W151" s="45"/>
      <c r="X151" s="45"/>
    </row>
    <row r="152">
      <c r="A152" s="63" t="s">
        <v>402</v>
      </c>
      <c r="B152" s="43">
        <v>330.0</v>
      </c>
      <c r="C152" s="43">
        <v>2139.4</v>
      </c>
      <c r="D152" s="92">
        <f t="shared" si="21"/>
        <v>330</v>
      </c>
      <c r="E152" s="11">
        <f t="shared" si="18"/>
        <v>706002</v>
      </c>
      <c r="F152" s="93">
        <f>IFERROR(__xludf.DUMMYFUNCTION("GOOGLEFINANCE(CONCATENATE(""NSE:"",  A152))"),1664.9)</f>
        <v>1664.9</v>
      </c>
      <c r="G152" s="11">
        <f t="shared" si="19"/>
        <v>549417</v>
      </c>
      <c r="H152" s="94">
        <f t="shared" si="20"/>
        <v>-0.2217911564</v>
      </c>
      <c r="J152" s="1"/>
      <c r="K152" s="1"/>
      <c r="L152" s="1"/>
      <c r="M152" s="1"/>
      <c r="N152" s="1"/>
      <c r="O152" s="17"/>
      <c r="P152" s="17"/>
      <c r="Q152" s="17"/>
      <c r="R152" s="45"/>
      <c r="S152" s="45"/>
      <c r="T152" s="45"/>
      <c r="U152" s="45"/>
      <c r="V152" s="45"/>
      <c r="W152" s="45"/>
      <c r="X152" s="45"/>
    </row>
    <row r="153">
      <c r="E153" s="14">
        <f>SUM(E123:E152)</f>
        <v>19590848.77</v>
      </c>
      <c r="G153" s="14">
        <f>sum(G123:G152)</f>
        <v>19358186.11</v>
      </c>
      <c r="N153" s="46"/>
      <c r="O153" s="45"/>
      <c r="P153" s="45"/>
      <c r="Q153" s="45"/>
      <c r="R153" s="45"/>
      <c r="S153" s="45"/>
      <c r="T153" s="45"/>
      <c r="U153" s="45"/>
      <c r="V153" s="45"/>
      <c r="W153" s="45"/>
      <c r="X153" s="45"/>
    </row>
    <row r="154">
      <c r="A154" s="1" t="s">
        <v>403</v>
      </c>
      <c r="B154" s="17"/>
      <c r="D154" s="8"/>
      <c r="E154" s="8">
        <v>1851.0</v>
      </c>
      <c r="J154" s="103">
        <f>30*25</f>
        <v>750</v>
      </c>
      <c r="K154" s="104">
        <v>1154.848</v>
      </c>
      <c r="L154" s="8">
        <v>866136.0</v>
      </c>
      <c r="N154" s="46"/>
      <c r="O154" s="45"/>
      <c r="P154" s="45"/>
      <c r="Q154" s="45"/>
      <c r="R154" s="45"/>
      <c r="S154" s="45"/>
      <c r="T154" s="45"/>
      <c r="U154" s="45"/>
      <c r="V154" s="45"/>
      <c r="W154" s="45"/>
      <c r="X154" s="45"/>
    </row>
    <row r="155">
      <c r="B155" s="11"/>
      <c r="C155" s="11"/>
      <c r="D155" s="11"/>
      <c r="E155" s="11"/>
      <c r="F155" s="11"/>
      <c r="G155" s="11"/>
      <c r="H155" s="105"/>
      <c r="I155" s="11"/>
      <c r="J155" s="12"/>
      <c r="N155" s="46"/>
      <c r="O155" s="45"/>
      <c r="P155" s="45"/>
      <c r="Q155" s="45"/>
      <c r="R155" s="45"/>
      <c r="S155" s="45"/>
      <c r="T155" s="45"/>
      <c r="U155" s="45"/>
      <c r="V155" s="45"/>
      <c r="W155" s="45"/>
      <c r="X155" s="45"/>
    </row>
    <row r="156">
      <c r="A156" s="38">
        <v>45722.0</v>
      </c>
      <c r="B156" s="39" t="s">
        <v>300</v>
      </c>
      <c r="C156" s="62" t="s">
        <v>301</v>
      </c>
      <c r="D156" s="11"/>
      <c r="E156" s="12"/>
      <c r="F156" s="12"/>
      <c r="G156" s="105"/>
      <c r="H156" s="12"/>
      <c r="I156" s="12"/>
      <c r="J156" s="12"/>
      <c r="K156" s="12"/>
      <c r="L156" s="12"/>
      <c r="M156" s="12"/>
      <c r="N156" s="46"/>
      <c r="O156" s="45"/>
      <c r="P156" s="45"/>
      <c r="Q156" s="45"/>
      <c r="R156" s="45"/>
      <c r="S156" s="45"/>
      <c r="T156" s="45"/>
      <c r="U156" s="45"/>
      <c r="V156" s="45"/>
      <c r="W156" s="45"/>
      <c r="X156" s="45"/>
    </row>
    <row r="157">
      <c r="A157" s="63" t="s">
        <v>0</v>
      </c>
      <c r="B157" s="43">
        <v>1857.0</v>
      </c>
      <c r="C157" s="43">
        <v>339.3114</v>
      </c>
      <c r="D157" s="12"/>
      <c r="E157" s="12"/>
      <c r="F157" s="12"/>
      <c r="G157" s="36"/>
      <c r="H157" s="12"/>
      <c r="I157" s="12"/>
      <c r="J157" s="12"/>
      <c r="K157" s="12"/>
      <c r="L157" s="12"/>
      <c r="M157" s="12"/>
      <c r="N157" s="46"/>
      <c r="O157" s="45"/>
      <c r="P157" s="45"/>
      <c r="Q157" s="45"/>
      <c r="R157" s="45"/>
      <c r="S157" s="45"/>
      <c r="T157" s="45"/>
      <c r="U157" s="45"/>
      <c r="V157" s="45"/>
      <c r="W157" s="45"/>
      <c r="X157" s="45"/>
    </row>
    <row r="158">
      <c r="A158" s="39" t="s">
        <v>2</v>
      </c>
      <c r="B158" s="43">
        <v>503.0</v>
      </c>
      <c r="C158" s="43">
        <v>1270.45</v>
      </c>
      <c r="D158" s="12"/>
      <c r="E158" s="12"/>
      <c r="F158" s="12"/>
      <c r="G158" s="36"/>
      <c r="H158" s="12"/>
      <c r="I158" s="12"/>
      <c r="J158" s="12"/>
      <c r="K158" s="12"/>
      <c r="L158" s="12"/>
      <c r="M158" s="12"/>
      <c r="N158" s="46"/>
      <c r="O158" s="45"/>
      <c r="P158" s="45"/>
      <c r="Q158" s="45"/>
      <c r="R158" s="45"/>
      <c r="S158" s="45"/>
      <c r="T158" s="45"/>
      <c r="U158" s="45"/>
      <c r="V158" s="45"/>
      <c r="W158" s="45"/>
      <c r="X158" s="45"/>
    </row>
    <row r="159">
      <c r="A159" s="39" t="s">
        <v>7</v>
      </c>
      <c r="B159" s="43">
        <v>154.0</v>
      </c>
      <c r="C159" s="43">
        <v>5290.0</v>
      </c>
      <c r="D159" s="12"/>
      <c r="E159" s="12"/>
      <c r="F159" s="12"/>
      <c r="G159" s="36"/>
      <c r="H159" s="12"/>
      <c r="I159" s="12"/>
      <c r="J159" s="12"/>
      <c r="K159" s="12"/>
      <c r="L159" s="12"/>
      <c r="M159" s="12"/>
      <c r="N159" s="46"/>
      <c r="O159" s="45"/>
      <c r="P159" s="45"/>
      <c r="Q159" s="45"/>
      <c r="R159" s="45"/>
      <c r="S159" s="45"/>
      <c r="T159" s="45"/>
      <c r="U159" s="45"/>
      <c r="V159" s="45"/>
      <c r="W159" s="45"/>
      <c r="X159" s="45"/>
    </row>
    <row r="160">
      <c r="A160" s="63" t="s">
        <v>9</v>
      </c>
      <c r="B160" s="43">
        <v>585.0</v>
      </c>
      <c r="C160" s="43">
        <v>1387.1772</v>
      </c>
      <c r="D160" s="12"/>
      <c r="E160" s="12"/>
      <c r="F160" s="12"/>
      <c r="G160" s="36"/>
      <c r="H160" s="12"/>
      <c r="I160" s="12"/>
      <c r="J160" s="12"/>
      <c r="K160" s="12"/>
      <c r="L160" s="12"/>
      <c r="M160" s="12"/>
      <c r="N160" s="46"/>
      <c r="O160" s="45"/>
      <c r="P160" s="45"/>
      <c r="Q160" s="45"/>
      <c r="R160" s="45"/>
      <c r="S160" s="45"/>
      <c r="T160" s="45"/>
      <c r="U160" s="45"/>
      <c r="V160" s="45"/>
      <c r="W160" s="45"/>
      <c r="X160" s="45"/>
    </row>
    <row r="161">
      <c r="A161" s="39" t="s">
        <v>15</v>
      </c>
      <c r="B161" s="43">
        <v>72.0</v>
      </c>
      <c r="C161" s="43">
        <v>13491.65</v>
      </c>
      <c r="D161" s="12"/>
      <c r="E161" s="12"/>
      <c r="F161" s="12"/>
      <c r="G161" s="36"/>
      <c r="H161" s="12"/>
      <c r="I161" s="12"/>
      <c r="J161" s="12"/>
      <c r="K161" s="12"/>
      <c r="L161" s="12"/>
      <c r="M161" s="12"/>
      <c r="N161" s="46"/>
      <c r="O161" s="45"/>
      <c r="P161" s="45"/>
      <c r="Q161" s="45"/>
      <c r="R161" s="45"/>
      <c r="S161" s="45"/>
      <c r="T161" s="45"/>
      <c r="U161" s="45"/>
      <c r="V161" s="45"/>
      <c r="W161" s="45"/>
      <c r="X161" s="45"/>
    </row>
    <row r="162">
      <c r="A162" s="39" t="s">
        <v>12</v>
      </c>
      <c r="B162" s="43">
        <v>668.0</v>
      </c>
      <c r="C162" s="43">
        <v>914.66</v>
      </c>
      <c r="D162" s="12"/>
      <c r="E162" s="12"/>
      <c r="F162" s="12"/>
      <c r="G162" s="36"/>
      <c r="H162" s="12"/>
      <c r="I162" s="12"/>
      <c r="J162" s="12"/>
      <c r="K162" s="12"/>
      <c r="L162" s="12"/>
      <c r="M162" s="12"/>
      <c r="N162" s="12"/>
    </row>
    <row r="163">
      <c r="A163" s="39" t="s">
        <v>14</v>
      </c>
      <c r="B163" s="43">
        <v>64.0</v>
      </c>
      <c r="C163" s="43">
        <v>13830.74</v>
      </c>
      <c r="D163" s="12"/>
      <c r="E163" s="12"/>
      <c r="F163" s="12"/>
      <c r="G163" s="36"/>
      <c r="H163" s="12"/>
      <c r="I163" s="12"/>
      <c r="J163" s="12"/>
      <c r="K163" s="12"/>
      <c r="L163" s="12"/>
      <c r="M163" s="12"/>
      <c r="N163" s="12"/>
    </row>
    <row r="164">
      <c r="A164" s="39" t="s">
        <v>49</v>
      </c>
      <c r="B164" s="43">
        <v>97.0</v>
      </c>
      <c r="C164" s="43">
        <v>6403.31</v>
      </c>
      <c r="D164" s="12"/>
      <c r="E164" s="12"/>
      <c r="F164" s="12"/>
      <c r="G164" s="36"/>
      <c r="H164" s="12"/>
      <c r="I164" s="12"/>
      <c r="J164" s="12"/>
      <c r="K164" s="12"/>
      <c r="L164" s="12"/>
      <c r="M164" s="12"/>
      <c r="N164" s="12"/>
    </row>
    <row r="165">
      <c r="A165" s="39" t="s">
        <v>46</v>
      </c>
      <c r="B165" s="43">
        <v>215.0</v>
      </c>
      <c r="C165" s="43">
        <v>4078.47</v>
      </c>
      <c r="D165" s="12"/>
      <c r="E165" s="12"/>
      <c r="F165" s="12"/>
      <c r="G165" s="36"/>
      <c r="H165" s="12"/>
      <c r="I165" s="12"/>
      <c r="J165" s="12"/>
      <c r="K165" s="12"/>
      <c r="L165" s="12"/>
      <c r="M165" s="12"/>
      <c r="N165" s="12"/>
    </row>
    <row r="166">
      <c r="A166" s="39" t="s">
        <v>63</v>
      </c>
      <c r="B166" s="43">
        <v>1149.0</v>
      </c>
      <c r="C166" s="43">
        <v>574.91</v>
      </c>
      <c r="D166" s="12"/>
      <c r="E166" s="12"/>
      <c r="F166" s="12"/>
      <c r="G166" s="36"/>
      <c r="H166" s="12"/>
      <c r="I166" s="12"/>
      <c r="J166" s="12"/>
      <c r="K166" s="12"/>
      <c r="L166" s="12"/>
      <c r="M166" s="12"/>
      <c r="N166" s="12"/>
    </row>
    <row r="167">
      <c r="A167" s="39" t="s">
        <v>56</v>
      </c>
      <c r="B167" s="43">
        <v>787.0</v>
      </c>
      <c r="C167" s="43">
        <v>1120.46</v>
      </c>
      <c r="D167" s="12"/>
      <c r="E167" s="12"/>
      <c r="F167" s="12"/>
      <c r="G167" s="36"/>
      <c r="H167" s="12"/>
      <c r="I167" s="12"/>
      <c r="J167" s="12"/>
      <c r="K167" s="12"/>
      <c r="L167" s="12"/>
      <c r="M167" s="12"/>
      <c r="N167" s="12"/>
    </row>
    <row r="168">
      <c r="A168" s="39" t="s">
        <v>66</v>
      </c>
      <c r="B168" s="43">
        <v>244.0</v>
      </c>
      <c r="C168" s="43">
        <v>2817.8</v>
      </c>
      <c r="D168" s="12"/>
      <c r="E168" s="12"/>
      <c r="F168" s="12"/>
      <c r="G168" s="36"/>
      <c r="H168" s="12"/>
      <c r="I168" s="12"/>
      <c r="J168" s="12"/>
      <c r="K168" s="12"/>
      <c r="L168" s="12"/>
      <c r="M168" s="12"/>
      <c r="N168" s="12"/>
    </row>
    <row r="169">
      <c r="A169" s="39" t="s">
        <v>55</v>
      </c>
      <c r="B169" s="43">
        <v>959.0</v>
      </c>
      <c r="C169" s="43">
        <v>630.67</v>
      </c>
      <c r="D169" s="12"/>
      <c r="E169" s="12"/>
      <c r="F169" s="12"/>
      <c r="G169" s="36"/>
      <c r="H169" s="12"/>
      <c r="I169" s="12"/>
      <c r="J169" s="12"/>
      <c r="K169" s="12"/>
      <c r="L169" s="12"/>
      <c r="M169" s="12"/>
      <c r="N169" s="12"/>
      <c r="R169" s="98"/>
    </row>
    <row r="170">
      <c r="A170" s="39" t="s">
        <v>69</v>
      </c>
      <c r="B170" s="43">
        <v>2033.0</v>
      </c>
      <c r="C170" s="43">
        <v>349.73</v>
      </c>
      <c r="D170" s="12"/>
      <c r="E170" s="12"/>
      <c r="F170" s="12"/>
      <c r="G170" s="36"/>
      <c r="H170" s="12"/>
      <c r="I170" s="12"/>
      <c r="J170" s="12"/>
      <c r="K170" s="12"/>
      <c r="L170" s="12"/>
      <c r="M170" s="12"/>
      <c r="R170" s="98"/>
    </row>
    <row r="171">
      <c r="A171" s="39" t="s">
        <v>60</v>
      </c>
      <c r="B171" s="43">
        <v>544.0</v>
      </c>
      <c r="C171" s="43">
        <v>1369.28</v>
      </c>
      <c r="D171" s="12"/>
      <c r="E171" s="12"/>
      <c r="F171" s="12"/>
      <c r="G171" s="36"/>
      <c r="H171" s="12"/>
      <c r="I171" s="12"/>
      <c r="J171" s="12"/>
      <c r="K171" s="12"/>
      <c r="L171" s="12"/>
      <c r="M171" s="12"/>
      <c r="R171" s="98"/>
    </row>
    <row r="172">
      <c r="A172" s="39" t="s">
        <v>70</v>
      </c>
      <c r="B172" s="43">
        <v>422.0</v>
      </c>
      <c r="C172" s="43">
        <v>1679.96</v>
      </c>
      <c r="D172" s="12"/>
      <c r="E172" s="12"/>
      <c r="F172" s="12"/>
      <c r="G172" s="36"/>
      <c r="H172" s="12"/>
      <c r="I172" s="12"/>
      <c r="J172" s="12"/>
      <c r="K172" s="12"/>
      <c r="L172" s="12"/>
      <c r="M172" s="12"/>
      <c r="R172" s="98"/>
    </row>
    <row r="173">
      <c r="A173" s="39" t="s">
        <v>68</v>
      </c>
      <c r="B173" s="43">
        <v>545.0</v>
      </c>
      <c r="C173" s="43">
        <v>1167.01</v>
      </c>
      <c r="D173" s="12"/>
      <c r="E173" s="12"/>
      <c r="F173" s="12"/>
      <c r="G173" s="36"/>
      <c r="H173" s="12"/>
      <c r="I173" s="12"/>
      <c r="J173" s="12"/>
      <c r="K173" s="12"/>
      <c r="L173" s="12"/>
      <c r="M173" s="12"/>
      <c r="R173" s="98"/>
    </row>
    <row r="174">
      <c r="A174" s="39" t="s">
        <v>72</v>
      </c>
      <c r="B174" s="43">
        <v>473.0</v>
      </c>
      <c r="C174" s="43">
        <v>2325.86</v>
      </c>
      <c r="D174" s="12"/>
      <c r="E174" s="12"/>
      <c r="F174" s="12"/>
      <c r="G174" s="36"/>
      <c r="H174" s="12"/>
      <c r="I174" s="12"/>
      <c r="J174" s="12"/>
      <c r="K174" s="12"/>
      <c r="L174" s="12"/>
      <c r="M174" s="12"/>
      <c r="R174" s="98"/>
    </row>
    <row r="175">
      <c r="A175" s="39" t="s">
        <v>75</v>
      </c>
      <c r="B175" s="43">
        <v>1094.0</v>
      </c>
      <c r="C175" s="43">
        <v>671.48</v>
      </c>
      <c r="D175" s="12"/>
      <c r="E175" s="12"/>
      <c r="F175" s="12"/>
      <c r="G175" s="36"/>
      <c r="H175" s="12"/>
      <c r="I175" s="12"/>
      <c r="J175" s="12"/>
      <c r="K175" s="12"/>
      <c r="L175" s="12"/>
      <c r="M175" s="12"/>
      <c r="R175" s="98"/>
    </row>
    <row r="176">
      <c r="A176" s="39" t="s">
        <v>77</v>
      </c>
      <c r="B176" s="43">
        <v>1390.0</v>
      </c>
      <c r="C176" s="43">
        <v>448.79</v>
      </c>
      <c r="D176" s="12"/>
      <c r="E176" s="12"/>
      <c r="F176" s="12"/>
      <c r="G176" s="36"/>
      <c r="H176" s="12"/>
      <c r="I176" s="12"/>
      <c r="J176" s="12"/>
      <c r="K176" s="12"/>
      <c r="L176" s="12"/>
      <c r="M176" s="12"/>
      <c r="R176" s="98"/>
    </row>
    <row r="177">
      <c r="A177" s="63" t="s">
        <v>10</v>
      </c>
      <c r="B177" s="106">
        <v>10.0</v>
      </c>
      <c r="C177" s="43">
        <v>151.9669</v>
      </c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R177" s="98"/>
    </row>
    <row r="178">
      <c r="D178" s="11"/>
      <c r="E178" s="11"/>
      <c r="F178" s="11"/>
      <c r="G178" s="11"/>
      <c r="H178" s="105"/>
      <c r="I178" s="11"/>
      <c r="J178" s="12"/>
      <c r="K178" s="12"/>
      <c r="R178" s="98"/>
    </row>
    <row r="179">
      <c r="A179" s="38">
        <v>45632.0</v>
      </c>
      <c r="B179" s="39" t="s">
        <v>300</v>
      </c>
      <c r="C179" s="62" t="s">
        <v>301</v>
      </c>
      <c r="D179" s="107"/>
      <c r="E179" s="107"/>
      <c r="F179" s="107"/>
      <c r="G179" s="107"/>
      <c r="H179" s="108"/>
      <c r="I179" s="46"/>
      <c r="J179" s="46"/>
      <c r="K179" s="46"/>
      <c r="L179" s="109"/>
      <c r="M179" s="45"/>
      <c r="R179" s="98"/>
    </row>
    <row r="180">
      <c r="A180" s="63" t="s">
        <v>4</v>
      </c>
      <c r="B180" s="110">
        <v>123.0</v>
      </c>
      <c r="C180" s="43">
        <v>6990.5</v>
      </c>
      <c r="J180" s="12"/>
      <c r="K180" s="12"/>
      <c r="L180" s="12"/>
      <c r="M180" s="12"/>
      <c r="R180" s="98"/>
    </row>
    <row r="181">
      <c r="A181" s="63" t="s">
        <v>5</v>
      </c>
      <c r="B181" s="110">
        <v>4107.0</v>
      </c>
      <c r="C181" s="43">
        <v>246.38</v>
      </c>
      <c r="J181" s="12"/>
      <c r="K181" s="12"/>
      <c r="L181" s="12"/>
      <c r="M181" s="12"/>
      <c r="R181" s="98"/>
    </row>
    <row r="182">
      <c r="A182" s="63" t="s">
        <v>7</v>
      </c>
      <c r="B182" s="110">
        <v>201.0</v>
      </c>
      <c r="C182" s="43">
        <v>5635.0</v>
      </c>
      <c r="J182" s="12"/>
      <c r="K182" s="12"/>
      <c r="L182" s="12"/>
      <c r="M182" s="12"/>
      <c r="R182" s="98"/>
    </row>
    <row r="183">
      <c r="A183" s="63" t="s">
        <v>8</v>
      </c>
      <c r="B183" s="110">
        <v>92.0</v>
      </c>
      <c r="C183" s="43">
        <v>12677.1</v>
      </c>
      <c r="J183" s="12"/>
      <c r="K183" s="12"/>
      <c r="L183" s="12"/>
      <c r="M183" s="12"/>
      <c r="N183" s="12"/>
      <c r="O183" s="12"/>
      <c r="P183" s="12"/>
      <c r="Q183" s="12"/>
      <c r="R183" s="36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</row>
    <row r="184">
      <c r="A184" s="63" t="s">
        <v>9</v>
      </c>
      <c r="B184" s="110">
        <v>800.0</v>
      </c>
      <c r="C184" s="43">
        <v>1900.0</v>
      </c>
      <c r="J184" s="12"/>
      <c r="K184" s="12"/>
      <c r="L184" s="12"/>
      <c r="M184" s="12"/>
      <c r="N184" s="12"/>
      <c r="O184" s="12"/>
      <c r="P184" s="12"/>
      <c r="Q184" s="12"/>
      <c r="R184" s="36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</row>
    <row r="185">
      <c r="A185" s="63" t="s">
        <v>10</v>
      </c>
      <c r="B185" s="110">
        <v>5613.0</v>
      </c>
      <c r="C185" s="43">
        <v>221.0</v>
      </c>
      <c r="J185" s="12"/>
      <c r="K185" s="12"/>
      <c r="L185" s="12"/>
      <c r="M185" s="12"/>
      <c r="N185" s="12"/>
      <c r="O185" s="12"/>
      <c r="P185" s="12"/>
      <c r="Q185" s="12"/>
      <c r="R185" s="36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</row>
    <row r="186">
      <c r="A186" s="63" t="s">
        <v>11</v>
      </c>
      <c r="B186" s="110">
        <v>409.0</v>
      </c>
      <c r="C186" s="43">
        <v>2920.0</v>
      </c>
      <c r="J186" s="12"/>
      <c r="K186" s="12"/>
      <c r="L186" s="12"/>
      <c r="M186" s="12"/>
      <c r="N186" s="12"/>
      <c r="O186" s="12"/>
      <c r="P186" s="12"/>
      <c r="Q186" s="12"/>
      <c r="R186" s="36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</row>
    <row r="187">
      <c r="A187" s="63" t="s">
        <v>12</v>
      </c>
      <c r="B187" s="110">
        <v>791.0</v>
      </c>
      <c r="C187" s="43">
        <v>1220.0</v>
      </c>
      <c r="J187" s="12"/>
      <c r="K187" s="12"/>
      <c r="L187" s="12"/>
      <c r="M187" s="12"/>
      <c r="N187" s="12"/>
      <c r="O187" s="12"/>
      <c r="P187" s="12"/>
      <c r="Q187" s="12"/>
      <c r="R187" s="36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</row>
    <row r="188">
      <c r="A188" s="63" t="s">
        <v>14</v>
      </c>
      <c r="B188" s="110">
        <v>56.0</v>
      </c>
      <c r="C188" s="43">
        <v>17330.0</v>
      </c>
      <c r="J188" s="12"/>
      <c r="K188" s="12"/>
      <c r="L188" s="12"/>
      <c r="M188" s="12"/>
      <c r="N188" s="12"/>
      <c r="O188" s="12"/>
      <c r="P188" s="12"/>
      <c r="Q188" s="12"/>
      <c r="R188" s="36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</row>
    <row r="189">
      <c r="A189" s="63" t="s">
        <v>15</v>
      </c>
      <c r="B189" s="110">
        <v>79.0</v>
      </c>
      <c r="C189" s="43">
        <v>11921.82</v>
      </c>
      <c r="J189" s="12"/>
      <c r="K189" s="12"/>
      <c r="L189" s="12"/>
      <c r="M189" s="12"/>
      <c r="N189" s="12"/>
      <c r="O189" s="12"/>
      <c r="P189" s="12"/>
      <c r="Q189" s="12"/>
      <c r="R189" s="36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</row>
    <row r="190">
      <c r="A190" s="63" t="s">
        <v>16</v>
      </c>
      <c r="B190" s="110">
        <v>145.0</v>
      </c>
      <c r="C190" s="43">
        <v>6281.9</v>
      </c>
      <c r="J190" s="12"/>
      <c r="K190" s="12"/>
      <c r="L190" s="12"/>
      <c r="M190" s="12"/>
      <c r="N190" s="12"/>
      <c r="O190" s="12"/>
      <c r="P190" s="12"/>
      <c r="Q190" s="12"/>
      <c r="R190" s="36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</row>
    <row r="191">
      <c r="A191" s="63" t="s">
        <v>19</v>
      </c>
      <c r="B191" s="110">
        <v>13843.0</v>
      </c>
      <c r="C191" s="43">
        <v>66.96</v>
      </c>
      <c r="J191" s="12"/>
      <c r="K191" s="12"/>
      <c r="L191" s="12"/>
      <c r="M191" s="12"/>
      <c r="N191" s="12"/>
      <c r="O191" s="12"/>
      <c r="P191" s="12"/>
      <c r="Q191" s="12"/>
      <c r="R191" s="36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</row>
    <row r="192">
      <c r="A192" s="63" t="s">
        <v>22</v>
      </c>
      <c r="B192" s="110">
        <v>1230.0</v>
      </c>
      <c r="C192" s="43">
        <v>735.0</v>
      </c>
      <c r="J192" s="12"/>
      <c r="K192" s="12"/>
      <c r="L192" s="12"/>
      <c r="M192" s="12"/>
      <c r="N192" s="12"/>
      <c r="O192" s="12"/>
      <c r="P192" s="12"/>
      <c r="Q192" s="12"/>
      <c r="R192" s="36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</row>
    <row r="193">
      <c r="A193" s="63" t="s">
        <v>24</v>
      </c>
      <c r="B193" s="110">
        <v>2916.0</v>
      </c>
      <c r="C193" s="43">
        <v>301.4</v>
      </c>
      <c r="J193" s="12"/>
      <c r="K193" s="12"/>
      <c r="L193" s="12"/>
      <c r="M193" s="12"/>
      <c r="N193" s="12"/>
      <c r="O193" s="12"/>
      <c r="P193" s="12"/>
      <c r="Q193" s="12"/>
      <c r="R193" s="36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</row>
    <row r="194">
      <c r="A194" s="63" t="s">
        <v>28</v>
      </c>
      <c r="B194" s="110">
        <v>3412.0</v>
      </c>
      <c r="C194" s="43">
        <v>251.83</v>
      </c>
      <c r="J194" s="12"/>
      <c r="K194" s="12"/>
      <c r="L194" s="12"/>
      <c r="M194" s="12"/>
      <c r="N194" s="12"/>
      <c r="O194" s="12"/>
      <c r="P194" s="12"/>
      <c r="Q194" s="12"/>
      <c r="R194" s="36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</row>
    <row r="195">
      <c r="A195" s="63" t="s">
        <v>31</v>
      </c>
      <c r="B195" s="110">
        <v>1024.0</v>
      </c>
      <c r="C195" s="43">
        <v>826.45</v>
      </c>
      <c r="J195" s="12"/>
      <c r="K195" s="12"/>
      <c r="L195" s="12"/>
      <c r="M195" s="12"/>
      <c r="N195" s="12"/>
      <c r="O195" s="12"/>
      <c r="P195" s="12"/>
      <c r="Q195" s="12"/>
      <c r="R195" s="36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</row>
    <row r="196">
      <c r="A196" s="63" t="s">
        <v>33</v>
      </c>
      <c r="B196" s="110">
        <v>425.0</v>
      </c>
      <c r="C196" s="43">
        <v>2092.68</v>
      </c>
      <c r="J196" s="12"/>
      <c r="K196" s="12"/>
      <c r="L196" s="12"/>
      <c r="M196" s="12"/>
      <c r="N196" s="12"/>
      <c r="O196" s="12"/>
      <c r="P196" s="12"/>
      <c r="Q196" s="12"/>
      <c r="R196" s="36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</row>
    <row r="197">
      <c r="J197" s="12"/>
      <c r="K197" s="12"/>
      <c r="L197" s="12"/>
      <c r="M197" s="12"/>
      <c r="N197" s="12"/>
      <c r="O197" s="12"/>
      <c r="P197" s="12"/>
      <c r="Q197" s="12"/>
      <c r="R197" s="36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</row>
    <row r="198">
      <c r="A198" s="38">
        <v>45538.0</v>
      </c>
      <c r="B198" s="39" t="s">
        <v>307</v>
      </c>
      <c r="C198" s="39" t="s">
        <v>308</v>
      </c>
      <c r="J198" s="12"/>
      <c r="K198" s="12"/>
      <c r="L198" s="12"/>
      <c r="M198" s="12"/>
      <c r="N198" s="12"/>
      <c r="O198" s="12"/>
      <c r="P198" s="12"/>
      <c r="Q198" s="12"/>
      <c r="R198" s="36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</row>
    <row r="199">
      <c r="A199" s="111" t="s">
        <v>89</v>
      </c>
      <c r="B199" s="112">
        <v>1581.0</v>
      </c>
      <c r="C199" s="112">
        <v>727.7</v>
      </c>
      <c r="J199" s="12"/>
      <c r="K199" s="12"/>
      <c r="L199" s="12"/>
      <c r="M199" s="12"/>
      <c r="N199" s="12"/>
      <c r="O199" s="12"/>
      <c r="P199" s="12"/>
      <c r="Q199" s="12"/>
      <c r="R199" s="36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</row>
    <row r="200">
      <c r="A200" s="111" t="s">
        <v>406</v>
      </c>
      <c r="B200" s="112">
        <v>1172.0</v>
      </c>
      <c r="C200" s="112">
        <v>920.93</v>
      </c>
      <c r="J200" s="12"/>
      <c r="K200" s="12"/>
      <c r="L200" s="12"/>
      <c r="M200" s="12"/>
      <c r="N200" s="12"/>
      <c r="O200" s="12"/>
      <c r="P200" s="12"/>
      <c r="Q200" s="12"/>
      <c r="R200" s="36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</row>
    <row r="201">
      <c r="A201" s="111" t="s">
        <v>407</v>
      </c>
      <c r="B201" s="112">
        <v>145.0</v>
      </c>
      <c r="C201" s="112">
        <v>7273.8</v>
      </c>
      <c r="J201" s="12"/>
      <c r="K201" s="12"/>
      <c r="L201" s="12"/>
      <c r="M201" s="12"/>
      <c r="N201" s="12"/>
      <c r="O201" s="12"/>
      <c r="P201" s="12"/>
      <c r="Q201" s="12"/>
      <c r="R201" s="36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</row>
    <row r="202">
      <c r="A202" s="111" t="s">
        <v>408</v>
      </c>
      <c r="B202" s="112">
        <v>5802.0</v>
      </c>
      <c r="C202" s="112">
        <v>177.27</v>
      </c>
      <c r="J202" s="12"/>
      <c r="K202" s="12"/>
      <c r="L202" s="12"/>
      <c r="M202" s="12"/>
      <c r="N202" s="12"/>
      <c r="O202" s="12"/>
      <c r="P202" s="12"/>
      <c r="Q202" s="12"/>
      <c r="R202" s="36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</row>
    <row r="203">
      <c r="A203" s="111" t="s">
        <v>409</v>
      </c>
      <c r="B203" s="112">
        <v>5437.0</v>
      </c>
      <c r="C203" s="112">
        <v>188.14</v>
      </c>
      <c r="J203" s="12"/>
      <c r="K203" s="12"/>
      <c r="L203" s="12"/>
      <c r="M203" s="12"/>
      <c r="N203" s="12"/>
      <c r="O203" s="12"/>
      <c r="P203" s="12"/>
      <c r="Q203" s="12"/>
      <c r="R203" s="36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</row>
    <row r="204">
      <c r="A204" s="111" t="s">
        <v>46</v>
      </c>
      <c r="B204" s="112">
        <v>340.0</v>
      </c>
      <c r="C204" s="112">
        <v>2770.2</v>
      </c>
      <c r="J204" s="12"/>
      <c r="K204" s="12"/>
      <c r="L204" s="12"/>
      <c r="M204" s="12"/>
      <c r="N204" s="12"/>
      <c r="O204" s="12"/>
      <c r="P204" s="12"/>
      <c r="Q204" s="12"/>
      <c r="R204" s="36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</row>
    <row r="205">
      <c r="A205" s="111" t="s">
        <v>410</v>
      </c>
      <c r="B205" s="112">
        <v>12283.0</v>
      </c>
      <c r="C205" s="112">
        <v>73.13</v>
      </c>
      <c r="J205" s="12"/>
      <c r="K205" s="12"/>
      <c r="L205" s="12"/>
      <c r="M205" s="12"/>
      <c r="N205" s="12"/>
      <c r="O205" s="12"/>
      <c r="P205" s="12"/>
      <c r="Q205" s="12"/>
      <c r="R205" s="36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</row>
    <row r="206">
      <c r="A206" s="111" t="s">
        <v>34</v>
      </c>
      <c r="B206" s="112">
        <v>234.0</v>
      </c>
      <c r="C206" s="112">
        <v>3830.44</v>
      </c>
      <c r="J206" s="12"/>
      <c r="K206" s="12"/>
      <c r="L206" s="12"/>
      <c r="M206" s="12"/>
      <c r="N206" s="12"/>
      <c r="O206" s="12"/>
      <c r="P206" s="12"/>
      <c r="Q206" s="12"/>
      <c r="R206" s="36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</row>
    <row r="207">
      <c r="A207" s="111" t="s">
        <v>181</v>
      </c>
      <c r="B207" s="112">
        <v>1807.0</v>
      </c>
      <c r="C207" s="112">
        <v>494.48</v>
      </c>
      <c r="J207" s="12"/>
      <c r="K207" s="12"/>
      <c r="L207" s="12"/>
      <c r="M207" s="12"/>
      <c r="N207" s="12"/>
      <c r="O207" s="12"/>
      <c r="P207" s="12"/>
      <c r="Q207" s="12"/>
      <c r="R207" s="36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</row>
    <row r="208">
      <c r="A208" s="111" t="s">
        <v>86</v>
      </c>
      <c r="B208" s="112">
        <v>168.0</v>
      </c>
      <c r="C208" s="113">
        <v>5136.89</v>
      </c>
      <c r="J208" s="12"/>
      <c r="K208" s="12"/>
      <c r="L208" s="12"/>
      <c r="M208" s="12"/>
      <c r="N208" s="12"/>
      <c r="O208" s="12"/>
      <c r="P208" s="12"/>
      <c r="Q208" s="12"/>
      <c r="R208" s="36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</row>
    <row r="209">
      <c r="A209" s="111" t="s">
        <v>412</v>
      </c>
      <c r="B209" s="112">
        <v>1369.0</v>
      </c>
      <c r="C209" s="112">
        <v>629.25</v>
      </c>
      <c r="J209" s="12"/>
      <c r="K209" s="12"/>
      <c r="L209" s="12"/>
      <c r="M209" s="12"/>
      <c r="N209" s="12"/>
      <c r="O209" s="12"/>
      <c r="P209" s="12"/>
      <c r="Q209" s="12"/>
      <c r="R209" s="36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</row>
    <row r="210">
      <c r="A210" s="111" t="s">
        <v>413</v>
      </c>
      <c r="B210" s="112">
        <v>473.0</v>
      </c>
      <c r="C210" s="112">
        <v>1808.94</v>
      </c>
      <c r="J210" s="12"/>
      <c r="K210" s="12"/>
      <c r="L210" s="12"/>
      <c r="M210" s="12"/>
      <c r="N210" s="12"/>
      <c r="O210" s="12"/>
      <c r="P210" s="12"/>
      <c r="Q210" s="12"/>
      <c r="R210" s="36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</row>
    <row r="211">
      <c r="A211" s="111" t="s">
        <v>414</v>
      </c>
      <c r="B211" s="112">
        <v>475.0</v>
      </c>
      <c r="C211" s="112">
        <v>1699.99</v>
      </c>
      <c r="J211" s="12"/>
      <c r="K211" s="12"/>
      <c r="L211" s="12"/>
      <c r="M211" s="12"/>
      <c r="N211" s="12"/>
      <c r="O211" s="12"/>
      <c r="P211" s="12"/>
      <c r="Q211" s="12"/>
      <c r="R211" s="36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</row>
    <row r="212">
      <c r="A212" s="63" t="s">
        <v>0</v>
      </c>
      <c r="B212" s="43">
        <v>2205.0</v>
      </c>
      <c r="C212" s="43">
        <v>596.85</v>
      </c>
      <c r="J212" s="12"/>
      <c r="K212" s="12"/>
      <c r="L212" s="12"/>
      <c r="M212" s="12"/>
      <c r="N212" s="12"/>
      <c r="O212" s="12"/>
      <c r="P212" s="12"/>
      <c r="Q212" s="12"/>
      <c r="R212" s="36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</row>
    <row r="213">
      <c r="A213" s="63" t="s">
        <v>2</v>
      </c>
      <c r="B213" s="43">
        <v>703.0</v>
      </c>
      <c r="C213" s="43">
        <v>1833.95</v>
      </c>
      <c r="J213" s="12"/>
      <c r="K213" s="12"/>
      <c r="L213" s="12"/>
      <c r="M213" s="12"/>
      <c r="N213" s="12"/>
      <c r="O213" s="12"/>
      <c r="P213" s="12"/>
      <c r="Q213" s="12"/>
      <c r="R213" s="36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</row>
    <row r="214">
      <c r="A214" s="63" t="s">
        <v>3</v>
      </c>
      <c r="B214" s="43">
        <v>5397.0</v>
      </c>
      <c r="C214" s="43">
        <v>219.44</v>
      </c>
      <c r="J214" s="12"/>
      <c r="K214" s="12"/>
      <c r="L214" s="12"/>
      <c r="M214" s="12"/>
      <c r="N214" s="12"/>
      <c r="O214" s="12"/>
      <c r="P214" s="12"/>
      <c r="Q214" s="12"/>
      <c r="R214" s="36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</row>
    <row r="215">
      <c r="A215" s="63" t="s">
        <v>4</v>
      </c>
      <c r="B215" s="43">
        <v>146.0</v>
      </c>
      <c r="C215" s="43">
        <v>7139.95</v>
      </c>
      <c r="J215" s="12"/>
      <c r="K215" s="12"/>
      <c r="L215" s="12"/>
      <c r="M215" s="12"/>
      <c r="N215" s="12"/>
      <c r="O215" s="12"/>
      <c r="P215" s="12"/>
      <c r="Q215" s="12"/>
      <c r="R215" s="36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</row>
    <row r="216">
      <c r="A216" s="63" t="s">
        <v>5</v>
      </c>
      <c r="B216" s="43">
        <v>3708.0</v>
      </c>
      <c r="C216" s="43">
        <v>274.7</v>
      </c>
      <c r="J216" s="12"/>
      <c r="K216" s="12"/>
      <c r="L216" s="12"/>
      <c r="M216" s="12"/>
      <c r="N216" s="12"/>
      <c r="O216" s="12"/>
      <c r="P216" s="12"/>
      <c r="Q216" s="12"/>
      <c r="R216" s="36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</row>
    <row r="217">
      <c r="A217" s="63" t="s">
        <v>7</v>
      </c>
      <c r="B217" s="43">
        <v>147.0</v>
      </c>
      <c r="C217" s="43">
        <v>6598.9</v>
      </c>
      <c r="J217" s="12"/>
      <c r="K217" s="12"/>
      <c r="L217" s="12"/>
      <c r="M217" s="12"/>
      <c r="N217" s="12"/>
      <c r="O217" s="12"/>
      <c r="P217" s="12"/>
      <c r="Q217" s="12"/>
      <c r="R217" s="36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</row>
    <row r="218">
      <c r="A218" s="63" t="s">
        <v>8</v>
      </c>
      <c r="B218" s="43">
        <v>76.0</v>
      </c>
      <c r="C218" s="43">
        <v>10913.93</v>
      </c>
      <c r="J218" s="12"/>
      <c r="K218" s="12"/>
      <c r="L218" s="12"/>
      <c r="M218" s="12"/>
      <c r="N218" s="12"/>
      <c r="O218" s="12"/>
      <c r="P218" s="12"/>
      <c r="Q218" s="12"/>
      <c r="R218" s="36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</row>
    <row r="219">
      <c r="N219" s="12"/>
      <c r="O219" s="12"/>
      <c r="P219" s="12"/>
      <c r="Q219" s="12"/>
      <c r="R219" s="36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</row>
    <row r="220">
      <c r="N220" s="12"/>
      <c r="O220" s="12"/>
      <c r="P220" s="12"/>
      <c r="Q220" s="12"/>
      <c r="R220" s="36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</row>
    <row r="221">
      <c r="A221" s="1" t="s">
        <v>193</v>
      </c>
      <c r="B221" s="1" t="s">
        <v>214</v>
      </c>
      <c r="C221" s="1" t="s">
        <v>415</v>
      </c>
      <c r="D221" s="1" t="s">
        <v>49</v>
      </c>
      <c r="E221" s="1" t="s">
        <v>416</v>
      </c>
      <c r="F221" s="17">
        <v>79.0</v>
      </c>
      <c r="N221" s="12"/>
      <c r="O221" s="12"/>
      <c r="P221" s="12"/>
      <c r="Q221" s="12"/>
      <c r="R221" s="36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</row>
    <row r="222">
      <c r="A222" s="1" t="s">
        <v>193</v>
      </c>
      <c r="B222" s="1" t="s">
        <v>214</v>
      </c>
      <c r="C222" s="1" t="s">
        <v>417</v>
      </c>
      <c r="D222" s="1" t="s">
        <v>341</v>
      </c>
      <c r="E222" s="1" t="s">
        <v>418</v>
      </c>
      <c r="F222" s="17">
        <v>259.0</v>
      </c>
      <c r="N222" s="12"/>
      <c r="O222" s="12"/>
      <c r="P222" s="12"/>
      <c r="Q222" s="12"/>
      <c r="R222" s="36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</row>
    <row r="223">
      <c r="A223" s="1" t="s">
        <v>193</v>
      </c>
      <c r="B223" s="1" t="s">
        <v>214</v>
      </c>
      <c r="C223" s="1" t="s">
        <v>229</v>
      </c>
      <c r="D223" s="1" t="s">
        <v>46</v>
      </c>
      <c r="E223" s="1" t="s">
        <v>230</v>
      </c>
      <c r="F223" s="17">
        <v>381.0</v>
      </c>
      <c r="N223" s="12"/>
      <c r="O223" s="12"/>
      <c r="P223" s="12"/>
      <c r="Q223" s="12"/>
      <c r="R223" s="36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</row>
    <row r="224">
      <c r="A224" s="1" t="s">
        <v>193</v>
      </c>
      <c r="B224" s="1" t="s">
        <v>214</v>
      </c>
      <c r="C224" s="1" t="s">
        <v>419</v>
      </c>
      <c r="D224" s="1" t="s">
        <v>344</v>
      </c>
      <c r="E224" s="1" t="s">
        <v>420</v>
      </c>
      <c r="F224" s="17">
        <v>262.0</v>
      </c>
      <c r="N224" s="12"/>
      <c r="O224" s="12"/>
      <c r="P224" s="12"/>
      <c r="Q224" s="12"/>
      <c r="R224" s="36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</row>
    <row r="225">
      <c r="A225" s="1" t="s">
        <v>193</v>
      </c>
      <c r="B225" s="1" t="s">
        <v>214</v>
      </c>
      <c r="C225" s="1" t="s">
        <v>130</v>
      </c>
      <c r="D225" s="1" t="s">
        <v>56</v>
      </c>
      <c r="E225" s="1" t="s">
        <v>132</v>
      </c>
      <c r="F225" s="17">
        <v>326.0</v>
      </c>
      <c r="N225" s="12"/>
      <c r="O225" s="12"/>
      <c r="P225" s="12"/>
      <c r="Q225" s="12"/>
      <c r="R225" s="36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</row>
    <row r="226">
      <c r="A226" s="1" t="s">
        <v>193</v>
      </c>
      <c r="B226" s="1" t="s">
        <v>214</v>
      </c>
      <c r="C226" s="1" t="s">
        <v>421</v>
      </c>
      <c r="D226" s="1" t="s">
        <v>7</v>
      </c>
      <c r="E226" s="1" t="s">
        <v>422</v>
      </c>
      <c r="F226" s="17">
        <v>213.0</v>
      </c>
      <c r="N226" s="12"/>
      <c r="O226" s="12"/>
      <c r="P226" s="12"/>
      <c r="Q226" s="12"/>
      <c r="R226" s="36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</row>
    <row r="227">
      <c r="A227" s="1" t="s">
        <v>193</v>
      </c>
      <c r="B227" s="1" t="s">
        <v>214</v>
      </c>
      <c r="C227" s="1" t="s">
        <v>318</v>
      </c>
      <c r="D227" s="1" t="s">
        <v>60</v>
      </c>
      <c r="E227" s="1" t="s">
        <v>319</v>
      </c>
      <c r="F227" s="17">
        <v>229.0</v>
      </c>
      <c r="N227" s="12"/>
      <c r="O227" s="12"/>
      <c r="P227" s="12"/>
      <c r="Q227" s="12"/>
      <c r="R227" s="36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</row>
    <row r="228">
      <c r="A228" s="1" t="s">
        <v>193</v>
      </c>
      <c r="B228" s="1" t="s">
        <v>214</v>
      </c>
      <c r="C228" s="1" t="s">
        <v>423</v>
      </c>
      <c r="D228" s="1" t="s">
        <v>179</v>
      </c>
      <c r="E228" s="1" t="s">
        <v>424</v>
      </c>
      <c r="F228" s="17">
        <v>3538.0</v>
      </c>
      <c r="N228" s="12"/>
      <c r="O228" s="12"/>
      <c r="P228" s="12"/>
      <c r="Q228" s="12"/>
      <c r="R228" s="36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</row>
    <row r="229">
      <c r="A229" s="1" t="s">
        <v>193</v>
      </c>
      <c r="B229" s="1" t="s">
        <v>214</v>
      </c>
      <c r="C229" s="1" t="s">
        <v>425</v>
      </c>
      <c r="D229" s="1" t="s">
        <v>346</v>
      </c>
      <c r="E229" s="1" t="s">
        <v>426</v>
      </c>
      <c r="F229" s="17">
        <v>50.0</v>
      </c>
      <c r="N229" s="12"/>
      <c r="O229" s="12"/>
      <c r="P229" s="12"/>
      <c r="Q229" s="12"/>
      <c r="R229" s="36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</row>
    <row r="230">
      <c r="A230" s="1" t="s">
        <v>193</v>
      </c>
      <c r="B230" s="1" t="s">
        <v>214</v>
      </c>
      <c r="C230" s="1" t="s">
        <v>427</v>
      </c>
      <c r="D230" s="1" t="s">
        <v>347</v>
      </c>
      <c r="E230" s="1" t="s">
        <v>428</v>
      </c>
      <c r="F230" s="17">
        <v>606.0</v>
      </c>
      <c r="N230" s="12"/>
      <c r="O230" s="12"/>
      <c r="P230" s="12"/>
      <c r="Q230" s="12"/>
      <c r="R230" s="36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</row>
    <row r="231">
      <c r="A231" s="1" t="s">
        <v>193</v>
      </c>
      <c r="B231" s="1" t="s">
        <v>214</v>
      </c>
      <c r="C231" s="1" t="s">
        <v>149</v>
      </c>
      <c r="D231" s="1" t="s">
        <v>68</v>
      </c>
      <c r="E231" s="1" t="s">
        <v>150</v>
      </c>
      <c r="F231" s="17">
        <v>437.0</v>
      </c>
      <c r="N231" s="12"/>
      <c r="O231" s="12"/>
      <c r="P231" s="12"/>
      <c r="Q231" s="12"/>
      <c r="R231" s="36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</row>
    <row r="232">
      <c r="A232" s="1" t="s">
        <v>193</v>
      </c>
      <c r="B232" s="1" t="s">
        <v>214</v>
      </c>
      <c r="C232" s="1" t="s">
        <v>429</v>
      </c>
      <c r="D232" s="1" t="s">
        <v>72</v>
      </c>
      <c r="E232" s="1" t="s">
        <v>430</v>
      </c>
      <c r="F232" s="17">
        <v>169.0</v>
      </c>
      <c r="N232" s="12"/>
      <c r="O232" s="12"/>
      <c r="P232" s="12"/>
      <c r="Q232" s="12"/>
      <c r="R232" s="36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</row>
    <row r="233">
      <c r="A233" s="1" t="s">
        <v>193</v>
      </c>
      <c r="B233" s="1" t="s">
        <v>214</v>
      </c>
      <c r="C233" s="1" t="s">
        <v>260</v>
      </c>
      <c r="D233" s="1" t="s">
        <v>86</v>
      </c>
      <c r="E233" s="1" t="s">
        <v>431</v>
      </c>
      <c r="F233" s="17">
        <v>70.0</v>
      </c>
      <c r="N233" s="12"/>
      <c r="O233" s="12"/>
      <c r="P233" s="12"/>
      <c r="Q233" s="12"/>
      <c r="R233" s="36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</row>
    <row r="234">
      <c r="A234" s="1" t="s">
        <v>193</v>
      </c>
      <c r="B234" s="1" t="s">
        <v>214</v>
      </c>
      <c r="C234" s="1" t="s">
        <v>432</v>
      </c>
      <c r="D234" s="1" t="s">
        <v>348</v>
      </c>
      <c r="E234" s="1" t="s">
        <v>433</v>
      </c>
      <c r="F234" s="17">
        <v>817.0</v>
      </c>
      <c r="N234" s="12"/>
      <c r="O234" s="12"/>
      <c r="P234" s="12"/>
      <c r="Q234" s="12"/>
      <c r="R234" s="36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</row>
    <row r="235">
      <c r="A235" s="1" t="s">
        <v>193</v>
      </c>
      <c r="B235" s="1" t="s">
        <v>214</v>
      </c>
      <c r="C235" s="1" t="s">
        <v>434</v>
      </c>
      <c r="D235" s="1" t="s">
        <v>75</v>
      </c>
      <c r="E235" s="1" t="s">
        <v>435</v>
      </c>
      <c r="F235" s="17">
        <v>825.0</v>
      </c>
      <c r="N235" s="12"/>
      <c r="O235" s="12"/>
      <c r="P235" s="12"/>
      <c r="Q235" s="12"/>
      <c r="R235" s="36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</row>
    <row r="236">
      <c r="A236" s="1" t="s">
        <v>193</v>
      </c>
      <c r="B236" s="1" t="s">
        <v>214</v>
      </c>
      <c r="C236" s="1" t="s">
        <v>267</v>
      </c>
      <c r="D236" s="1" t="s">
        <v>15</v>
      </c>
      <c r="E236" s="1" t="s">
        <v>268</v>
      </c>
      <c r="F236" s="17">
        <v>30.0</v>
      </c>
      <c r="N236" s="12"/>
      <c r="O236" s="12"/>
      <c r="P236" s="12"/>
      <c r="Q236" s="12"/>
      <c r="R236" s="36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</row>
    <row r="237">
      <c r="A237" s="1" t="s">
        <v>193</v>
      </c>
      <c r="B237" s="1" t="s">
        <v>214</v>
      </c>
      <c r="C237" s="1" t="s">
        <v>436</v>
      </c>
      <c r="D237" s="1" t="s">
        <v>349</v>
      </c>
      <c r="E237" s="1" t="s">
        <v>437</v>
      </c>
      <c r="F237" s="17">
        <v>13755.0</v>
      </c>
      <c r="N237" s="12"/>
      <c r="O237" s="12"/>
      <c r="P237" s="12"/>
      <c r="Q237" s="12"/>
      <c r="R237" s="36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</row>
    <row r="238">
      <c r="A238" s="1" t="s">
        <v>193</v>
      </c>
      <c r="B238" s="1" t="s">
        <v>214</v>
      </c>
      <c r="C238" s="1" t="s">
        <v>438</v>
      </c>
      <c r="D238" s="1" t="s">
        <v>350</v>
      </c>
      <c r="E238" s="1" t="s">
        <v>439</v>
      </c>
      <c r="F238" s="17">
        <v>1220.0</v>
      </c>
      <c r="N238" s="12"/>
      <c r="O238" s="12"/>
      <c r="P238" s="12"/>
      <c r="Q238" s="12"/>
      <c r="R238" s="36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</row>
    <row r="239">
      <c r="A239" s="1" t="s">
        <v>193</v>
      </c>
      <c r="B239" s="1" t="s">
        <v>214</v>
      </c>
      <c r="C239" s="1" t="s">
        <v>442</v>
      </c>
      <c r="D239" s="1" t="s">
        <v>351</v>
      </c>
      <c r="E239" s="1" t="s">
        <v>443</v>
      </c>
      <c r="F239" s="17">
        <v>329.0</v>
      </c>
      <c r="N239" s="12"/>
      <c r="O239" s="12"/>
      <c r="P239" s="12"/>
      <c r="Q239" s="12"/>
      <c r="R239" s="36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</row>
    <row r="240">
      <c r="N240" s="12"/>
      <c r="O240" s="12"/>
      <c r="P240" s="12"/>
      <c r="Q240" s="12"/>
      <c r="R240" s="36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</row>
    <row r="241">
      <c r="N241" s="12"/>
      <c r="O241" s="12"/>
      <c r="P241" s="12"/>
      <c r="Q241" s="12"/>
      <c r="R241" s="36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</row>
    <row r="242">
      <c r="C242" s="8" t="s">
        <v>444</v>
      </c>
      <c r="D242" s="8" t="s">
        <v>445</v>
      </c>
      <c r="N242" s="12"/>
      <c r="O242" s="12"/>
      <c r="P242" s="12"/>
      <c r="Q242" s="12"/>
      <c r="R242" s="36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</row>
    <row r="243">
      <c r="N243" s="12"/>
      <c r="O243" s="12"/>
      <c r="P243" s="12"/>
      <c r="Q243" s="12"/>
      <c r="R243" s="36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</row>
    <row r="244">
      <c r="N244" s="12"/>
      <c r="O244" s="12"/>
      <c r="P244" s="12"/>
      <c r="Q244" s="12"/>
      <c r="R244" s="36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</row>
    <row r="245">
      <c r="N245" s="12"/>
      <c r="O245" s="12"/>
      <c r="P245" s="12"/>
      <c r="Q245" s="12"/>
      <c r="R245" s="36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</row>
    <row r="246">
      <c r="N246" s="12"/>
      <c r="O246" s="12"/>
      <c r="P246" s="12"/>
      <c r="Q246" s="12"/>
      <c r="R246" s="36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</row>
    <row r="247">
      <c r="N247" s="12"/>
      <c r="O247" s="12"/>
      <c r="P247" s="12"/>
      <c r="Q247" s="12"/>
      <c r="R247" s="36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</row>
    <row r="248">
      <c r="N248" s="12"/>
      <c r="O248" s="12"/>
      <c r="P248" s="12"/>
      <c r="Q248" s="12"/>
      <c r="R248" s="36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</row>
    <row r="249">
      <c r="N249" s="12"/>
      <c r="O249" s="12"/>
      <c r="P249" s="12"/>
      <c r="Q249" s="12"/>
      <c r="R249" s="36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</row>
    <row r="250">
      <c r="N250" s="12"/>
      <c r="O250" s="12"/>
      <c r="P250" s="12"/>
      <c r="Q250" s="12"/>
      <c r="R250" s="36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</row>
    <row r="251">
      <c r="N251" s="12"/>
      <c r="O251" s="12"/>
      <c r="P251" s="12"/>
      <c r="Q251" s="12"/>
      <c r="R251" s="36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</row>
    <row r="252">
      <c r="N252" s="12"/>
      <c r="O252" s="12"/>
      <c r="P252" s="12"/>
      <c r="Q252" s="12"/>
      <c r="R252" s="36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</row>
    <row r="253">
      <c r="N253" s="12"/>
      <c r="O253" s="12"/>
      <c r="P253" s="12"/>
      <c r="Q253" s="12"/>
      <c r="R253" s="36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</row>
    <row r="254">
      <c r="N254" s="12"/>
      <c r="O254" s="12"/>
      <c r="P254" s="12"/>
      <c r="Q254" s="12"/>
      <c r="R254" s="36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</row>
    <row r="255">
      <c r="N255" s="12"/>
      <c r="O255" s="12"/>
      <c r="P255" s="12"/>
      <c r="Q255" s="12"/>
      <c r="R255" s="36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</row>
    <row r="256">
      <c r="J256" s="12"/>
      <c r="K256" s="12"/>
      <c r="L256" s="12"/>
      <c r="M256" s="12"/>
      <c r="N256" s="12"/>
      <c r="O256" s="12"/>
      <c r="P256" s="12"/>
      <c r="Q256" s="12"/>
      <c r="R256" s="36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</row>
    <row r="257">
      <c r="J257" s="12"/>
      <c r="K257" s="12"/>
      <c r="L257" s="12"/>
      <c r="M257" s="12"/>
      <c r="N257" s="12"/>
      <c r="O257" s="12"/>
      <c r="P257" s="12"/>
      <c r="Q257" s="12"/>
      <c r="R257" s="36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</row>
    <row r="258">
      <c r="J258" s="12"/>
      <c r="K258" s="12"/>
      <c r="L258" s="12"/>
      <c r="M258" s="12"/>
      <c r="N258" s="12"/>
      <c r="O258" s="12"/>
      <c r="P258" s="12"/>
      <c r="Q258" s="12"/>
      <c r="R258" s="36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</row>
    <row r="259">
      <c r="J259" s="12"/>
      <c r="K259" s="12"/>
      <c r="L259" s="12"/>
      <c r="M259" s="12"/>
      <c r="N259" s="12"/>
      <c r="O259" s="12"/>
      <c r="P259" s="12"/>
      <c r="Q259" s="12"/>
      <c r="R259" s="36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</row>
    <row r="260">
      <c r="J260" s="12"/>
      <c r="K260" s="12"/>
      <c r="L260" s="12"/>
      <c r="M260" s="12"/>
      <c r="N260" s="12"/>
      <c r="O260" s="12"/>
      <c r="P260" s="12"/>
      <c r="Q260" s="12"/>
      <c r="R260" s="36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</row>
    <row r="261">
      <c r="J261" s="12"/>
      <c r="K261" s="12"/>
      <c r="L261" s="12"/>
      <c r="M261" s="12"/>
      <c r="N261" s="12"/>
      <c r="O261" s="12"/>
      <c r="P261" s="12"/>
      <c r="Q261" s="12"/>
      <c r="R261" s="36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</row>
    <row r="262">
      <c r="J262" s="12"/>
      <c r="K262" s="12"/>
      <c r="L262" s="12"/>
      <c r="M262" s="12"/>
      <c r="N262" s="12"/>
      <c r="O262" s="12"/>
      <c r="P262" s="12"/>
      <c r="Q262" s="12"/>
      <c r="R262" s="36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</row>
    <row r="263">
      <c r="J263" s="12"/>
      <c r="K263" s="12"/>
      <c r="L263" s="12"/>
      <c r="M263" s="12"/>
      <c r="N263" s="12"/>
      <c r="O263" s="12"/>
      <c r="P263" s="12"/>
      <c r="Q263" s="12"/>
      <c r="R263" s="36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</row>
    <row r="264">
      <c r="J264" s="12"/>
      <c r="K264" s="12"/>
      <c r="L264" s="12"/>
      <c r="M264" s="12"/>
      <c r="N264" s="12"/>
      <c r="O264" s="12"/>
      <c r="P264" s="12"/>
      <c r="Q264" s="12"/>
      <c r="R264" s="36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</row>
    <row r="265">
      <c r="J265" s="12"/>
      <c r="K265" s="12"/>
      <c r="L265" s="12"/>
      <c r="M265" s="12"/>
      <c r="N265" s="12"/>
      <c r="O265" s="12"/>
      <c r="P265" s="12"/>
      <c r="Q265" s="12"/>
      <c r="R265" s="36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</row>
    <row r="266">
      <c r="J266" s="12"/>
      <c r="K266" s="12"/>
      <c r="L266" s="12"/>
      <c r="M266" s="12"/>
      <c r="N266" s="12"/>
      <c r="O266" s="12"/>
      <c r="P266" s="12"/>
      <c r="Q266" s="12"/>
      <c r="R266" s="36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</row>
    <row r="267">
      <c r="J267" s="12"/>
      <c r="K267" s="12"/>
      <c r="L267" s="12"/>
      <c r="M267" s="12"/>
      <c r="N267" s="12"/>
      <c r="O267" s="12"/>
      <c r="P267" s="12"/>
      <c r="Q267" s="12"/>
      <c r="R267" s="36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</row>
    <row r="268">
      <c r="J268" s="12"/>
      <c r="K268" s="12"/>
      <c r="L268" s="12"/>
      <c r="M268" s="12"/>
      <c r="N268" s="12"/>
      <c r="O268" s="12"/>
      <c r="P268" s="12"/>
      <c r="Q268" s="12"/>
      <c r="R268" s="36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</row>
    <row r="269">
      <c r="J269" s="12"/>
      <c r="K269" s="12"/>
      <c r="L269" s="12"/>
      <c r="M269" s="12"/>
      <c r="N269" s="12"/>
      <c r="O269" s="12"/>
      <c r="P269" s="12"/>
      <c r="Q269" s="12"/>
      <c r="R269" s="36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</row>
    <row r="270">
      <c r="J270" s="12"/>
      <c r="K270" s="12"/>
      <c r="L270" s="12"/>
      <c r="M270" s="12"/>
      <c r="N270" s="12"/>
      <c r="O270" s="12"/>
      <c r="P270" s="12"/>
      <c r="Q270" s="12"/>
      <c r="R270" s="36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</row>
    <row r="271">
      <c r="J271" s="12"/>
      <c r="K271" s="12"/>
      <c r="L271" s="12"/>
      <c r="M271" s="12"/>
      <c r="N271" s="12"/>
      <c r="O271" s="12"/>
      <c r="P271" s="12"/>
      <c r="Q271" s="12"/>
      <c r="R271" s="36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</row>
    <row r="272">
      <c r="J272" s="12"/>
      <c r="K272" s="12"/>
      <c r="L272" s="12"/>
      <c r="M272" s="12"/>
      <c r="N272" s="12"/>
      <c r="O272" s="12"/>
      <c r="P272" s="12"/>
      <c r="Q272" s="12"/>
      <c r="R272" s="36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</row>
    <row r="273">
      <c r="J273" s="12"/>
      <c r="K273" s="12"/>
      <c r="L273" s="12"/>
      <c r="M273" s="12"/>
      <c r="N273" s="12"/>
      <c r="O273" s="12"/>
      <c r="P273" s="12"/>
      <c r="Q273" s="12"/>
      <c r="R273" s="36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</row>
    <row r="274">
      <c r="J274" s="12"/>
      <c r="K274" s="12"/>
      <c r="L274" s="12"/>
      <c r="M274" s="12"/>
      <c r="N274" s="12"/>
      <c r="O274" s="12"/>
      <c r="P274" s="12"/>
      <c r="Q274" s="12"/>
      <c r="R274" s="36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</row>
    <row r="275">
      <c r="J275" s="12"/>
      <c r="K275" s="12"/>
      <c r="L275" s="12"/>
      <c r="M275" s="12"/>
      <c r="N275" s="12"/>
      <c r="O275" s="12"/>
      <c r="P275" s="12"/>
      <c r="Q275" s="12"/>
      <c r="R275" s="36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</row>
    <row r="276">
      <c r="J276" s="12"/>
      <c r="K276" s="12"/>
      <c r="L276" s="12"/>
      <c r="M276" s="12"/>
      <c r="N276" s="12"/>
      <c r="O276" s="12"/>
      <c r="P276" s="12"/>
      <c r="Q276" s="12"/>
      <c r="R276" s="36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</row>
    <row r="277">
      <c r="J277" s="12"/>
      <c r="K277" s="12"/>
      <c r="L277" s="12"/>
      <c r="M277" s="12"/>
      <c r="N277" s="12"/>
      <c r="O277" s="12"/>
      <c r="P277" s="12"/>
      <c r="Q277" s="12"/>
      <c r="R277" s="36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</row>
    <row r="278">
      <c r="J278" s="12"/>
      <c r="K278" s="12"/>
      <c r="L278" s="12"/>
      <c r="M278" s="12"/>
      <c r="N278" s="12"/>
      <c r="O278" s="12"/>
      <c r="P278" s="12"/>
      <c r="Q278" s="12"/>
      <c r="R278" s="36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</row>
    <row r="279">
      <c r="J279" s="12"/>
      <c r="K279" s="12"/>
      <c r="L279" s="12"/>
      <c r="M279" s="12"/>
      <c r="N279" s="12"/>
      <c r="O279" s="12"/>
      <c r="P279" s="12"/>
      <c r="Q279" s="12"/>
      <c r="R279" s="36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</row>
    <row r="280">
      <c r="J280" s="12"/>
      <c r="K280" s="12"/>
      <c r="L280" s="12"/>
      <c r="M280" s="12"/>
      <c r="N280" s="12"/>
      <c r="O280" s="12"/>
      <c r="P280" s="12"/>
      <c r="Q280" s="12"/>
      <c r="R280" s="36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</row>
    <row r="281">
      <c r="J281" s="12"/>
      <c r="K281" s="12"/>
      <c r="L281" s="12"/>
      <c r="M281" s="12"/>
      <c r="N281" s="12"/>
      <c r="O281" s="12"/>
      <c r="P281" s="12"/>
      <c r="Q281" s="12"/>
      <c r="R281" s="36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</row>
    <row r="282">
      <c r="J282" s="12"/>
      <c r="K282" s="12"/>
      <c r="L282" s="12"/>
      <c r="M282" s="12"/>
      <c r="N282" s="12"/>
      <c r="O282" s="12"/>
      <c r="P282" s="12"/>
      <c r="Q282" s="12"/>
      <c r="R282" s="36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</row>
    <row r="283">
      <c r="J283" s="12"/>
      <c r="K283" s="12"/>
      <c r="L283" s="12"/>
      <c r="M283" s="12"/>
      <c r="N283" s="12"/>
      <c r="O283" s="12"/>
      <c r="P283" s="12"/>
      <c r="Q283" s="12"/>
      <c r="R283" s="36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</row>
    <row r="284">
      <c r="J284" s="12"/>
      <c r="K284" s="12"/>
      <c r="L284" s="12"/>
      <c r="M284" s="12"/>
      <c r="N284" s="12"/>
      <c r="O284" s="12"/>
      <c r="P284" s="12"/>
      <c r="Q284" s="12"/>
      <c r="R284" s="36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</row>
    <row r="285">
      <c r="J285" s="12"/>
      <c r="K285" s="12"/>
      <c r="L285" s="12"/>
      <c r="M285" s="12"/>
      <c r="N285" s="12"/>
      <c r="O285" s="12"/>
      <c r="P285" s="12"/>
      <c r="Q285" s="12"/>
      <c r="R285" s="36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</row>
    <row r="286">
      <c r="J286" s="12"/>
      <c r="K286" s="12"/>
      <c r="L286" s="12"/>
      <c r="M286" s="12"/>
      <c r="N286" s="12"/>
      <c r="O286" s="12"/>
      <c r="P286" s="12"/>
      <c r="Q286" s="12"/>
      <c r="R286" s="36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</row>
    <row r="287">
      <c r="J287" s="12"/>
      <c r="K287" s="12"/>
      <c r="L287" s="12"/>
      <c r="M287" s="12"/>
      <c r="N287" s="12"/>
      <c r="O287" s="12"/>
      <c r="P287" s="12"/>
      <c r="Q287" s="12"/>
      <c r="R287" s="36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</row>
    <row r="288">
      <c r="J288" s="12"/>
      <c r="K288" s="12"/>
      <c r="L288" s="12"/>
      <c r="M288" s="12"/>
      <c r="N288" s="12"/>
      <c r="O288" s="12"/>
      <c r="P288" s="12"/>
      <c r="Q288" s="12"/>
      <c r="R288" s="36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</row>
    <row r="289">
      <c r="J289" s="12"/>
      <c r="K289" s="12"/>
      <c r="L289" s="12"/>
      <c r="M289" s="12"/>
      <c r="N289" s="12"/>
      <c r="O289" s="12"/>
      <c r="P289" s="12"/>
      <c r="Q289" s="12"/>
      <c r="R289" s="36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</row>
    <row r="290">
      <c r="J290" s="12"/>
      <c r="K290" s="12"/>
      <c r="L290" s="12"/>
      <c r="M290" s="12"/>
      <c r="N290" s="12"/>
      <c r="O290" s="12"/>
      <c r="P290" s="12"/>
      <c r="Q290" s="12"/>
      <c r="R290" s="36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</row>
    <row r="291">
      <c r="J291" s="12"/>
      <c r="K291" s="12"/>
      <c r="L291" s="12"/>
      <c r="M291" s="12"/>
      <c r="N291" s="12"/>
      <c r="O291" s="12"/>
      <c r="P291" s="12"/>
      <c r="Q291" s="12"/>
      <c r="R291" s="36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</row>
    <row r="292">
      <c r="J292" s="12"/>
      <c r="K292" s="12"/>
      <c r="L292" s="12"/>
      <c r="M292" s="12"/>
      <c r="N292" s="12"/>
      <c r="O292" s="12"/>
      <c r="P292" s="12"/>
      <c r="Q292" s="12"/>
      <c r="R292" s="36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</row>
    <row r="293">
      <c r="J293" s="12"/>
      <c r="K293" s="12"/>
      <c r="L293" s="12"/>
      <c r="M293" s="12"/>
      <c r="N293" s="12"/>
      <c r="O293" s="12"/>
      <c r="P293" s="12"/>
      <c r="Q293" s="12"/>
      <c r="R293" s="36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</row>
    <row r="294">
      <c r="J294" s="12"/>
      <c r="K294" s="12"/>
      <c r="L294" s="12"/>
      <c r="M294" s="12"/>
      <c r="N294" s="12"/>
      <c r="O294" s="12"/>
      <c r="P294" s="12"/>
      <c r="Q294" s="12"/>
      <c r="R294" s="36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</row>
    <row r="295">
      <c r="J295" s="12"/>
      <c r="K295" s="12"/>
      <c r="L295" s="12"/>
      <c r="M295" s="12"/>
      <c r="N295" s="12"/>
      <c r="O295" s="12"/>
      <c r="P295" s="12"/>
      <c r="Q295" s="12"/>
      <c r="R295" s="36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</row>
    <row r="296">
      <c r="J296" s="12"/>
      <c r="K296" s="12"/>
      <c r="L296" s="12"/>
      <c r="M296" s="12"/>
      <c r="N296" s="12"/>
      <c r="O296" s="12"/>
      <c r="P296" s="12"/>
      <c r="Q296" s="12"/>
      <c r="R296" s="36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</row>
    <row r="297">
      <c r="J297" s="12"/>
      <c r="K297" s="12"/>
      <c r="L297" s="12"/>
      <c r="M297" s="12"/>
      <c r="N297" s="12"/>
      <c r="O297" s="12"/>
      <c r="P297" s="12"/>
      <c r="Q297" s="12"/>
      <c r="R297" s="36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</row>
    <row r="298">
      <c r="J298" s="12"/>
      <c r="K298" s="12"/>
      <c r="L298" s="12"/>
      <c r="M298" s="12"/>
      <c r="N298" s="12"/>
      <c r="O298" s="12"/>
      <c r="P298" s="12"/>
      <c r="Q298" s="12"/>
      <c r="R298" s="36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</row>
    <row r="299">
      <c r="J299" s="12"/>
      <c r="K299" s="12"/>
      <c r="L299" s="12"/>
      <c r="M299" s="12"/>
      <c r="N299" s="12"/>
      <c r="O299" s="12"/>
      <c r="P299" s="12"/>
      <c r="Q299" s="12"/>
      <c r="R299" s="36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</row>
    <row r="300">
      <c r="J300" s="12"/>
      <c r="K300" s="12"/>
      <c r="L300" s="12"/>
      <c r="M300" s="12"/>
      <c r="N300" s="12"/>
      <c r="O300" s="12"/>
      <c r="P300" s="12"/>
      <c r="Q300" s="12"/>
      <c r="R300" s="36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</row>
    <row r="301">
      <c r="J301" s="12"/>
      <c r="K301" s="12"/>
      <c r="L301" s="12"/>
      <c r="M301" s="12"/>
      <c r="N301" s="12"/>
      <c r="O301" s="12"/>
      <c r="P301" s="12"/>
      <c r="Q301" s="12"/>
      <c r="R301" s="36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</row>
    <row r="302">
      <c r="J302" s="12"/>
      <c r="K302" s="12"/>
      <c r="L302" s="12"/>
      <c r="M302" s="12"/>
      <c r="N302" s="12"/>
      <c r="O302" s="12"/>
      <c r="P302" s="12"/>
      <c r="Q302" s="12"/>
      <c r="R302" s="36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</row>
    <row r="303">
      <c r="J303" s="12"/>
      <c r="K303" s="12"/>
      <c r="L303" s="12"/>
      <c r="M303" s="12"/>
      <c r="N303" s="12"/>
      <c r="O303" s="12"/>
      <c r="P303" s="12"/>
      <c r="Q303" s="12"/>
      <c r="R303" s="36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</row>
    <row r="304">
      <c r="J304" s="12"/>
      <c r="K304" s="12"/>
      <c r="L304" s="12"/>
      <c r="M304" s="12"/>
      <c r="N304" s="12"/>
      <c r="O304" s="12"/>
      <c r="P304" s="12"/>
      <c r="Q304" s="12"/>
      <c r="R304" s="36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</row>
    <row r="305">
      <c r="J305" s="12"/>
      <c r="K305" s="12"/>
      <c r="L305" s="12"/>
      <c r="M305" s="12"/>
      <c r="N305" s="12"/>
      <c r="O305" s="12"/>
      <c r="P305" s="12"/>
      <c r="Q305" s="12"/>
      <c r="R305" s="36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</row>
    <row r="306">
      <c r="J306" s="12"/>
      <c r="K306" s="12"/>
      <c r="L306" s="12"/>
      <c r="M306" s="12"/>
      <c r="N306" s="12"/>
      <c r="O306" s="12"/>
      <c r="P306" s="12"/>
      <c r="Q306" s="12"/>
      <c r="R306" s="36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</row>
    <row r="307">
      <c r="J307" s="12"/>
      <c r="K307" s="12"/>
      <c r="L307" s="12"/>
      <c r="M307" s="12"/>
      <c r="N307" s="12"/>
      <c r="O307" s="12"/>
      <c r="P307" s="12"/>
      <c r="Q307" s="12"/>
      <c r="R307" s="36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</row>
    <row r="308">
      <c r="J308" s="12"/>
      <c r="K308" s="12"/>
      <c r="L308" s="12"/>
      <c r="M308" s="12"/>
      <c r="N308" s="12"/>
      <c r="O308" s="12"/>
      <c r="P308" s="12"/>
      <c r="Q308" s="12"/>
      <c r="R308" s="36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</row>
    <row r="309">
      <c r="J309" s="12"/>
      <c r="K309" s="12"/>
      <c r="L309" s="12"/>
      <c r="M309" s="12"/>
      <c r="N309" s="12"/>
      <c r="O309" s="12"/>
      <c r="P309" s="12"/>
      <c r="Q309" s="12"/>
      <c r="R309" s="36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</row>
    <row r="310">
      <c r="J310" s="12"/>
      <c r="K310" s="12"/>
      <c r="L310" s="12"/>
      <c r="M310" s="12"/>
      <c r="N310" s="12"/>
      <c r="O310" s="12"/>
      <c r="P310" s="12"/>
      <c r="Q310" s="12"/>
      <c r="R310" s="36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</row>
    <row r="311">
      <c r="J311" s="12"/>
      <c r="K311" s="12"/>
      <c r="L311" s="12"/>
      <c r="M311" s="12"/>
      <c r="N311" s="12"/>
      <c r="O311" s="12"/>
      <c r="P311" s="12"/>
      <c r="Q311" s="12"/>
      <c r="R311" s="36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</row>
    <row r="312">
      <c r="J312" s="12"/>
      <c r="K312" s="12"/>
      <c r="L312" s="12"/>
      <c r="M312" s="12"/>
      <c r="N312" s="12"/>
      <c r="O312" s="12"/>
      <c r="P312" s="12"/>
      <c r="Q312" s="12"/>
      <c r="R312" s="36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</row>
    <row r="313">
      <c r="J313" s="12"/>
      <c r="K313" s="12"/>
      <c r="L313" s="12"/>
      <c r="M313" s="12"/>
      <c r="N313" s="12"/>
      <c r="O313" s="12"/>
      <c r="P313" s="12"/>
      <c r="Q313" s="12"/>
      <c r="R313" s="36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</row>
    <row r="314">
      <c r="J314" s="12"/>
      <c r="K314" s="12"/>
      <c r="L314" s="12"/>
      <c r="M314" s="12"/>
      <c r="N314" s="12"/>
      <c r="O314" s="12"/>
      <c r="P314" s="12"/>
      <c r="Q314" s="12"/>
      <c r="R314" s="36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</row>
    <row r="315">
      <c r="J315" s="12"/>
      <c r="K315" s="12"/>
      <c r="L315" s="12"/>
      <c r="M315" s="12"/>
      <c r="N315" s="12"/>
      <c r="O315" s="12"/>
      <c r="P315" s="12"/>
      <c r="Q315" s="12"/>
      <c r="R315" s="36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</row>
    <row r="316">
      <c r="J316" s="12"/>
      <c r="K316" s="12"/>
      <c r="L316" s="12"/>
      <c r="M316" s="12"/>
      <c r="N316" s="12"/>
      <c r="O316" s="12"/>
      <c r="P316" s="12"/>
      <c r="Q316" s="12"/>
      <c r="R316" s="36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</row>
    <row r="317">
      <c r="J317" s="12"/>
      <c r="K317" s="12"/>
      <c r="L317" s="12"/>
      <c r="M317" s="12"/>
      <c r="N317" s="12"/>
      <c r="O317" s="12"/>
      <c r="P317" s="12"/>
      <c r="Q317" s="12"/>
      <c r="R317" s="36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</row>
    <row r="318">
      <c r="J318" s="12"/>
      <c r="K318" s="12"/>
      <c r="L318" s="12"/>
      <c r="M318" s="12"/>
      <c r="N318" s="12"/>
      <c r="O318" s="12"/>
      <c r="P318" s="12"/>
      <c r="Q318" s="12"/>
      <c r="R318" s="36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</row>
    <row r="319">
      <c r="J319" s="12"/>
      <c r="K319" s="12"/>
      <c r="L319" s="12"/>
      <c r="M319" s="12"/>
      <c r="N319" s="12"/>
      <c r="O319" s="12"/>
      <c r="P319" s="12"/>
      <c r="Q319" s="12"/>
      <c r="R319" s="36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</row>
    <row r="320">
      <c r="J320" s="12"/>
      <c r="K320" s="12"/>
      <c r="L320" s="12"/>
      <c r="M320" s="12"/>
      <c r="N320" s="12"/>
      <c r="O320" s="12"/>
      <c r="P320" s="12"/>
      <c r="Q320" s="12"/>
      <c r="R320" s="36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</row>
    <row r="321">
      <c r="J321" s="12"/>
      <c r="K321" s="12"/>
      <c r="L321" s="12"/>
      <c r="M321" s="12"/>
      <c r="N321" s="12"/>
      <c r="O321" s="12"/>
      <c r="P321" s="12"/>
      <c r="Q321" s="12"/>
      <c r="R321" s="36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</row>
    <row r="322">
      <c r="J322" s="12"/>
      <c r="K322" s="12"/>
      <c r="L322" s="12"/>
      <c r="M322" s="12"/>
      <c r="N322" s="12"/>
      <c r="O322" s="12"/>
      <c r="P322" s="12"/>
      <c r="Q322" s="12"/>
      <c r="R322" s="36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</row>
    <row r="323">
      <c r="J323" s="12"/>
      <c r="K323" s="12"/>
      <c r="L323" s="12"/>
      <c r="M323" s="12"/>
      <c r="N323" s="12"/>
      <c r="O323" s="12"/>
      <c r="P323" s="12"/>
      <c r="Q323" s="12"/>
      <c r="R323" s="36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</row>
    <row r="324">
      <c r="J324" s="12"/>
      <c r="K324" s="12"/>
      <c r="L324" s="12"/>
      <c r="M324" s="12"/>
      <c r="N324" s="12"/>
      <c r="O324" s="12"/>
      <c r="P324" s="12"/>
      <c r="Q324" s="12"/>
      <c r="R324" s="36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</row>
    <row r="325">
      <c r="J325" s="12"/>
      <c r="K325" s="12"/>
      <c r="L325" s="12"/>
      <c r="M325" s="12"/>
      <c r="N325" s="12"/>
      <c r="O325" s="12"/>
      <c r="P325" s="12"/>
      <c r="Q325" s="12"/>
      <c r="R325" s="36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</row>
    <row r="326">
      <c r="J326" s="12"/>
      <c r="K326" s="12"/>
      <c r="L326" s="12"/>
      <c r="M326" s="12"/>
      <c r="N326" s="12"/>
      <c r="O326" s="12"/>
      <c r="P326" s="12"/>
      <c r="Q326" s="12"/>
      <c r="R326" s="36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</row>
    <row r="327">
      <c r="J327" s="12"/>
      <c r="K327" s="12"/>
      <c r="L327" s="12"/>
      <c r="M327" s="12"/>
      <c r="N327" s="12"/>
      <c r="O327" s="12"/>
      <c r="P327" s="12"/>
      <c r="Q327" s="12"/>
      <c r="R327" s="36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</row>
    <row r="328">
      <c r="J328" s="12"/>
      <c r="K328" s="12"/>
      <c r="L328" s="12"/>
      <c r="M328" s="12"/>
      <c r="N328" s="12"/>
      <c r="O328" s="12"/>
      <c r="P328" s="12"/>
      <c r="Q328" s="12"/>
      <c r="R328" s="36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</row>
    <row r="329">
      <c r="J329" s="12"/>
      <c r="K329" s="12"/>
      <c r="L329" s="12"/>
      <c r="M329" s="12"/>
      <c r="N329" s="12"/>
      <c r="O329" s="12"/>
      <c r="P329" s="12"/>
      <c r="Q329" s="12"/>
      <c r="R329" s="36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</row>
    <row r="330">
      <c r="J330" s="12"/>
      <c r="K330" s="12"/>
      <c r="L330" s="12"/>
      <c r="M330" s="12"/>
      <c r="N330" s="12"/>
      <c r="O330" s="12"/>
      <c r="P330" s="12"/>
      <c r="Q330" s="12"/>
      <c r="R330" s="36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</row>
    <row r="331">
      <c r="J331" s="12"/>
      <c r="K331" s="12"/>
      <c r="L331" s="12"/>
      <c r="M331" s="12"/>
      <c r="N331" s="12"/>
      <c r="O331" s="12"/>
      <c r="P331" s="12"/>
      <c r="Q331" s="12"/>
      <c r="R331" s="36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</row>
    <row r="332">
      <c r="J332" s="12"/>
      <c r="K332" s="12"/>
      <c r="L332" s="12"/>
      <c r="M332" s="12"/>
      <c r="N332" s="12"/>
      <c r="O332" s="12"/>
      <c r="P332" s="12"/>
      <c r="Q332" s="12"/>
      <c r="R332" s="36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</row>
    <row r="333">
      <c r="J333" s="12"/>
      <c r="K333" s="12"/>
      <c r="L333" s="12"/>
      <c r="M333" s="12"/>
      <c r="N333" s="12"/>
      <c r="O333" s="12"/>
      <c r="P333" s="12"/>
      <c r="Q333" s="12"/>
      <c r="R333" s="36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</row>
    <row r="334">
      <c r="J334" s="12"/>
      <c r="K334" s="12"/>
      <c r="L334" s="12"/>
      <c r="M334" s="12"/>
      <c r="N334" s="12"/>
      <c r="O334" s="12"/>
      <c r="P334" s="12"/>
      <c r="Q334" s="12"/>
      <c r="R334" s="36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</row>
    <row r="335">
      <c r="J335" s="12"/>
      <c r="K335" s="12"/>
      <c r="L335" s="12"/>
      <c r="M335" s="12"/>
      <c r="N335" s="12"/>
      <c r="O335" s="12"/>
      <c r="P335" s="12"/>
      <c r="Q335" s="12"/>
      <c r="R335" s="36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</row>
    <row r="336">
      <c r="J336" s="12"/>
      <c r="K336" s="12"/>
      <c r="L336" s="12"/>
      <c r="M336" s="12"/>
      <c r="N336" s="12"/>
      <c r="O336" s="12"/>
      <c r="P336" s="12"/>
      <c r="Q336" s="12"/>
      <c r="R336" s="36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</row>
    <row r="337">
      <c r="J337" s="12"/>
      <c r="K337" s="12"/>
      <c r="L337" s="12"/>
      <c r="M337" s="12"/>
      <c r="N337" s="12"/>
      <c r="O337" s="12"/>
      <c r="P337" s="12"/>
      <c r="Q337" s="12"/>
      <c r="R337" s="36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</row>
    <row r="338">
      <c r="J338" s="12"/>
      <c r="K338" s="12"/>
      <c r="L338" s="12"/>
      <c r="M338" s="12"/>
      <c r="N338" s="12"/>
      <c r="O338" s="12"/>
      <c r="P338" s="12"/>
      <c r="Q338" s="12"/>
      <c r="R338" s="36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</row>
    <row r="339">
      <c r="J339" s="12"/>
      <c r="K339" s="12"/>
      <c r="L339" s="12"/>
      <c r="M339" s="12"/>
      <c r="N339" s="12"/>
      <c r="O339" s="12"/>
      <c r="P339" s="12"/>
      <c r="Q339" s="12"/>
      <c r="R339" s="36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</row>
    <row r="340">
      <c r="J340" s="12"/>
      <c r="K340" s="12"/>
      <c r="L340" s="12"/>
      <c r="M340" s="12"/>
      <c r="N340" s="12"/>
      <c r="O340" s="12"/>
      <c r="P340" s="12"/>
      <c r="Q340" s="12"/>
      <c r="R340" s="36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</row>
    <row r="341">
      <c r="J341" s="12"/>
      <c r="K341" s="12"/>
      <c r="L341" s="12"/>
      <c r="M341" s="12"/>
      <c r="N341" s="12"/>
      <c r="O341" s="12"/>
      <c r="P341" s="12"/>
      <c r="Q341" s="12"/>
      <c r="R341" s="36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</row>
    <row r="342">
      <c r="J342" s="12"/>
      <c r="K342" s="12"/>
      <c r="L342" s="12"/>
      <c r="M342" s="12"/>
      <c r="N342" s="12"/>
      <c r="O342" s="12"/>
      <c r="P342" s="12"/>
      <c r="Q342" s="12"/>
      <c r="R342" s="36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</row>
    <row r="343">
      <c r="J343" s="12"/>
      <c r="K343" s="12"/>
      <c r="L343" s="12"/>
      <c r="M343" s="12"/>
      <c r="N343" s="12"/>
      <c r="O343" s="12"/>
      <c r="P343" s="12"/>
      <c r="Q343" s="12"/>
      <c r="R343" s="36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</row>
    <row r="344">
      <c r="J344" s="12"/>
      <c r="K344" s="12"/>
      <c r="L344" s="12"/>
      <c r="M344" s="12"/>
      <c r="N344" s="12"/>
      <c r="O344" s="12"/>
      <c r="P344" s="12"/>
      <c r="Q344" s="12"/>
      <c r="R344" s="36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</row>
    <row r="345">
      <c r="J345" s="12"/>
      <c r="K345" s="12"/>
      <c r="L345" s="12"/>
      <c r="M345" s="12"/>
      <c r="N345" s="12"/>
      <c r="O345" s="12"/>
      <c r="P345" s="12"/>
      <c r="Q345" s="12"/>
      <c r="R345" s="36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</row>
    <row r="346">
      <c r="J346" s="12"/>
      <c r="K346" s="12"/>
      <c r="L346" s="12"/>
      <c r="M346" s="12"/>
      <c r="N346" s="12"/>
      <c r="O346" s="12"/>
      <c r="P346" s="12"/>
      <c r="Q346" s="12"/>
      <c r="R346" s="36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</row>
    <row r="347">
      <c r="J347" s="12"/>
      <c r="K347" s="12"/>
      <c r="L347" s="12"/>
      <c r="M347" s="12"/>
      <c r="N347" s="12"/>
      <c r="O347" s="12"/>
      <c r="P347" s="12"/>
      <c r="Q347" s="12"/>
      <c r="R347" s="36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</row>
    <row r="348">
      <c r="J348" s="12"/>
      <c r="K348" s="12"/>
      <c r="L348" s="12"/>
      <c r="M348" s="12"/>
      <c r="N348" s="12"/>
      <c r="O348" s="12"/>
      <c r="P348" s="12"/>
      <c r="Q348" s="12"/>
      <c r="R348" s="36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</row>
    <row r="349">
      <c r="J349" s="12"/>
      <c r="K349" s="12"/>
      <c r="L349" s="12"/>
      <c r="M349" s="12"/>
      <c r="N349" s="12"/>
      <c r="O349" s="12"/>
      <c r="P349" s="12"/>
      <c r="Q349" s="12"/>
      <c r="R349" s="36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</row>
    <row r="350">
      <c r="J350" s="12"/>
      <c r="K350" s="12"/>
      <c r="L350" s="12"/>
      <c r="M350" s="12"/>
      <c r="N350" s="12"/>
      <c r="O350" s="12"/>
      <c r="P350" s="12"/>
      <c r="Q350" s="12"/>
      <c r="R350" s="36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</row>
    <row r="351">
      <c r="J351" s="12"/>
      <c r="K351" s="12"/>
      <c r="L351" s="12"/>
      <c r="M351" s="12"/>
      <c r="N351" s="12"/>
      <c r="O351" s="12"/>
      <c r="P351" s="12"/>
      <c r="Q351" s="12"/>
      <c r="R351" s="36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</row>
    <row r="352">
      <c r="J352" s="12"/>
      <c r="K352" s="12"/>
      <c r="L352" s="12"/>
      <c r="M352" s="12"/>
      <c r="N352" s="12"/>
      <c r="O352" s="12"/>
      <c r="P352" s="12"/>
      <c r="Q352" s="12"/>
      <c r="R352" s="36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</row>
    <row r="353">
      <c r="J353" s="12"/>
      <c r="K353" s="12"/>
      <c r="L353" s="12"/>
      <c r="M353" s="12"/>
      <c r="N353" s="12"/>
      <c r="O353" s="12"/>
      <c r="P353" s="12"/>
      <c r="Q353" s="12"/>
      <c r="R353" s="36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</row>
    <row r="354">
      <c r="J354" s="12"/>
      <c r="K354" s="12"/>
      <c r="L354" s="12"/>
      <c r="M354" s="12"/>
      <c r="N354" s="12"/>
      <c r="O354" s="12"/>
      <c r="P354" s="12"/>
      <c r="Q354" s="12"/>
      <c r="R354" s="36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</row>
    <row r="355">
      <c r="J355" s="12"/>
      <c r="K355" s="12"/>
      <c r="L355" s="12"/>
      <c r="M355" s="12"/>
      <c r="N355" s="12"/>
      <c r="O355" s="12"/>
      <c r="P355" s="12"/>
      <c r="Q355" s="12"/>
      <c r="R355" s="36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</row>
    <row r="356">
      <c r="J356" s="12"/>
      <c r="K356" s="12"/>
      <c r="L356" s="12"/>
      <c r="M356" s="12"/>
      <c r="N356" s="12"/>
      <c r="O356" s="12"/>
      <c r="P356" s="12"/>
      <c r="Q356" s="12"/>
      <c r="R356" s="36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</row>
    <row r="357">
      <c r="J357" s="12"/>
      <c r="K357" s="12"/>
      <c r="L357" s="12"/>
      <c r="M357" s="12"/>
      <c r="N357" s="12"/>
      <c r="O357" s="12"/>
      <c r="P357" s="12"/>
      <c r="Q357" s="12"/>
      <c r="R357" s="36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</row>
    <row r="358">
      <c r="J358" s="12"/>
      <c r="K358" s="12"/>
      <c r="L358" s="12"/>
      <c r="M358" s="12"/>
      <c r="N358" s="12"/>
      <c r="O358" s="12"/>
      <c r="P358" s="12"/>
      <c r="Q358" s="12"/>
      <c r="R358" s="36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</row>
    <row r="359">
      <c r="J359" s="12"/>
      <c r="K359" s="12"/>
      <c r="L359" s="12"/>
      <c r="M359" s="12"/>
      <c r="N359" s="12"/>
      <c r="O359" s="12"/>
      <c r="P359" s="12"/>
      <c r="Q359" s="12"/>
      <c r="R359" s="36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</row>
    <row r="360">
      <c r="J360" s="12"/>
      <c r="K360" s="12"/>
      <c r="L360" s="12"/>
      <c r="M360" s="12"/>
      <c r="N360" s="12"/>
      <c r="O360" s="12"/>
      <c r="P360" s="12"/>
      <c r="Q360" s="12"/>
      <c r="R360" s="36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</row>
    <row r="361">
      <c r="J361" s="12"/>
      <c r="K361" s="12"/>
      <c r="L361" s="12"/>
      <c r="M361" s="12"/>
      <c r="N361" s="12"/>
      <c r="O361" s="12"/>
      <c r="P361" s="12"/>
      <c r="Q361" s="12"/>
      <c r="R361" s="36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</row>
    <row r="362">
      <c r="J362" s="12"/>
      <c r="K362" s="12"/>
      <c r="L362" s="12"/>
      <c r="M362" s="12"/>
      <c r="N362" s="12"/>
      <c r="O362" s="12"/>
      <c r="P362" s="12"/>
      <c r="Q362" s="12"/>
      <c r="R362" s="36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</row>
    <row r="363">
      <c r="J363" s="12"/>
      <c r="K363" s="12"/>
      <c r="L363" s="12"/>
      <c r="M363" s="12"/>
      <c r="N363" s="12"/>
      <c r="O363" s="12"/>
      <c r="P363" s="12"/>
      <c r="Q363" s="12"/>
      <c r="R363" s="36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</row>
    <row r="364">
      <c r="J364" s="12"/>
      <c r="K364" s="12"/>
      <c r="L364" s="12"/>
      <c r="M364" s="12"/>
      <c r="N364" s="12"/>
      <c r="O364" s="12"/>
      <c r="P364" s="12"/>
      <c r="Q364" s="12"/>
      <c r="R364" s="36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</row>
    <row r="365">
      <c r="J365" s="12"/>
      <c r="K365" s="12"/>
      <c r="L365" s="12"/>
      <c r="M365" s="12"/>
      <c r="N365" s="12"/>
      <c r="O365" s="12"/>
      <c r="P365" s="12"/>
      <c r="Q365" s="12"/>
      <c r="R365" s="36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</row>
    <row r="366">
      <c r="J366" s="12"/>
      <c r="K366" s="12"/>
      <c r="L366" s="12"/>
      <c r="M366" s="12"/>
      <c r="N366" s="12"/>
      <c r="O366" s="12"/>
      <c r="P366" s="12"/>
      <c r="Q366" s="12"/>
      <c r="R366" s="36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</row>
    <row r="367">
      <c r="J367" s="12"/>
      <c r="K367" s="12"/>
      <c r="L367" s="12"/>
      <c r="M367" s="12"/>
      <c r="N367" s="12"/>
      <c r="O367" s="12"/>
      <c r="P367" s="12"/>
      <c r="Q367" s="12"/>
      <c r="R367" s="36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</row>
    <row r="368">
      <c r="J368" s="12"/>
      <c r="K368" s="12"/>
      <c r="L368" s="12"/>
      <c r="M368" s="12"/>
      <c r="N368" s="12"/>
      <c r="O368" s="12"/>
      <c r="P368" s="12"/>
      <c r="Q368" s="12"/>
      <c r="R368" s="36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</row>
    <row r="369">
      <c r="J369" s="12"/>
      <c r="K369" s="12"/>
      <c r="L369" s="12"/>
      <c r="M369" s="12"/>
      <c r="N369" s="12"/>
      <c r="O369" s="12"/>
      <c r="P369" s="12"/>
      <c r="Q369" s="12"/>
      <c r="R369" s="36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</row>
    <row r="370">
      <c r="J370" s="12"/>
      <c r="K370" s="12"/>
      <c r="L370" s="12"/>
      <c r="M370" s="12"/>
      <c r="N370" s="12"/>
      <c r="O370" s="12"/>
      <c r="P370" s="12"/>
      <c r="Q370" s="12"/>
      <c r="R370" s="36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</row>
    <row r="371">
      <c r="J371" s="12"/>
      <c r="K371" s="12"/>
      <c r="L371" s="12"/>
      <c r="M371" s="12"/>
      <c r="N371" s="12"/>
      <c r="O371" s="12"/>
      <c r="P371" s="12"/>
      <c r="Q371" s="12"/>
      <c r="R371" s="36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</row>
    <row r="372">
      <c r="J372" s="12"/>
      <c r="K372" s="12"/>
      <c r="L372" s="12"/>
      <c r="M372" s="12"/>
      <c r="N372" s="12"/>
      <c r="O372" s="12"/>
      <c r="P372" s="12"/>
      <c r="Q372" s="12"/>
      <c r="R372" s="36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</row>
    <row r="373">
      <c r="J373" s="12"/>
      <c r="K373" s="12"/>
      <c r="L373" s="12"/>
      <c r="M373" s="12"/>
      <c r="N373" s="12"/>
      <c r="O373" s="12"/>
      <c r="P373" s="12"/>
      <c r="Q373" s="12"/>
      <c r="R373" s="36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</row>
    <row r="374">
      <c r="J374" s="12"/>
      <c r="K374" s="12"/>
      <c r="L374" s="12"/>
      <c r="M374" s="12"/>
      <c r="N374" s="12"/>
      <c r="O374" s="12"/>
      <c r="P374" s="12"/>
      <c r="Q374" s="12"/>
      <c r="R374" s="36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</row>
    <row r="375">
      <c r="J375" s="12"/>
      <c r="K375" s="12"/>
      <c r="L375" s="12"/>
      <c r="M375" s="12"/>
      <c r="N375" s="12"/>
      <c r="O375" s="12"/>
      <c r="P375" s="12"/>
      <c r="Q375" s="12"/>
      <c r="R375" s="36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</row>
    <row r="376">
      <c r="J376" s="12"/>
      <c r="K376" s="12"/>
      <c r="L376" s="12"/>
      <c r="M376" s="12"/>
      <c r="N376" s="12"/>
      <c r="O376" s="12"/>
      <c r="P376" s="12"/>
      <c r="Q376" s="12"/>
      <c r="R376" s="36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</row>
    <row r="377">
      <c r="J377" s="12"/>
      <c r="K377" s="12"/>
      <c r="L377" s="12"/>
      <c r="M377" s="12"/>
      <c r="N377" s="12"/>
      <c r="O377" s="12"/>
      <c r="P377" s="12"/>
      <c r="Q377" s="12"/>
      <c r="R377" s="36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</row>
    <row r="378">
      <c r="J378" s="12"/>
      <c r="K378" s="12"/>
      <c r="L378" s="12"/>
      <c r="M378" s="12"/>
      <c r="N378" s="12"/>
      <c r="O378" s="12"/>
      <c r="P378" s="12"/>
      <c r="Q378" s="12"/>
      <c r="R378" s="36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</row>
    <row r="379">
      <c r="J379" s="12"/>
      <c r="K379" s="12"/>
      <c r="L379" s="12"/>
      <c r="M379" s="12"/>
      <c r="N379" s="12"/>
      <c r="O379" s="12"/>
      <c r="P379" s="12"/>
      <c r="Q379" s="12"/>
      <c r="R379" s="36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</row>
    <row r="380">
      <c r="J380" s="12"/>
      <c r="K380" s="12"/>
      <c r="L380" s="12"/>
      <c r="M380" s="12"/>
      <c r="N380" s="12"/>
      <c r="O380" s="12"/>
      <c r="P380" s="12"/>
      <c r="Q380" s="12"/>
      <c r="R380" s="36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</row>
    <row r="381">
      <c r="J381" s="12"/>
      <c r="K381" s="12"/>
      <c r="L381" s="12"/>
      <c r="M381" s="12"/>
      <c r="N381" s="12"/>
      <c r="O381" s="12"/>
      <c r="P381" s="12"/>
      <c r="Q381" s="12"/>
      <c r="R381" s="36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</row>
    <row r="382">
      <c r="J382" s="12"/>
      <c r="K382" s="12"/>
      <c r="L382" s="12"/>
      <c r="M382" s="12"/>
      <c r="N382" s="12"/>
      <c r="O382" s="12"/>
      <c r="P382" s="12"/>
      <c r="Q382" s="12"/>
      <c r="R382" s="36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</row>
    <row r="383">
      <c r="J383" s="12"/>
      <c r="K383" s="12"/>
      <c r="L383" s="12"/>
      <c r="M383" s="12"/>
      <c r="N383" s="12"/>
      <c r="O383" s="12"/>
      <c r="P383" s="12"/>
      <c r="Q383" s="12"/>
      <c r="R383" s="36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</row>
    <row r="384">
      <c r="J384" s="12"/>
      <c r="K384" s="12"/>
      <c r="L384" s="12"/>
      <c r="M384" s="12"/>
      <c r="N384" s="12"/>
      <c r="O384" s="12"/>
      <c r="P384" s="12"/>
      <c r="Q384" s="12"/>
      <c r="R384" s="36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</row>
    <row r="385">
      <c r="J385" s="12"/>
      <c r="K385" s="12"/>
      <c r="L385" s="12"/>
      <c r="M385" s="12"/>
      <c r="N385" s="12"/>
      <c r="O385" s="12"/>
      <c r="P385" s="12"/>
      <c r="Q385" s="12"/>
      <c r="R385" s="36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</row>
    <row r="386">
      <c r="J386" s="12"/>
      <c r="K386" s="12"/>
      <c r="L386" s="12"/>
      <c r="M386" s="12"/>
      <c r="N386" s="12"/>
      <c r="O386" s="12"/>
      <c r="P386" s="12"/>
      <c r="Q386" s="12"/>
      <c r="R386" s="36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</row>
    <row r="387">
      <c r="J387" s="12"/>
      <c r="K387" s="12"/>
      <c r="L387" s="12"/>
      <c r="M387" s="12"/>
      <c r="N387" s="12"/>
      <c r="O387" s="12"/>
      <c r="P387" s="12"/>
      <c r="Q387" s="12"/>
      <c r="R387" s="36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</row>
    <row r="388">
      <c r="J388" s="12"/>
      <c r="K388" s="12"/>
      <c r="L388" s="12"/>
      <c r="M388" s="12"/>
      <c r="N388" s="12"/>
      <c r="O388" s="12"/>
      <c r="P388" s="12"/>
      <c r="Q388" s="12"/>
      <c r="R388" s="36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</row>
    <row r="389">
      <c r="J389" s="12"/>
      <c r="K389" s="12"/>
      <c r="L389" s="12"/>
      <c r="M389" s="12"/>
      <c r="N389" s="12"/>
      <c r="O389" s="12"/>
      <c r="P389" s="12"/>
      <c r="Q389" s="12"/>
      <c r="R389" s="36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</row>
    <row r="390">
      <c r="J390" s="12"/>
      <c r="K390" s="12"/>
      <c r="L390" s="12"/>
      <c r="M390" s="12"/>
      <c r="N390" s="12"/>
      <c r="O390" s="12"/>
      <c r="P390" s="12"/>
      <c r="Q390" s="12"/>
      <c r="R390" s="36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</row>
    <row r="391">
      <c r="J391" s="12"/>
      <c r="K391" s="12"/>
      <c r="L391" s="12"/>
      <c r="M391" s="12"/>
      <c r="N391" s="12"/>
      <c r="O391" s="12"/>
      <c r="P391" s="12"/>
      <c r="Q391" s="12"/>
      <c r="R391" s="36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</row>
    <row r="392">
      <c r="J392" s="12"/>
      <c r="K392" s="12"/>
      <c r="L392" s="12"/>
      <c r="M392" s="12"/>
      <c r="N392" s="12"/>
      <c r="O392" s="12"/>
      <c r="P392" s="12"/>
      <c r="Q392" s="12"/>
      <c r="R392" s="36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</row>
    <row r="393">
      <c r="J393" s="12"/>
      <c r="K393" s="12"/>
      <c r="L393" s="12"/>
      <c r="M393" s="12"/>
      <c r="N393" s="12"/>
      <c r="O393" s="12"/>
      <c r="P393" s="12"/>
      <c r="Q393" s="12"/>
      <c r="R393" s="36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</row>
    <row r="394">
      <c r="J394" s="12"/>
      <c r="K394" s="12"/>
      <c r="L394" s="12"/>
      <c r="M394" s="12"/>
      <c r="N394" s="12"/>
      <c r="O394" s="12"/>
      <c r="P394" s="12"/>
      <c r="Q394" s="12"/>
      <c r="R394" s="36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</row>
    <row r="395">
      <c r="J395" s="12"/>
      <c r="K395" s="12"/>
      <c r="L395" s="12"/>
      <c r="M395" s="12"/>
      <c r="N395" s="12"/>
      <c r="O395" s="12"/>
      <c r="P395" s="12"/>
      <c r="Q395" s="12"/>
      <c r="R395" s="36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</row>
    <row r="396">
      <c r="J396" s="12"/>
      <c r="K396" s="12"/>
      <c r="L396" s="12"/>
      <c r="M396" s="12"/>
      <c r="N396" s="12"/>
      <c r="O396" s="12"/>
      <c r="P396" s="12"/>
      <c r="Q396" s="12"/>
      <c r="R396" s="36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</row>
    <row r="397">
      <c r="J397" s="12"/>
      <c r="K397" s="12"/>
      <c r="L397" s="12"/>
      <c r="M397" s="12"/>
      <c r="N397" s="12"/>
      <c r="O397" s="12"/>
      <c r="P397" s="12"/>
      <c r="Q397" s="12"/>
      <c r="R397" s="36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</row>
    <row r="398">
      <c r="J398" s="12"/>
      <c r="K398" s="12"/>
      <c r="L398" s="12"/>
      <c r="M398" s="12"/>
      <c r="N398" s="12"/>
      <c r="O398" s="12"/>
      <c r="P398" s="12"/>
      <c r="Q398" s="12"/>
      <c r="R398" s="36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</row>
    <row r="399">
      <c r="J399" s="12"/>
      <c r="K399" s="12"/>
      <c r="L399" s="12"/>
      <c r="M399" s="12"/>
      <c r="N399" s="12"/>
      <c r="O399" s="12"/>
      <c r="P399" s="12"/>
      <c r="Q399" s="12"/>
      <c r="R399" s="36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</row>
    <row r="400">
      <c r="J400" s="12"/>
      <c r="K400" s="12"/>
      <c r="L400" s="12"/>
      <c r="M400" s="12"/>
      <c r="N400" s="12"/>
      <c r="O400" s="12"/>
      <c r="P400" s="12"/>
      <c r="Q400" s="12"/>
      <c r="R400" s="36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</row>
    <row r="401">
      <c r="J401" s="12"/>
      <c r="K401" s="12"/>
      <c r="L401" s="12"/>
      <c r="M401" s="12"/>
      <c r="N401" s="12"/>
      <c r="O401" s="12"/>
      <c r="P401" s="12"/>
      <c r="Q401" s="12"/>
      <c r="R401" s="36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</row>
    <row r="402">
      <c r="J402" s="12"/>
      <c r="K402" s="12"/>
      <c r="L402" s="12"/>
      <c r="M402" s="12"/>
      <c r="N402" s="12"/>
      <c r="O402" s="12"/>
      <c r="P402" s="12"/>
      <c r="Q402" s="12"/>
      <c r="R402" s="36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</row>
    <row r="403">
      <c r="J403" s="12"/>
      <c r="K403" s="12"/>
      <c r="L403" s="12"/>
      <c r="M403" s="12"/>
      <c r="N403" s="12"/>
      <c r="O403" s="12"/>
      <c r="P403" s="12"/>
      <c r="Q403" s="12"/>
      <c r="R403" s="36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</row>
    <row r="404">
      <c r="J404" s="12"/>
      <c r="K404" s="12"/>
      <c r="L404" s="12"/>
      <c r="M404" s="12"/>
      <c r="N404" s="12"/>
      <c r="O404" s="12"/>
      <c r="P404" s="12"/>
      <c r="Q404" s="12"/>
      <c r="R404" s="36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</row>
    <row r="405">
      <c r="J405" s="12"/>
      <c r="K405" s="12"/>
      <c r="L405" s="12"/>
      <c r="M405" s="12"/>
      <c r="N405" s="12"/>
      <c r="O405" s="12"/>
      <c r="P405" s="12"/>
      <c r="Q405" s="12"/>
      <c r="R405" s="36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</row>
    <row r="406">
      <c r="J406" s="12"/>
      <c r="K406" s="12"/>
      <c r="L406" s="12"/>
      <c r="M406" s="12"/>
      <c r="N406" s="12"/>
      <c r="O406" s="12"/>
      <c r="P406" s="12"/>
      <c r="Q406" s="12"/>
      <c r="R406" s="36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</row>
    <row r="407">
      <c r="J407" s="12"/>
      <c r="K407" s="12"/>
      <c r="L407" s="12"/>
      <c r="M407" s="12"/>
      <c r="N407" s="12"/>
      <c r="O407" s="12"/>
      <c r="P407" s="12"/>
      <c r="Q407" s="12"/>
      <c r="R407" s="36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</row>
    <row r="408">
      <c r="J408" s="12"/>
      <c r="K408" s="12"/>
      <c r="L408" s="12"/>
      <c r="M408" s="12"/>
      <c r="N408" s="12"/>
      <c r="O408" s="12"/>
      <c r="P408" s="12"/>
      <c r="Q408" s="12"/>
      <c r="R408" s="36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</row>
    <row r="409">
      <c r="J409" s="12"/>
      <c r="K409" s="12"/>
      <c r="L409" s="12"/>
      <c r="M409" s="12"/>
      <c r="N409" s="12"/>
      <c r="O409" s="12"/>
      <c r="P409" s="12"/>
      <c r="Q409" s="12"/>
      <c r="R409" s="36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</row>
    <row r="410">
      <c r="J410" s="12"/>
      <c r="K410" s="12"/>
      <c r="L410" s="12"/>
      <c r="M410" s="12"/>
      <c r="N410" s="12"/>
      <c r="O410" s="12"/>
      <c r="P410" s="12"/>
      <c r="Q410" s="12"/>
      <c r="R410" s="36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</row>
    <row r="411">
      <c r="J411" s="12"/>
      <c r="K411" s="12"/>
      <c r="L411" s="12"/>
      <c r="M411" s="12"/>
      <c r="N411" s="12"/>
      <c r="O411" s="12"/>
      <c r="P411" s="12"/>
      <c r="Q411" s="12"/>
      <c r="R411" s="36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</row>
    <row r="412">
      <c r="J412" s="12"/>
      <c r="K412" s="12"/>
      <c r="L412" s="12"/>
      <c r="M412" s="12"/>
      <c r="N412" s="12"/>
      <c r="O412" s="12"/>
      <c r="P412" s="12"/>
      <c r="Q412" s="12"/>
      <c r="R412" s="36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</row>
    <row r="413">
      <c r="J413" s="12"/>
      <c r="K413" s="12"/>
      <c r="L413" s="12"/>
      <c r="M413" s="12"/>
      <c r="N413" s="12"/>
      <c r="O413" s="12"/>
      <c r="P413" s="12"/>
      <c r="Q413" s="12"/>
      <c r="R413" s="36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</row>
    <row r="414">
      <c r="J414" s="12"/>
      <c r="K414" s="12"/>
      <c r="L414" s="12"/>
      <c r="M414" s="12"/>
      <c r="N414" s="12"/>
      <c r="O414" s="12"/>
      <c r="P414" s="12"/>
      <c r="Q414" s="12"/>
      <c r="R414" s="36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</row>
    <row r="415">
      <c r="J415" s="12"/>
      <c r="K415" s="12"/>
      <c r="L415" s="12"/>
      <c r="M415" s="12"/>
      <c r="N415" s="12"/>
      <c r="O415" s="12"/>
      <c r="P415" s="12"/>
      <c r="Q415" s="12"/>
      <c r="R415" s="36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</row>
    <row r="416">
      <c r="J416" s="12"/>
      <c r="K416" s="12"/>
      <c r="L416" s="12"/>
      <c r="M416" s="12"/>
      <c r="N416" s="12"/>
      <c r="O416" s="12"/>
      <c r="P416" s="12"/>
      <c r="Q416" s="12"/>
      <c r="R416" s="36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</row>
    <row r="417">
      <c r="J417" s="12"/>
      <c r="K417" s="12"/>
      <c r="L417" s="12"/>
      <c r="M417" s="12"/>
      <c r="N417" s="12"/>
      <c r="O417" s="12"/>
      <c r="P417" s="12"/>
      <c r="Q417" s="12"/>
      <c r="R417" s="36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</row>
    <row r="418">
      <c r="J418" s="12"/>
      <c r="K418" s="12"/>
      <c r="L418" s="12"/>
      <c r="M418" s="12"/>
      <c r="N418" s="12"/>
      <c r="O418" s="12"/>
      <c r="P418" s="12"/>
      <c r="Q418" s="12"/>
      <c r="R418" s="36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</row>
    <row r="419">
      <c r="J419" s="12"/>
      <c r="K419" s="12"/>
      <c r="L419" s="12"/>
      <c r="M419" s="12"/>
      <c r="N419" s="12"/>
      <c r="O419" s="12"/>
      <c r="P419" s="12"/>
      <c r="Q419" s="12"/>
      <c r="R419" s="36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</row>
    <row r="420">
      <c r="J420" s="12"/>
      <c r="K420" s="12"/>
      <c r="L420" s="12"/>
      <c r="M420" s="12"/>
      <c r="N420" s="12"/>
      <c r="O420" s="12"/>
      <c r="P420" s="12"/>
      <c r="Q420" s="12"/>
      <c r="R420" s="36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</row>
    <row r="421">
      <c r="J421" s="12"/>
      <c r="K421" s="12"/>
      <c r="L421" s="12"/>
      <c r="M421" s="12"/>
      <c r="N421" s="12"/>
      <c r="O421" s="12"/>
      <c r="P421" s="12"/>
      <c r="Q421" s="12"/>
      <c r="R421" s="36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</row>
    <row r="422">
      <c r="J422" s="12"/>
      <c r="K422" s="12"/>
      <c r="L422" s="12"/>
      <c r="M422" s="12"/>
      <c r="N422" s="12"/>
      <c r="O422" s="12"/>
      <c r="P422" s="12"/>
      <c r="Q422" s="12"/>
      <c r="R422" s="36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</row>
    <row r="423">
      <c r="J423" s="12"/>
      <c r="K423" s="12"/>
      <c r="L423" s="12"/>
      <c r="M423" s="12"/>
      <c r="N423" s="12"/>
      <c r="O423" s="12"/>
      <c r="P423" s="12"/>
      <c r="Q423" s="12"/>
      <c r="R423" s="36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</row>
    <row r="424">
      <c r="J424" s="12"/>
      <c r="K424" s="12"/>
      <c r="L424" s="12"/>
      <c r="M424" s="12"/>
      <c r="N424" s="12"/>
      <c r="O424" s="12"/>
      <c r="P424" s="12"/>
      <c r="Q424" s="12"/>
      <c r="R424" s="36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</row>
    <row r="425">
      <c r="J425" s="12"/>
      <c r="K425" s="12"/>
      <c r="L425" s="12"/>
      <c r="M425" s="12"/>
      <c r="N425" s="12"/>
      <c r="O425" s="12"/>
      <c r="P425" s="12"/>
      <c r="Q425" s="12"/>
      <c r="R425" s="36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</row>
    <row r="426">
      <c r="J426" s="12"/>
      <c r="K426" s="12"/>
      <c r="L426" s="12"/>
      <c r="M426" s="12"/>
      <c r="N426" s="12"/>
      <c r="O426" s="12"/>
      <c r="P426" s="12"/>
      <c r="Q426" s="12"/>
      <c r="R426" s="36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</row>
    <row r="427">
      <c r="J427" s="12"/>
      <c r="K427" s="12"/>
      <c r="L427" s="12"/>
      <c r="M427" s="12"/>
      <c r="N427" s="12"/>
      <c r="O427" s="12"/>
      <c r="P427" s="12"/>
      <c r="Q427" s="12"/>
      <c r="R427" s="36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</row>
    <row r="428">
      <c r="J428" s="12"/>
      <c r="K428" s="12"/>
      <c r="L428" s="12"/>
      <c r="M428" s="12"/>
      <c r="N428" s="12"/>
      <c r="O428" s="12"/>
      <c r="P428" s="12"/>
      <c r="Q428" s="12"/>
      <c r="R428" s="36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</row>
    <row r="429">
      <c r="J429" s="12"/>
      <c r="K429" s="12"/>
      <c r="L429" s="12"/>
      <c r="M429" s="12"/>
      <c r="N429" s="12"/>
      <c r="O429" s="12"/>
      <c r="P429" s="12"/>
      <c r="Q429" s="12"/>
      <c r="R429" s="36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</row>
    <row r="430">
      <c r="J430" s="12"/>
      <c r="K430" s="12"/>
      <c r="L430" s="12"/>
      <c r="M430" s="12"/>
      <c r="N430" s="12"/>
      <c r="O430" s="12"/>
      <c r="P430" s="12"/>
      <c r="Q430" s="12"/>
      <c r="R430" s="36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</row>
    <row r="431">
      <c r="J431" s="12"/>
      <c r="K431" s="12"/>
      <c r="L431" s="12"/>
      <c r="M431" s="12"/>
      <c r="N431" s="12"/>
      <c r="O431" s="12"/>
      <c r="P431" s="12"/>
      <c r="Q431" s="12"/>
      <c r="R431" s="36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</row>
    <row r="432">
      <c r="J432" s="12"/>
      <c r="K432" s="12"/>
      <c r="L432" s="12"/>
      <c r="M432" s="12"/>
      <c r="N432" s="12"/>
      <c r="O432" s="12"/>
      <c r="P432" s="12"/>
      <c r="Q432" s="12"/>
      <c r="R432" s="36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</row>
    <row r="433">
      <c r="J433" s="12"/>
      <c r="K433" s="12"/>
      <c r="L433" s="12"/>
      <c r="M433" s="12"/>
      <c r="N433" s="12"/>
      <c r="O433" s="12"/>
      <c r="P433" s="12"/>
      <c r="Q433" s="12"/>
      <c r="R433" s="36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</row>
    <row r="434">
      <c r="J434" s="12"/>
      <c r="K434" s="12"/>
      <c r="L434" s="12"/>
      <c r="M434" s="12"/>
      <c r="N434" s="12"/>
      <c r="O434" s="12"/>
      <c r="P434" s="12"/>
      <c r="Q434" s="12"/>
      <c r="R434" s="36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</row>
    <row r="435">
      <c r="J435" s="12"/>
      <c r="K435" s="12"/>
      <c r="L435" s="12"/>
      <c r="M435" s="12"/>
      <c r="N435" s="12"/>
      <c r="O435" s="12"/>
      <c r="P435" s="12"/>
      <c r="Q435" s="12"/>
      <c r="R435" s="36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</row>
    <row r="436">
      <c r="J436" s="12"/>
      <c r="K436" s="12"/>
      <c r="L436" s="12"/>
      <c r="M436" s="12"/>
      <c r="N436" s="12"/>
      <c r="O436" s="12"/>
      <c r="P436" s="12"/>
      <c r="Q436" s="12"/>
      <c r="R436" s="36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</row>
    <row r="437">
      <c r="J437" s="12"/>
      <c r="K437" s="12"/>
      <c r="L437" s="12"/>
      <c r="M437" s="12"/>
      <c r="N437" s="12"/>
      <c r="O437" s="12"/>
      <c r="P437" s="12"/>
      <c r="Q437" s="12"/>
      <c r="R437" s="36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</row>
    <row r="438">
      <c r="J438" s="12"/>
      <c r="K438" s="12"/>
      <c r="L438" s="12"/>
      <c r="M438" s="12"/>
      <c r="N438" s="12"/>
      <c r="O438" s="12"/>
      <c r="P438" s="12"/>
      <c r="Q438" s="12"/>
      <c r="R438" s="36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</row>
    <row r="439">
      <c r="J439" s="12"/>
      <c r="K439" s="12"/>
      <c r="L439" s="12"/>
      <c r="M439" s="12"/>
      <c r="N439" s="12"/>
      <c r="O439" s="12"/>
      <c r="P439" s="12"/>
      <c r="Q439" s="12"/>
      <c r="R439" s="36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</row>
    <row r="440">
      <c r="J440" s="12"/>
      <c r="K440" s="12"/>
      <c r="L440" s="12"/>
      <c r="M440" s="12"/>
      <c r="N440" s="12"/>
      <c r="O440" s="12"/>
      <c r="P440" s="12"/>
      <c r="Q440" s="12"/>
      <c r="R440" s="36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</row>
    <row r="441">
      <c r="J441" s="12"/>
      <c r="K441" s="12"/>
      <c r="L441" s="12"/>
      <c r="M441" s="12"/>
      <c r="N441" s="12"/>
      <c r="O441" s="12"/>
      <c r="P441" s="12"/>
      <c r="Q441" s="12"/>
      <c r="R441" s="36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</row>
    <row r="442">
      <c r="J442" s="12"/>
      <c r="K442" s="12"/>
      <c r="L442" s="12"/>
      <c r="M442" s="12"/>
      <c r="N442" s="12"/>
      <c r="O442" s="12"/>
      <c r="P442" s="12"/>
      <c r="Q442" s="12"/>
      <c r="R442" s="36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</row>
    <row r="443">
      <c r="J443" s="12"/>
      <c r="K443" s="12"/>
      <c r="L443" s="12"/>
      <c r="M443" s="12"/>
      <c r="N443" s="12"/>
      <c r="O443" s="12"/>
      <c r="P443" s="12"/>
      <c r="Q443" s="12"/>
      <c r="R443" s="36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</row>
    <row r="444">
      <c r="J444" s="12"/>
      <c r="K444" s="12"/>
      <c r="L444" s="12"/>
      <c r="M444" s="12"/>
      <c r="N444" s="12"/>
      <c r="O444" s="12"/>
      <c r="P444" s="12"/>
      <c r="Q444" s="12"/>
      <c r="R444" s="36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</row>
    <row r="445">
      <c r="J445" s="12"/>
      <c r="K445" s="12"/>
      <c r="L445" s="12"/>
      <c r="M445" s="12"/>
      <c r="N445" s="12"/>
      <c r="O445" s="12"/>
      <c r="P445" s="12"/>
      <c r="Q445" s="12"/>
      <c r="R445" s="36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</row>
    <row r="446">
      <c r="J446" s="12"/>
      <c r="K446" s="12"/>
      <c r="L446" s="12"/>
      <c r="M446" s="12"/>
      <c r="N446" s="12"/>
      <c r="O446" s="12"/>
      <c r="P446" s="12"/>
      <c r="Q446" s="12"/>
      <c r="R446" s="36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</row>
    <row r="447">
      <c r="J447" s="12"/>
      <c r="K447" s="12"/>
      <c r="L447" s="12"/>
      <c r="M447" s="12"/>
      <c r="N447" s="12"/>
      <c r="O447" s="12"/>
      <c r="P447" s="12"/>
      <c r="Q447" s="12"/>
      <c r="R447" s="36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</row>
    <row r="448">
      <c r="J448" s="12"/>
      <c r="K448" s="12"/>
      <c r="L448" s="12"/>
      <c r="M448" s="12"/>
      <c r="N448" s="12"/>
      <c r="O448" s="12"/>
      <c r="P448" s="12"/>
      <c r="Q448" s="12"/>
      <c r="R448" s="36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</row>
    <row r="449">
      <c r="J449" s="12"/>
      <c r="K449" s="12"/>
      <c r="L449" s="12"/>
      <c r="M449" s="12"/>
      <c r="N449" s="12"/>
      <c r="O449" s="12"/>
      <c r="P449" s="12"/>
      <c r="Q449" s="12"/>
      <c r="R449" s="36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</row>
    <row r="450">
      <c r="J450" s="12"/>
      <c r="K450" s="12"/>
      <c r="L450" s="12"/>
      <c r="M450" s="12"/>
      <c r="N450" s="12"/>
      <c r="O450" s="12"/>
      <c r="P450" s="12"/>
      <c r="Q450" s="12"/>
      <c r="R450" s="36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</row>
    <row r="451">
      <c r="J451" s="12"/>
      <c r="K451" s="12"/>
      <c r="L451" s="12"/>
      <c r="M451" s="12"/>
      <c r="N451" s="12"/>
      <c r="O451" s="12"/>
      <c r="P451" s="12"/>
      <c r="Q451" s="12"/>
      <c r="R451" s="36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</row>
    <row r="452">
      <c r="J452" s="12"/>
      <c r="K452" s="12"/>
      <c r="L452" s="12"/>
      <c r="M452" s="12"/>
      <c r="N452" s="12"/>
      <c r="O452" s="12"/>
      <c r="P452" s="12"/>
      <c r="Q452" s="12"/>
      <c r="R452" s="36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</row>
    <row r="453">
      <c r="J453" s="12"/>
      <c r="K453" s="12"/>
      <c r="L453" s="12"/>
      <c r="M453" s="12"/>
      <c r="N453" s="12"/>
      <c r="O453" s="12"/>
      <c r="P453" s="12"/>
      <c r="Q453" s="12"/>
      <c r="R453" s="36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</row>
    <row r="454">
      <c r="J454" s="12"/>
      <c r="K454" s="12"/>
      <c r="L454" s="12"/>
      <c r="M454" s="12"/>
      <c r="N454" s="12"/>
      <c r="O454" s="12"/>
      <c r="P454" s="12"/>
      <c r="Q454" s="12"/>
      <c r="R454" s="36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</row>
    <row r="455">
      <c r="J455" s="12"/>
      <c r="K455" s="12"/>
      <c r="L455" s="12"/>
      <c r="M455" s="12"/>
      <c r="N455" s="12"/>
      <c r="O455" s="12"/>
      <c r="P455" s="12"/>
      <c r="Q455" s="12"/>
      <c r="R455" s="36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</row>
    <row r="456">
      <c r="J456" s="12"/>
      <c r="K456" s="12"/>
      <c r="L456" s="12"/>
      <c r="M456" s="12"/>
      <c r="N456" s="12"/>
      <c r="O456" s="12"/>
      <c r="P456" s="12"/>
      <c r="Q456" s="12"/>
      <c r="R456" s="36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</row>
    <row r="457">
      <c r="J457" s="12"/>
      <c r="K457" s="12"/>
      <c r="L457" s="12"/>
      <c r="M457" s="12"/>
      <c r="N457" s="12"/>
      <c r="O457" s="12"/>
      <c r="P457" s="12"/>
      <c r="Q457" s="12"/>
      <c r="R457" s="36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</row>
    <row r="458">
      <c r="J458" s="12"/>
      <c r="K458" s="12"/>
      <c r="L458" s="12"/>
      <c r="M458" s="12"/>
      <c r="N458" s="12"/>
      <c r="O458" s="12"/>
      <c r="P458" s="12"/>
      <c r="Q458" s="12"/>
      <c r="R458" s="36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</row>
    <row r="459">
      <c r="J459" s="12"/>
      <c r="K459" s="12"/>
      <c r="L459" s="12"/>
      <c r="M459" s="12"/>
      <c r="N459" s="12"/>
      <c r="O459" s="12"/>
      <c r="P459" s="12"/>
      <c r="Q459" s="12"/>
      <c r="R459" s="36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</row>
    <row r="460">
      <c r="J460" s="12"/>
      <c r="K460" s="12"/>
      <c r="L460" s="12"/>
      <c r="M460" s="12"/>
      <c r="N460" s="12"/>
      <c r="O460" s="12"/>
      <c r="P460" s="12"/>
      <c r="Q460" s="12"/>
      <c r="R460" s="36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</row>
    <row r="461">
      <c r="J461" s="12"/>
      <c r="K461" s="12"/>
      <c r="L461" s="12"/>
      <c r="M461" s="12"/>
      <c r="N461" s="12"/>
      <c r="O461" s="12"/>
      <c r="P461" s="12"/>
      <c r="Q461" s="12"/>
      <c r="R461" s="36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</row>
    <row r="462">
      <c r="J462" s="12"/>
      <c r="K462" s="12"/>
      <c r="L462" s="12"/>
      <c r="M462" s="12"/>
      <c r="N462" s="12"/>
      <c r="O462" s="12"/>
      <c r="P462" s="12"/>
      <c r="Q462" s="12"/>
      <c r="R462" s="36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</row>
    <row r="463">
      <c r="J463" s="12"/>
      <c r="K463" s="12"/>
      <c r="L463" s="12"/>
      <c r="M463" s="12"/>
      <c r="N463" s="12"/>
      <c r="O463" s="12"/>
      <c r="P463" s="12"/>
      <c r="Q463" s="12"/>
      <c r="R463" s="36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</row>
    <row r="464">
      <c r="J464" s="12"/>
      <c r="K464" s="12"/>
      <c r="L464" s="12"/>
      <c r="M464" s="12"/>
      <c r="N464" s="12"/>
      <c r="O464" s="12"/>
      <c r="P464" s="12"/>
      <c r="Q464" s="12"/>
      <c r="R464" s="36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</row>
    <row r="465">
      <c r="J465" s="12"/>
      <c r="K465" s="12"/>
      <c r="L465" s="12"/>
      <c r="M465" s="12"/>
      <c r="N465" s="12"/>
      <c r="O465" s="12"/>
      <c r="P465" s="12"/>
      <c r="Q465" s="12"/>
      <c r="R465" s="36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</row>
    <row r="466">
      <c r="J466" s="12"/>
      <c r="K466" s="12"/>
      <c r="L466" s="12"/>
      <c r="M466" s="12"/>
      <c r="N466" s="12"/>
      <c r="O466" s="12"/>
      <c r="P466" s="12"/>
      <c r="Q466" s="12"/>
      <c r="R466" s="36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</row>
    <row r="467">
      <c r="J467" s="12"/>
      <c r="K467" s="12"/>
      <c r="L467" s="12"/>
      <c r="M467" s="12"/>
      <c r="N467" s="12"/>
      <c r="O467" s="12"/>
      <c r="P467" s="12"/>
      <c r="Q467" s="12"/>
      <c r="R467" s="36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</row>
    <row r="468">
      <c r="J468" s="12"/>
      <c r="K468" s="12"/>
      <c r="L468" s="12"/>
      <c r="M468" s="12"/>
      <c r="N468" s="12"/>
      <c r="O468" s="12"/>
      <c r="P468" s="12"/>
      <c r="Q468" s="12"/>
      <c r="R468" s="36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</row>
    <row r="469">
      <c r="J469" s="12"/>
      <c r="K469" s="12"/>
      <c r="L469" s="12"/>
      <c r="M469" s="12"/>
      <c r="N469" s="12"/>
      <c r="O469" s="12"/>
      <c r="P469" s="12"/>
      <c r="Q469" s="12"/>
      <c r="R469" s="36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</row>
    <row r="470">
      <c r="J470" s="12"/>
      <c r="K470" s="12"/>
      <c r="L470" s="12"/>
      <c r="M470" s="12"/>
      <c r="N470" s="12"/>
      <c r="O470" s="12"/>
      <c r="P470" s="12"/>
      <c r="Q470" s="12"/>
      <c r="R470" s="36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</row>
    <row r="471">
      <c r="J471" s="12"/>
      <c r="K471" s="12"/>
      <c r="L471" s="12"/>
      <c r="M471" s="12"/>
      <c r="N471" s="12"/>
      <c r="O471" s="12"/>
      <c r="P471" s="12"/>
      <c r="Q471" s="12"/>
      <c r="R471" s="36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</row>
    <row r="472">
      <c r="J472" s="12"/>
      <c r="K472" s="12"/>
      <c r="L472" s="12"/>
      <c r="M472" s="12"/>
      <c r="N472" s="12"/>
      <c r="O472" s="12"/>
      <c r="P472" s="12"/>
      <c r="Q472" s="12"/>
      <c r="R472" s="36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</row>
    <row r="473">
      <c r="J473" s="12"/>
      <c r="K473" s="12"/>
      <c r="L473" s="12"/>
      <c r="M473" s="12"/>
      <c r="N473" s="12"/>
      <c r="O473" s="12"/>
      <c r="P473" s="12"/>
      <c r="Q473" s="12"/>
      <c r="R473" s="36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</row>
    <row r="474">
      <c r="J474" s="12"/>
      <c r="K474" s="12"/>
      <c r="L474" s="12"/>
      <c r="M474" s="12"/>
      <c r="N474" s="12"/>
      <c r="O474" s="12"/>
      <c r="P474" s="12"/>
      <c r="Q474" s="12"/>
      <c r="R474" s="36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</row>
    <row r="475">
      <c r="J475" s="12"/>
      <c r="K475" s="12"/>
      <c r="L475" s="12"/>
      <c r="M475" s="12"/>
      <c r="N475" s="12"/>
      <c r="O475" s="12"/>
      <c r="P475" s="12"/>
      <c r="Q475" s="12"/>
      <c r="R475" s="36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</row>
    <row r="476">
      <c r="J476" s="12"/>
      <c r="K476" s="12"/>
      <c r="L476" s="12"/>
      <c r="M476" s="12"/>
      <c r="N476" s="12"/>
      <c r="O476" s="12"/>
      <c r="P476" s="12"/>
      <c r="Q476" s="12"/>
      <c r="R476" s="36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</row>
    <row r="477">
      <c r="J477" s="12"/>
      <c r="K477" s="12"/>
      <c r="L477" s="12"/>
      <c r="M477" s="12"/>
      <c r="N477" s="12"/>
      <c r="O477" s="12"/>
      <c r="P477" s="12"/>
      <c r="Q477" s="12"/>
      <c r="R477" s="36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</row>
    <row r="478">
      <c r="J478" s="12"/>
      <c r="K478" s="12"/>
      <c r="L478" s="12"/>
      <c r="M478" s="12"/>
      <c r="N478" s="12"/>
      <c r="O478" s="12"/>
      <c r="P478" s="12"/>
      <c r="Q478" s="12"/>
      <c r="R478" s="36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</row>
    <row r="479">
      <c r="J479" s="12"/>
      <c r="K479" s="12"/>
      <c r="L479" s="12"/>
      <c r="M479" s="12"/>
      <c r="N479" s="12"/>
      <c r="O479" s="12"/>
      <c r="P479" s="12"/>
      <c r="Q479" s="12"/>
      <c r="R479" s="36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</row>
    <row r="480">
      <c r="J480" s="12"/>
      <c r="K480" s="12"/>
      <c r="L480" s="12"/>
      <c r="M480" s="12"/>
      <c r="N480" s="12"/>
      <c r="O480" s="12"/>
      <c r="P480" s="12"/>
      <c r="Q480" s="12"/>
      <c r="R480" s="36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</row>
    <row r="481">
      <c r="J481" s="12"/>
      <c r="K481" s="12"/>
      <c r="L481" s="12"/>
      <c r="M481" s="12"/>
      <c r="N481" s="12"/>
      <c r="O481" s="12"/>
      <c r="P481" s="12"/>
      <c r="Q481" s="12"/>
      <c r="R481" s="36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</row>
    <row r="482">
      <c r="J482" s="12"/>
      <c r="K482" s="12"/>
      <c r="L482" s="12"/>
      <c r="M482" s="12"/>
      <c r="N482" s="12"/>
      <c r="O482" s="12"/>
      <c r="P482" s="12"/>
      <c r="Q482" s="12"/>
      <c r="R482" s="36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</row>
    <row r="483">
      <c r="J483" s="12"/>
      <c r="K483" s="12"/>
      <c r="L483" s="12"/>
      <c r="M483" s="12"/>
      <c r="N483" s="12"/>
      <c r="O483" s="12"/>
      <c r="P483" s="12"/>
      <c r="Q483" s="12"/>
      <c r="R483" s="36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</row>
    <row r="484">
      <c r="J484" s="12"/>
      <c r="K484" s="12"/>
      <c r="L484" s="12"/>
      <c r="M484" s="12"/>
      <c r="N484" s="12"/>
      <c r="O484" s="12"/>
      <c r="P484" s="12"/>
      <c r="Q484" s="12"/>
      <c r="R484" s="36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</row>
    <row r="485">
      <c r="J485" s="12"/>
      <c r="K485" s="12"/>
      <c r="L485" s="12"/>
      <c r="M485" s="12"/>
      <c r="N485" s="12"/>
      <c r="O485" s="12"/>
      <c r="P485" s="12"/>
      <c r="Q485" s="12"/>
      <c r="R485" s="36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</row>
    <row r="486">
      <c r="J486" s="12"/>
      <c r="K486" s="12"/>
      <c r="L486" s="12"/>
      <c r="M486" s="12"/>
      <c r="N486" s="12"/>
      <c r="O486" s="12"/>
      <c r="P486" s="12"/>
      <c r="Q486" s="12"/>
      <c r="R486" s="36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</row>
    <row r="487">
      <c r="J487" s="12"/>
      <c r="K487" s="12"/>
      <c r="L487" s="12"/>
      <c r="M487" s="12"/>
      <c r="N487" s="12"/>
      <c r="O487" s="12"/>
      <c r="P487" s="12"/>
      <c r="Q487" s="12"/>
      <c r="R487" s="36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</row>
    <row r="488">
      <c r="J488" s="12"/>
      <c r="K488" s="12"/>
      <c r="L488" s="12"/>
      <c r="M488" s="12"/>
      <c r="N488" s="12"/>
      <c r="O488" s="12"/>
      <c r="P488" s="12"/>
      <c r="Q488" s="12"/>
      <c r="R488" s="36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</row>
    <row r="489">
      <c r="J489" s="12"/>
      <c r="K489" s="12"/>
      <c r="L489" s="12"/>
      <c r="M489" s="12"/>
      <c r="N489" s="12"/>
      <c r="O489" s="12"/>
      <c r="P489" s="12"/>
      <c r="Q489" s="12"/>
      <c r="R489" s="36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</row>
    <row r="490">
      <c r="J490" s="12"/>
      <c r="K490" s="12"/>
      <c r="L490" s="12"/>
      <c r="M490" s="12"/>
      <c r="N490" s="12"/>
      <c r="O490" s="12"/>
      <c r="P490" s="12"/>
      <c r="Q490" s="12"/>
      <c r="R490" s="36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</row>
    <row r="491">
      <c r="J491" s="12"/>
      <c r="K491" s="12"/>
      <c r="L491" s="12"/>
      <c r="M491" s="12"/>
      <c r="N491" s="12"/>
      <c r="O491" s="12"/>
      <c r="P491" s="12"/>
      <c r="Q491" s="12"/>
      <c r="R491" s="36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</row>
    <row r="492">
      <c r="J492" s="12"/>
      <c r="K492" s="12"/>
      <c r="L492" s="12"/>
      <c r="M492" s="12"/>
      <c r="N492" s="12"/>
      <c r="O492" s="12"/>
      <c r="P492" s="12"/>
      <c r="Q492" s="12"/>
      <c r="R492" s="36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</row>
    <row r="493">
      <c r="J493" s="12"/>
      <c r="K493" s="12"/>
      <c r="L493" s="12"/>
      <c r="M493" s="12"/>
      <c r="N493" s="12"/>
      <c r="O493" s="12"/>
      <c r="P493" s="12"/>
      <c r="Q493" s="12"/>
      <c r="R493" s="36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</row>
    <row r="494">
      <c r="J494" s="12"/>
      <c r="K494" s="12"/>
      <c r="L494" s="12"/>
      <c r="M494" s="12"/>
      <c r="N494" s="12"/>
      <c r="O494" s="12"/>
      <c r="P494" s="12"/>
      <c r="Q494" s="12"/>
      <c r="R494" s="36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</row>
    <row r="495">
      <c r="J495" s="12"/>
      <c r="K495" s="12"/>
      <c r="L495" s="12"/>
      <c r="M495" s="12"/>
      <c r="N495" s="12"/>
      <c r="O495" s="12"/>
      <c r="P495" s="12"/>
      <c r="Q495" s="12"/>
      <c r="R495" s="36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</row>
    <row r="496">
      <c r="J496" s="12"/>
      <c r="K496" s="12"/>
      <c r="L496" s="12"/>
      <c r="M496" s="12"/>
      <c r="N496" s="12"/>
      <c r="O496" s="12"/>
      <c r="P496" s="12"/>
      <c r="Q496" s="12"/>
      <c r="R496" s="36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</row>
    <row r="497">
      <c r="J497" s="12"/>
      <c r="K497" s="12"/>
      <c r="L497" s="12"/>
      <c r="M497" s="12"/>
      <c r="N497" s="12"/>
      <c r="O497" s="12"/>
      <c r="P497" s="12"/>
      <c r="Q497" s="12"/>
      <c r="R497" s="36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</row>
    <row r="498">
      <c r="J498" s="12"/>
      <c r="K498" s="12"/>
      <c r="L498" s="12"/>
      <c r="M498" s="12"/>
      <c r="N498" s="12"/>
      <c r="O498" s="12"/>
      <c r="P498" s="12"/>
      <c r="Q498" s="12"/>
      <c r="R498" s="36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</row>
    <row r="499">
      <c r="J499" s="12"/>
      <c r="K499" s="12"/>
      <c r="L499" s="12"/>
      <c r="M499" s="12"/>
      <c r="N499" s="12"/>
      <c r="O499" s="12"/>
      <c r="P499" s="12"/>
      <c r="Q499" s="12"/>
      <c r="R499" s="36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</row>
    <row r="500">
      <c r="J500" s="12"/>
      <c r="K500" s="12"/>
      <c r="L500" s="12"/>
      <c r="M500" s="12"/>
      <c r="N500" s="12"/>
      <c r="O500" s="12"/>
      <c r="P500" s="12"/>
      <c r="Q500" s="12"/>
      <c r="R500" s="36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</row>
    <row r="501">
      <c r="J501" s="12"/>
      <c r="K501" s="12"/>
      <c r="L501" s="12"/>
      <c r="M501" s="12"/>
      <c r="N501" s="12"/>
      <c r="O501" s="12"/>
      <c r="P501" s="12"/>
      <c r="Q501" s="12"/>
      <c r="R501" s="36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</row>
    <row r="502">
      <c r="J502" s="12"/>
      <c r="K502" s="12"/>
      <c r="L502" s="12"/>
      <c r="M502" s="12"/>
      <c r="N502" s="12"/>
      <c r="O502" s="12"/>
      <c r="P502" s="12"/>
      <c r="Q502" s="12"/>
      <c r="R502" s="36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</row>
    <row r="503">
      <c r="J503" s="12"/>
      <c r="K503" s="12"/>
      <c r="L503" s="12"/>
      <c r="M503" s="12"/>
      <c r="N503" s="12"/>
      <c r="O503" s="12"/>
      <c r="P503" s="12"/>
      <c r="Q503" s="12"/>
      <c r="R503" s="36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</row>
    <row r="504">
      <c r="J504" s="12"/>
      <c r="K504" s="12"/>
      <c r="L504" s="12"/>
      <c r="M504" s="12"/>
      <c r="N504" s="12"/>
      <c r="O504" s="12"/>
      <c r="P504" s="12"/>
      <c r="Q504" s="12"/>
      <c r="R504" s="36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</row>
    <row r="505">
      <c r="J505" s="12"/>
      <c r="K505" s="12"/>
      <c r="L505" s="12"/>
      <c r="M505" s="12"/>
      <c r="N505" s="12"/>
      <c r="O505" s="12"/>
      <c r="P505" s="12"/>
      <c r="Q505" s="12"/>
      <c r="R505" s="36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</row>
    <row r="506">
      <c r="J506" s="12"/>
      <c r="K506" s="12"/>
      <c r="L506" s="12"/>
      <c r="M506" s="12"/>
      <c r="N506" s="12"/>
      <c r="O506" s="12"/>
      <c r="P506" s="12"/>
      <c r="Q506" s="12"/>
      <c r="R506" s="36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</row>
    <row r="507">
      <c r="J507" s="12"/>
      <c r="K507" s="12"/>
      <c r="L507" s="12"/>
      <c r="M507" s="12"/>
      <c r="N507" s="12"/>
      <c r="O507" s="12"/>
      <c r="P507" s="12"/>
      <c r="Q507" s="12"/>
      <c r="R507" s="36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</row>
    <row r="508">
      <c r="J508" s="12"/>
      <c r="K508" s="12"/>
      <c r="L508" s="12"/>
      <c r="M508" s="12"/>
      <c r="N508" s="12"/>
      <c r="O508" s="12"/>
      <c r="P508" s="12"/>
      <c r="Q508" s="12"/>
      <c r="R508" s="36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</row>
    <row r="509">
      <c r="J509" s="12"/>
      <c r="K509" s="12"/>
      <c r="L509" s="12"/>
      <c r="M509" s="12"/>
      <c r="N509" s="12"/>
      <c r="O509" s="12"/>
      <c r="P509" s="12"/>
      <c r="Q509" s="12"/>
      <c r="R509" s="36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</row>
    <row r="510">
      <c r="J510" s="12"/>
      <c r="K510" s="12"/>
      <c r="L510" s="12"/>
      <c r="M510" s="12"/>
      <c r="N510" s="12"/>
      <c r="O510" s="12"/>
      <c r="P510" s="12"/>
      <c r="Q510" s="12"/>
      <c r="R510" s="36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</row>
    <row r="511">
      <c r="J511" s="12"/>
      <c r="K511" s="12"/>
      <c r="L511" s="12"/>
      <c r="M511" s="12"/>
      <c r="N511" s="12"/>
      <c r="O511" s="12"/>
      <c r="P511" s="12"/>
      <c r="Q511" s="12"/>
      <c r="R511" s="36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</row>
    <row r="512">
      <c r="J512" s="12"/>
      <c r="K512" s="12"/>
      <c r="L512" s="12"/>
      <c r="M512" s="12"/>
      <c r="N512" s="12"/>
      <c r="O512" s="12"/>
      <c r="P512" s="12"/>
      <c r="Q512" s="12"/>
      <c r="R512" s="36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</row>
    <row r="513">
      <c r="J513" s="12"/>
      <c r="K513" s="12"/>
      <c r="L513" s="12"/>
      <c r="M513" s="12"/>
      <c r="N513" s="12"/>
      <c r="O513" s="12"/>
      <c r="P513" s="12"/>
      <c r="Q513" s="12"/>
      <c r="R513" s="36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</row>
    <row r="514">
      <c r="J514" s="12"/>
      <c r="K514" s="12"/>
      <c r="L514" s="12"/>
      <c r="M514" s="12"/>
      <c r="N514" s="12"/>
      <c r="O514" s="12"/>
      <c r="P514" s="12"/>
      <c r="Q514" s="12"/>
      <c r="R514" s="36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</row>
    <row r="515">
      <c r="J515" s="12"/>
      <c r="K515" s="12"/>
      <c r="L515" s="12"/>
      <c r="M515" s="12"/>
      <c r="N515" s="12"/>
      <c r="O515" s="12"/>
      <c r="P515" s="12"/>
      <c r="Q515" s="12"/>
      <c r="R515" s="36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</row>
    <row r="516">
      <c r="J516" s="12"/>
      <c r="K516" s="12"/>
      <c r="L516" s="12"/>
      <c r="M516" s="12"/>
      <c r="N516" s="12"/>
      <c r="O516" s="12"/>
      <c r="P516" s="12"/>
      <c r="Q516" s="12"/>
      <c r="R516" s="36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</row>
    <row r="517">
      <c r="J517" s="12"/>
      <c r="K517" s="12"/>
      <c r="L517" s="12"/>
      <c r="M517" s="12"/>
      <c r="N517" s="12"/>
      <c r="O517" s="12"/>
      <c r="P517" s="12"/>
      <c r="Q517" s="12"/>
      <c r="R517" s="36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</row>
    <row r="518">
      <c r="J518" s="12"/>
      <c r="K518" s="12"/>
      <c r="L518" s="12"/>
      <c r="M518" s="12"/>
      <c r="N518" s="12"/>
      <c r="O518" s="12"/>
      <c r="P518" s="12"/>
      <c r="Q518" s="12"/>
      <c r="R518" s="36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</row>
    <row r="519">
      <c r="J519" s="12"/>
      <c r="K519" s="12"/>
      <c r="L519" s="12"/>
      <c r="M519" s="12"/>
      <c r="N519" s="12"/>
      <c r="O519" s="12"/>
      <c r="P519" s="12"/>
      <c r="Q519" s="12"/>
      <c r="R519" s="36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</row>
    <row r="520">
      <c r="J520" s="12"/>
      <c r="K520" s="12"/>
      <c r="L520" s="12"/>
      <c r="M520" s="12"/>
      <c r="N520" s="12"/>
      <c r="O520" s="12"/>
      <c r="P520" s="12"/>
      <c r="Q520" s="12"/>
      <c r="R520" s="36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</row>
    <row r="521">
      <c r="J521" s="12"/>
      <c r="K521" s="12"/>
      <c r="L521" s="12"/>
      <c r="M521" s="12"/>
      <c r="N521" s="12"/>
      <c r="O521" s="12"/>
      <c r="P521" s="12"/>
      <c r="Q521" s="12"/>
      <c r="R521" s="36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</row>
    <row r="522">
      <c r="J522" s="12"/>
      <c r="K522" s="12"/>
      <c r="L522" s="12"/>
      <c r="M522" s="12"/>
      <c r="N522" s="12"/>
      <c r="O522" s="12"/>
      <c r="P522" s="12"/>
      <c r="Q522" s="12"/>
      <c r="R522" s="36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</row>
    <row r="523">
      <c r="J523" s="12"/>
      <c r="K523" s="12"/>
      <c r="L523" s="12"/>
      <c r="M523" s="12"/>
      <c r="N523" s="12"/>
      <c r="O523" s="12"/>
      <c r="P523" s="12"/>
      <c r="Q523" s="12"/>
      <c r="R523" s="36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</row>
    <row r="524">
      <c r="J524" s="12"/>
      <c r="K524" s="12"/>
      <c r="L524" s="12"/>
      <c r="M524" s="12"/>
      <c r="N524" s="12"/>
      <c r="O524" s="12"/>
      <c r="P524" s="12"/>
      <c r="Q524" s="12"/>
      <c r="R524" s="36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</row>
    <row r="525">
      <c r="J525" s="12"/>
      <c r="K525" s="12"/>
      <c r="L525" s="12"/>
      <c r="M525" s="12"/>
      <c r="N525" s="12"/>
      <c r="O525" s="12"/>
      <c r="P525" s="12"/>
      <c r="Q525" s="12"/>
      <c r="R525" s="36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</row>
    <row r="526">
      <c r="J526" s="12"/>
      <c r="K526" s="12"/>
      <c r="L526" s="12"/>
      <c r="M526" s="12"/>
      <c r="N526" s="12"/>
      <c r="O526" s="12"/>
      <c r="P526" s="12"/>
      <c r="Q526" s="12"/>
      <c r="R526" s="36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</row>
    <row r="527">
      <c r="J527" s="12"/>
      <c r="K527" s="12"/>
      <c r="L527" s="12"/>
      <c r="M527" s="12"/>
      <c r="N527" s="12"/>
      <c r="O527" s="12"/>
      <c r="P527" s="12"/>
      <c r="Q527" s="12"/>
      <c r="R527" s="36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</row>
    <row r="528">
      <c r="J528" s="12"/>
      <c r="K528" s="12"/>
      <c r="L528" s="12"/>
      <c r="M528" s="12"/>
      <c r="N528" s="12"/>
      <c r="O528" s="12"/>
      <c r="P528" s="12"/>
      <c r="Q528" s="12"/>
      <c r="R528" s="36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</row>
    <row r="529">
      <c r="J529" s="12"/>
      <c r="K529" s="12"/>
      <c r="L529" s="12"/>
      <c r="M529" s="12"/>
      <c r="N529" s="12"/>
      <c r="O529" s="12"/>
      <c r="P529" s="12"/>
      <c r="Q529" s="12"/>
      <c r="R529" s="36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</row>
    <row r="530">
      <c r="J530" s="12"/>
      <c r="K530" s="12"/>
      <c r="L530" s="12"/>
      <c r="M530" s="12"/>
      <c r="N530" s="12"/>
      <c r="O530" s="12"/>
      <c r="P530" s="12"/>
      <c r="Q530" s="12"/>
      <c r="R530" s="36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</row>
    <row r="531">
      <c r="J531" s="12"/>
      <c r="K531" s="12"/>
      <c r="L531" s="12"/>
      <c r="M531" s="12"/>
      <c r="N531" s="12"/>
      <c r="O531" s="12"/>
      <c r="P531" s="12"/>
      <c r="Q531" s="12"/>
      <c r="R531" s="36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</row>
    <row r="532">
      <c r="J532" s="12"/>
      <c r="K532" s="12"/>
      <c r="L532" s="12"/>
      <c r="M532" s="12"/>
      <c r="N532" s="12"/>
      <c r="O532" s="12"/>
      <c r="P532" s="12"/>
      <c r="Q532" s="12"/>
      <c r="R532" s="36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</row>
    <row r="533">
      <c r="J533" s="12"/>
      <c r="K533" s="12"/>
      <c r="L533" s="12"/>
      <c r="M533" s="12"/>
      <c r="N533" s="12"/>
      <c r="O533" s="12"/>
      <c r="P533" s="12"/>
      <c r="Q533" s="12"/>
      <c r="R533" s="36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</row>
    <row r="534">
      <c r="J534" s="12"/>
      <c r="K534" s="12"/>
      <c r="L534" s="12"/>
      <c r="M534" s="12"/>
      <c r="N534" s="12"/>
      <c r="O534" s="12"/>
      <c r="P534" s="12"/>
      <c r="Q534" s="12"/>
      <c r="R534" s="36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</row>
    <row r="535">
      <c r="J535" s="12"/>
      <c r="K535" s="12"/>
      <c r="L535" s="12"/>
      <c r="M535" s="12"/>
      <c r="N535" s="12"/>
      <c r="O535" s="12"/>
      <c r="P535" s="12"/>
      <c r="Q535" s="12"/>
      <c r="R535" s="36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</row>
    <row r="536">
      <c r="J536" s="12"/>
      <c r="K536" s="12"/>
      <c r="L536" s="12"/>
      <c r="M536" s="12"/>
      <c r="N536" s="12"/>
      <c r="O536" s="12"/>
      <c r="P536" s="12"/>
      <c r="Q536" s="12"/>
      <c r="R536" s="36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</row>
    <row r="537">
      <c r="J537" s="12"/>
      <c r="K537" s="12"/>
      <c r="L537" s="12"/>
      <c r="M537" s="12"/>
      <c r="N537" s="12"/>
      <c r="O537" s="12"/>
      <c r="P537" s="12"/>
      <c r="Q537" s="12"/>
      <c r="R537" s="36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</row>
    <row r="538">
      <c r="J538" s="12"/>
      <c r="K538" s="12"/>
      <c r="L538" s="12"/>
      <c r="M538" s="12"/>
      <c r="N538" s="12"/>
      <c r="O538" s="12"/>
      <c r="P538" s="12"/>
      <c r="Q538" s="12"/>
      <c r="R538" s="36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</row>
    <row r="539">
      <c r="J539" s="12"/>
      <c r="K539" s="12"/>
      <c r="L539" s="12"/>
      <c r="M539" s="12"/>
      <c r="N539" s="12"/>
      <c r="O539" s="12"/>
      <c r="P539" s="12"/>
      <c r="Q539" s="12"/>
      <c r="R539" s="36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</row>
    <row r="540">
      <c r="J540" s="12"/>
      <c r="K540" s="12"/>
      <c r="L540" s="12"/>
      <c r="M540" s="12"/>
      <c r="N540" s="12"/>
      <c r="O540" s="12"/>
      <c r="P540" s="12"/>
      <c r="Q540" s="12"/>
      <c r="R540" s="36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</row>
    <row r="541">
      <c r="J541" s="12"/>
      <c r="K541" s="12"/>
      <c r="L541" s="12"/>
      <c r="M541" s="12"/>
      <c r="N541" s="12"/>
      <c r="O541" s="12"/>
      <c r="P541" s="12"/>
      <c r="Q541" s="12"/>
      <c r="R541" s="36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</row>
    <row r="542">
      <c r="J542" s="12"/>
      <c r="K542" s="12"/>
      <c r="L542" s="12"/>
      <c r="M542" s="12"/>
      <c r="N542" s="12"/>
      <c r="O542" s="12"/>
      <c r="P542" s="12"/>
      <c r="Q542" s="12"/>
      <c r="R542" s="36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</row>
    <row r="543">
      <c r="J543" s="12"/>
      <c r="K543" s="12"/>
      <c r="L543" s="12"/>
      <c r="M543" s="12"/>
      <c r="N543" s="12"/>
      <c r="O543" s="12"/>
      <c r="P543" s="12"/>
      <c r="Q543" s="12"/>
      <c r="R543" s="36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</row>
    <row r="544">
      <c r="J544" s="12"/>
      <c r="K544" s="12"/>
      <c r="L544" s="12"/>
      <c r="M544" s="12"/>
      <c r="N544" s="12"/>
      <c r="O544" s="12"/>
      <c r="P544" s="12"/>
      <c r="Q544" s="12"/>
      <c r="R544" s="36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</row>
    <row r="545">
      <c r="J545" s="12"/>
      <c r="K545" s="12"/>
      <c r="L545" s="12"/>
      <c r="M545" s="12"/>
      <c r="N545" s="12"/>
      <c r="O545" s="12"/>
      <c r="P545" s="12"/>
      <c r="Q545" s="12"/>
      <c r="R545" s="36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</row>
    <row r="546">
      <c r="J546" s="12"/>
      <c r="K546" s="12"/>
      <c r="L546" s="12"/>
      <c r="M546" s="12"/>
      <c r="N546" s="12"/>
      <c r="O546" s="12"/>
      <c r="P546" s="12"/>
      <c r="Q546" s="12"/>
      <c r="R546" s="36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</row>
    <row r="547">
      <c r="J547" s="12"/>
      <c r="K547" s="12"/>
      <c r="L547" s="12"/>
      <c r="M547" s="12"/>
      <c r="N547" s="12"/>
      <c r="O547" s="12"/>
      <c r="P547" s="12"/>
      <c r="Q547" s="12"/>
      <c r="R547" s="36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</row>
    <row r="548">
      <c r="J548" s="12"/>
      <c r="K548" s="12"/>
      <c r="L548" s="12"/>
      <c r="M548" s="12"/>
      <c r="N548" s="12"/>
      <c r="O548" s="12"/>
      <c r="P548" s="12"/>
      <c r="Q548" s="12"/>
      <c r="R548" s="36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</row>
    <row r="549">
      <c r="J549" s="12"/>
      <c r="K549" s="12"/>
      <c r="L549" s="12"/>
      <c r="M549" s="12"/>
      <c r="N549" s="12"/>
      <c r="O549" s="12"/>
      <c r="P549" s="12"/>
      <c r="Q549" s="12"/>
      <c r="R549" s="36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</row>
    <row r="550">
      <c r="J550" s="12"/>
      <c r="K550" s="12"/>
      <c r="L550" s="12"/>
      <c r="M550" s="12"/>
      <c r="N550" s="12"/>
      <c r="O550" s="12"/>
      <c r="P550" s="12"/>
      <c r="Q550" s="12"/>
      <c r="R550" s="36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</row>
    <row r="551">
      <c r="J551" s="12"/>
      <c r="K551" s="12"/>
      <c r="L551" s="12"/>
      <c r="M551" s="12"/>
      <c r="N551" s="12"/>
      <c r="O551" s="12"/>
      <c r="P551" s="12"/>
      <c r="Q551" s="12"/>
      <c r="R551" s="36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</row>
    <row r="552">
      <c r="J552" s="12"/>
      <c r="K552" s="12"/>
      <c r="L552" s="12"/>
      <c r="M552" s="12"/>
      <c r="N552" s="12"/>
      <c r="O552" s="12"/>
      <c r="P552" s="12"/>
      <c r="Q552" s="12"/>
      <c r="R552" s="36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</row>
    <row r="553">
      <c r="J553" s="12"/>
      <c r="K553" s="12"/>
      <c r="L553" s="12"/>
      <c r="M553" s="12"/>
      <c r="N553" s="12"/>
      <c r="O553" s="12"/>
      <c r="P553" s="12"/>
      <c r="Q553" s="12"/>
      <c r="R553" s="36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</row>
    <row r="554">
      <c r="J554" s="12"/>
      <c r="K554" s="12"/>
      <c r="L554" s="12"/>
      <c r="M554" s="12"/>
      <c r="N554" s="12"/>
      <c r="O554" s="12"/>
      <c r="P554" s="12"/>
      <c r="Q554" s="12"/>
      <c r="R554" s="36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</row>
    <row r="555">
      <c r="J555" s="12"/>
      <c r="K555" s="12"/>
      <c r="L555" s="12"/>
      <c r="M555" s="12"/>
      <c r="N555" s="12"/>
      <c r="O555" s="12"/>
      <c r="P555" s="12"/>
      <c r="Q555" s="12"/>
      <c r="R555" s="36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</row>
    <row r="556">
      <c r="J556" s="12"/>
      <c r="K556" s="12"/>
      <c r="L556" s="12"/>
      <c r="M556" s="12"/>
      <c r="N556" s="12"/>
      <c r="O556" s="12"/>
      <c r="P556" s="12"/>
      <c r="Q556" s="12"/>
      <c r="R556" s="36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</row>
    <row r="557">
      <c r="J557" s="12"/>
      <c r="K557" s="12"/>
      <c r="L557" s="12"/>
      <c r="M557" s="12"/>
      <c r="N557" s="12"/>
      <c r="O557" s="12"/>
      <c r="P557" s="12"/>
      <c r="Q557" s="12"/>
      <c r="R557" s="36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</row>
    <row r="558">
      <c r="J558" s="12"/>
      <c r="K558" s="12"/>
      <c r="L558" s="12"/>
      <c r="M558" s="12"/>
      <c r="N558" s="12"/>
      <c r="O558" s="12"/>
      <c r="P558" s="12"/>
      <c r="Q558" s="12"/>
      <c r="R558" s="36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</row>
    <row r="559">
      <c r="J559" s="12"/>
      <c r="K559" s="12"/>
      <c r="L559" s="12"/>
      <c r="M559" s="12"/>
      <c r="N559" s="12"/>
      <c r="O559" s="12"/>
      <c r="P559" s="12"/>
      <c r="Q559" s="12"/>
      <c r="R559" s="36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</row>
    <row r="560">
      <c r="J560" s="12"/>
      <c r="K560" s="12"/>
      <c r="L560" s="12"/>
      <c r="M560" s="12"/>
      <c r="N560" s="12"/>
      <c r="O560" s="12"/>
      <c r="P560" s="12"/>
      <c r="Q560" s="12"/>
      <c r="R560" s="36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</row>
    <row r="561">
      <c r="J561" s="12"/>
      <c r="K561" s="12"/>
      <c r="L561" s="12"/>
      <c r="M561" s="12"/>
      <c r="N561" s="12"/>
      <c r="O561" s="12"/>
      <c r="P561" s="12"/>
      <c r="Q561" s="12"/>
      <c r="R561" s="36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</row>
    <row r="562">
      <c r="J562" s="12"/>
      <c r="K562" s="12"/>
      <c r="L562" s="12"/>
      <c r="M562" s="12"/>
      <c r="N562" s="12"/>
      <c r="O562" s="12"/>
      <c r="P562" s="12"/>
      <c r="Q562" s="12"/>
      <c r="R562" s="36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</row>
    <row r="563">
      <c r="J563" s="12"/>
      <c r="K563" s="12"/>
      <c r="L563" s="12"/>
      <c r="M563" s="12"/>
      <c r="N563" s="12"/>
      <c r="O563" s="12"/>
      <c r="P563" s="12"/>
      <c r="Q563" s="12"/>
      <c r="R563" s="36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</row>
    <row r="564">
      <c r="J564" s="12"/>
      <c r="K564" s="12"/>
      <c r="L564" s="12"/>
      <c r="M564" s="12"/>
      <c r="N564" s="12"/>
      <c r="O564" s="12"/>
      <c r="P564" s="12"/>
      <c r="Q564" s="12"/>
      <c r="R564" s="36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</row>
    <row r="565">
      <c r="J565" s="12"/>
      <c r="K565" s="12"/>
      <c r="L565" s="12"/>
      <c r="M565" s="12"/>
      <c r="N565" s="12"/>
      <c r="O565" s="12"/>
      <c r="P565" s="12"/>
      <c r="Q565" s="12"/>
      <c r="R565" s="36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</row>
    <row r="566">
      <c r="J566" s="12"/>
      <c r="K566" s="12"/>
      <c r="L566" s="12"/>
      <c r="M566" s="12"/>
      <c r="N566" s="12"/>
      <c r="O566" s="12"/>
      <c r="P566" s="12"/>
      <c r="Q566" s="12"/>
      <c r="R566" s="36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</row>
    <row r="567">
      <c r="J567" s="12"/>
      <c r="K567" s="12"/>
      <c r="L567" s="12"/>
      <c r="M567" s="12"/>
      <c r="N567" s="12"/>
      <c r="O567" s="12"/>
      <c r="P567" s="12"/>
      <c r="Q567" s="12"/>
      <c r="R567" s="36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</row>
    <row r="568">
      <c r="J568" s="12"/>
      <c r="K568" s="12"/>
      <c r="L568" s="12"/>
      <c r="M568" s="12"/>
      <c r="N568" s="12"/>
      <c r="O568" s="12"/>
      <c r="P568" s="12"/>
      <c r="Q568" s="12"/>
      <c r="R568" s="36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</row>
    <row r="569">
      <c r="J569" s="12"/>
      <c r="K569" s="12"/>
      <c r="L569" s="12"/>
      <c r="M569" s="12"/>
      <c r="N569" s="12"/>
      <c r="O569" s="12"/>
      <c r="P569" s="12"/>
      <c r="Q569" s="12"/>
      <c r="R569" s="36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</row>
    <row r="570">
      <c r="J570" s="12"/>
      <c r="K570" s="12"/>
      <c r="L570" s="12"/>
      <c r="M570" s="12"/>
      <c r="N570" s="12"/>
      <c r="O570" s="12"/>
      <c r="P570" s="12"/>
      <c r="Q570" s="12"/>
      <c r="R570" s="36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</row>
    <row r="571">
      <c r="J571" s="12"/>
      <c r="K571" s="12"/>
      <c r="L571" s="12"/>
      <c r="M571" s="12"/>
      <c r="N571" s="12"/>
      <c r="O571" s="12"/>
      <c r="P571" s="12"/>
      <c r="Q571" s="12"/>
      <c r="R571" s="36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</row>
    <row r="572">
      <c r="J572" s="12"/>
      <c r="K572" s="12"/>
      <c r="L572" s="12"/>
      <c r="M572" s="12"/>
      <c r="N572" s="12"/>
      <c r="O572" s="12"/>
      <c r="P572" s="12"/>
      <c r="Q572" s="12"/>
      <c r="R572" s="36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</row>
    <row r="573">
      <c r="J573" s="12"/>
      <c r="K573" s="12"/>
      <c r="L573" s="12"/>
      <c r="M573" s="12"/>
      <c r="N573" s="12"/>
      <c r="O573" s="12"/>
      <c r="P573" s="12"/>
      <c r="Q573" s="12"/>
      <c r="R573" s="36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</row>
    <row r="574">
      <c r="J574" s="12"/>
      <c r="K574" s="12"/>
      <c r="L574" s="12"/>
      <c r="M574" s="12"/>
      <c r="N574" s="12"/>
      <c r="O574" s="12"/>
      <c r="P574" s="12"/>
      <c r="Q574" s="12"/>
      <c r="R574" s="36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</row>
    <row r="575">
      <c r="J575" s="12"/>
      <c r="K575" s="12"/>
      <c r="L575" s="12"/>
      <c r="M575" s="12"/>
      <c r="N575" s="12"/>
      <c r="O575" s="12"/>
      <c r="P575" s="12"/>
      <c r="Q575" s="12"/>
      <c r="R575" s="36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</row>
    <row r="576">
      <c r="J576" s="12"/>
      <c r="K576" s="12"/>
      <c r="L576" s="12"/>
      <c r="M576" s="12"/>
      <c r="N576" s="12"/>
      <c r="O576" s="12"/>
      <c r="P576" s="12"/>
      <c r="Q576" s="12"/>
      <c r="R576" s="36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</row>
    <row r="577">
      <c r="J577" s="12"/>
      <c r="K577" s="12"/>
      <c r="L577" s="12"/>
      <c r="M577" s="12"/>
      <c r="N577" s="12"/>
      <c r="O577" s="12"/>
      <c r="P577" s="12"/>
      <c r="Q577" s="12"/>
      <c r="R577" s="36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</row>
    <row r="578">
      <c r="J578" s="12"/>
      <c r="K578" s="12"/>
      <c r="L578" s="12"/>
      <c r="M578" s="12"/>
      <c r="N578" s="12"/>
      <c r="O578" s="12"/>
      <c r="P578" s="12"/>
      <c r="Q578" s="12"/>
      <c r="R578" s="36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</row>
    <row r="579">
      <c r="J579" s="12"/>
      <c r="K579" s="12"/>
      <c r="L579" s="12"/>
      <c r="M579" s="12"/>
      <c r="N579" s="12"/>
      <c r="O579" s="12"/>
      <c r="P579" s="12"/>
      <c r="Q579" s="12"/>
      <c r="R579" s="36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</row>
    <row r="580">
      <c r="J580" s="12"/>
      <c r="K580" s="12"/>
      <c r="L580" s="12"/>
      <c r="M580" s="12"/>
      <c r="N580" s="12"/>
      <c r="O580" s="12"/>
      <c r="P580" s="12"/>
      <c r="Q580" s="12"/>
      <c r="R580" s="36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</row>
    <row r="581">
      <c r="J581" s="12"/>
      <c r="K581" s="12"/>
      <c r="L581" s="12"/>
      <c r="M581" s="12"/>
      <c r="N581" s="12"/>
      <c r="O581" s="12"/>
      <c r="P581" s="12"/>
      <c r="Q581" s="12"/>
      <c r="R581" s="36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</row>
    <row r="582">
      <c r="J582" s="12"/>
      <c r="K582" s="12"/>
      <c r="L582" s="12"/>
      <c r="M582" s="12"/>
      <c r="N582" s="12"/>
      <c r="O582" s="12"/>
      <c r="P582" s="12"/>
      <c r="Q582" s="12"/>
      <c r="R582" s="36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</row>
    <row r="583">
      <c r="J583" s="12"/>
      <c r="K583" s="12"/>
      <c r="L583" s="12"/>
      <c r="M583" s="12"/>
      <c r="N583" s="12"/>
      <c r="O583" s="12"/>
      <c r="P583" s="12"/>
      <c r="Q583" s="12"/>
      <c r="R583" s="36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</row>
    <row r="584">
      <c r="J584" s="12"/>
      <c r="K584" s="12"/>
      <c r="L584" s="12"/>
      <c r="M584" s="12"/>
      <c r="N584" s="12"/>
      <c r="O584" s="12"/>
      <c r="P584" s="12"/>
      <c r="Q584" s="12"/>
      <c r="R584" s="36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</row>
    <row r="585">
      <c r="J585" s="12"/>
      <c r="K585" s="12"/>
      <c r="L585" s="12"/>
      <c r="M585" s="12"/>
      <c r="N585" s="12"/>
      <c r="O585" s="12"/>
      <c r="P585" s="12"/>
      <c r="Q585" s="12"/>
      <c r="R585" s="36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</row>
    <row r="586">
      <c r="J586" s="12"/>
      <c r="K586" s="12"/>
      <c r="L586" s="12"/>
      <c r="M586" s="12"/>
      <c r="N586" s="12"/>
      <c r="O586" s="12"/>
      <c r="P586" s="12"/>
      <c r="Q586" s="12"/>
      <c r="R586" s="36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</row>
    <row r="587">
      <c r="J587" s="12"/>
      <c r="K587" s="12"/>
      <c r="L587" s="12"/>
      <c r="M587" s="12"/>
      <c r="N587" s="12"/>
      <c r="O587" s="12"/>
      <c r="P587" s="12"/>
      <c r="Q587" s="12"/>
      <c r="R587" s="36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</row>
    <row r="588">
      <c r="J588" s="12"/>
      <c r="K588" s="12"/>
      <c r="L588" s="12"/>
      <c r="M588" s="12"/>
      <c r="N588" s="12"/>
      <c r="O588" s="12"/>
      <c r="P588" s="12"/>
      <c r="Q588" s="12"/>
      <c r="R588" s="36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</row>
    <row r="589">
      <c r="J589" s="12"/>
      <c r="K589" s="12"/>
      <c r="L589" s="12"/>
      <c r="M589" s="12"/>
      <c r="N589" s="12"/>
      <c r="O589" s="12"/>
      <c r="P589" s="12"/>
      <c r="Q589" s="12"/>
      <c r="R589" s="36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</row>
    <row r="590">
      <c r="J590" s="12"/>
      <c r="K590" s="12"/>
      <c r="L590" s="12"/>
      <c r="M590" s="12"/>
      <c r="N590" s="12"/>
      <c r="O590" s="12"/>
      <c r="P590" s="12"/>
      <c r="Q590" s="12"/>
      <c r="R590" s="36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</row>
    <row r="591">
      <c r="J591" s="12"/>
      <c r="K591" s="12"/>
      <c r="L591" s="12"/>
      <c r="M591" s="12"/>
      <c r="N591" s="12"/>
      <c r="O591" s="12"/>
      <c r="P591" s="12"/>
      <c r="Q591" s="12"/>
      <c r="R591" s="36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</row>
    <row r="592">
      <c r="J592" s="12"/>
      <c r="K592" s="12"/>
      <c r="L592" s="12"/>
      <c r="M592" s="12"/>
      <c r="N592" s="12"/>
      <c r="O592" s="12"/>
      <c r="P592" s="12"/>
      <c r="Q592" s="12"/>
      <c r="R592" s="36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</row>
    <row r="593">
      <c r="J593" s="12"/>
      <c r="K593" s="12"/>
      <c r="L593" s="12"/>
      <c r="M593" s="12"/>
      <c r="N593" s="12"/>
      <c r="O593" s="12"/>
      <c r="P593" s="12"/>
      <c r="Q593" s="12"/>
      <c r="R593" s="36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</row>
    <row r="594">
      <c r="J594" s="12"/>
      <c r="K594" s="12"/>
      <c r="L594" s="12"/>
      <c r="M594" s="12"/>
      <c r="N594" s="12"/>
      <c r="O594" s="12"/>
      <c r="P594" s="12"/>
      <c r="Q594" s="12"/>
      <c r="R594" s="36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</row>
    <row r="595">
      <c r="J595" s="12"/>
      <c r="K595" s="12"/>
      <c r="L595" s="12"/>
      <c r="M595" s="12"/>
      <c r="N595" s="12"/>
      <c r="O595" s="12"/>
      <c r="P595" s="12"/>
      <c r="Q595" s="12"/>
      <c r="R595" s="36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</row>
    <row r="596">
      <c r="J596" s="12"/>
      <c r="K596" s="12"/>
      <c r="L596" s="12"/>
      <c r="M596" s="12"/>
      <c r="N596" s="12"/>
      <c r="O596" s="12"/>
      <c r="P596" s="12"/>
      <c r="Q596" s="12"/>
      <c r="R596" s="36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</row>
    <row r="597">
      <c r="J597" s="12"/>
      <c r="K597" s="12"/>
      <c r="L597" s="12"/>
      <c r="M597" s="12"/>
      <c r="N597" s="12"/>
      <c r="O597" s="12"/>
      <c r="P597" s="12"/>
      <c r="Q597" s="12"/>
      <c r="R597" s="36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</row>
    <row r="598">
      <c r="J598" s="12"/>
      <c r="K598" s="12"/>
      <c r="L598" s="12"/>
      <c r="M598" s="12"/>
      <c r="N598" s="12"/>
      <c r="O598" s="12"/>
      <c r="P598" s="12"/>
      <c r="Q598" s="12"/>
      <c r="R598" s="36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</row>
    <row r="599">
      <c r="J599" s="12"/>
      <c r="K599" s="12"/>
      <c r="L599" s="12"/>
      <c r="M599" s="12"/>
      <c r="N599" s="12"/>
      <c r="O599" s="12"/>
      <c r="P599" s="12"/>
      <c r="Q599" s="12"/>
      <c r="R599" s="36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</row>
    <row r="600">
      <c r="J600" s="12"/>
      <c r="K600" s="12"/>
      <c r="L600" s="12"/>
      <c r="M600" s="12"/>
      <c r="N600" s="12"/>
      <c r="O600" s="12"/>
      <c r="P600" s="12"/>
      <c r="Q600" s="12"/>
      <c r="R600" s="36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</row>
    <row r="601">
      <c r="J601" s="12"/>
      <c r="K601" s="12"/>
      <c r="L601" s="12"/>
      <c r="M601" s="12"/>
      <c r="N601" s="12"/>
      <c r="O601" s="12"/>
      <c r="P601" s="12"/>
      <c r="Q601" s="12"/>
      <c r="R601" s="36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</row>
    <row r="602">
      <c r="J602" s="12"/>
      <c r="K602" s="12"/>
      <c r="L602" s="12"/>
      <c r="M602" s="12"/>
      <c r="N602" s="12"/>
      <c r="O602" s="12"/>
      <c r="P602" s="12"/>
      <c r="Q602" s="12"/>
      <c r="R602" s="36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</row>
    <row r="603">
      <c r="J603" s="12"/>
      <c r="K603" s="12"/>
      <c r="L603" s="12"/>
      <c r="M603" s="12"/>
      <c r="N603" s="12"/>
      <c r="O603" s="12"/>
      <c r="P603" s="12"/>
      <c r="Q603" s="12"/>
      <c r="R603" s="36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</row>
    <row r="604">
      <c r="J604" s="12"/>
      <c r="K604" s="12"/>
      <c r="L604" s="12"/>
      <c r="M604" s="12"/>
      <c r="N604" s="12"/>
      <c r="O604" s="12"/>
      <c r="P604" s="12"/>
      <c r="Q604" s="12"/>
      <c r="R604" s="36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</row>
    <row r="605">
      <c r="J605" s="12"/>
      <c r="K605" s="12"/>
      <c r="L605" s="12"/>
      <c r="M605" s="12"/>
      <c r="N605" s="12"/>
      <c r="O605" s="12"/>
      <c r="P605" s="12"/>
      <c r="Q605" s="12"/>
      <c r="R605" s="36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</row>
    <row r="606">
      <c r="J606" s="12"/>
      <c r="K606" s="12"/>
      <c r="L606" s="12"/>
      <c r="M606" s="12"/>
      <c r="N606" s="12"/>
      <c r="O606" s="12"/>
      <c r="P606" s="12"/>
      <c r="Q606" s="12"/>
      <c r="R606" s="36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</row>
    <row r="607">
      <c r="J607" s="12"/>
      <c r="K607" s="12"/>
      <c r="L607" s="12"/>
      <c r="M607" s="12"/>
      <c r="N607" s="12"/>
      <c r="O607" s="12"/>
      <c r="P607" s="12"/>
      <c r="Q607" s="12"/>
      <c r="R607" s="36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</row>
    <row r="608">
      <c r="J608" s="12"/>
      <c r="K608" s="12"/>
      <c r="L608" s="12"/>
      <c r="M608" s="12"/>
      <c r="N608" s="12"/>
      <c r="O608" s="12"/>
      <c r="P608" s="12"/>
      <c r="Q608" s="12"/>
      <c r="R608" s="36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</row>
    <row r="609">
      <c r="J609" s="12"/>
      <c r="K609" s="12"/>
      <c r="L609" s="12"/>
      <c r="M609" s="12"/>
      <c r="N609" s="12"/>
      <c r="O609" s="12"/>
      <c r="P609" s="12"/>
      <c r="Q609" s="12"/>
      <c r="R609" s="36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</row>
    <row r="610">
      <c r="J610" s="12"/>
      <c r="K610" s="12"/>
      <c r="L610" s="12"/>
      <c r="M610" s="12"/>
      <c r="N610" s="12"/>
      <c r="O610" s="12"/>
      <c r="P610" s="12"/>
      <c r="Q610" s="12"/>
      <c r="R610" s="36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</row>
    <row r="611">
      <c r="J611" s="12"/>
      <c r="K611" s="12"/>
      <c r="L611" s="12"/>
      <c r="M611" s="12"/>
      <c r="N611" s="12"/>
      <c r="O611" s="12"/>
      <c r="P611" s="12"/>
      <c r="Q611" s="12"/>
      <c r="R611" s="36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</row>
    <row r="612">
      <c r="J612" s="12"/>
      <c r="K612" s="12"/>
      <c r="L612" s="12"/>
      <c r="M612" s="12"/>
      <c r="N612" s="12"/>
      <c r="O612" s="12"/>
      <c r="P612" s="12"/>
      <c r="Q612" s="12"/>
      <c r="R612" s="36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</row>
    <row r="613">
      <c r="J613" s="12"/>
      <c r="K613" s="12"/>
      <c r="L613" s="12"/>
      <c r="M613" s="12"/>
      <c r="N613" s="12"/>
      <c r="O613" s="12"/>
      <c r="P613" s="12"/>
      <c r="Q613" s="12"/>
      <c r="R613" s="36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</row>
    <row r="614">
      <c r="J614" s="12"/>
      <c r="K614" s="12"/>
      <c r="L614" s="12"/>
      <c r="M614" s="12"/>
      <c r="N614" s="12"/>
      <c r="O614" s="12"/>
      <c r="P614" s="12"/>
      <c r="Q614" s="12"/>
      <c r="R614" s="36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</row>
    <row r="615">
      <c r="J615" s="12"/>
      <c r="K615" s="12"/>
      <c r="L615" s="12"/>
      <c r="M615" s="12"/>
      <c r="N615" s="12"/>
      <c r="O615" s="12"/>
      <c r="P615" s="12"/>
      <c r="Q615" s="12"/>
      <c r="R615" s="36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</row>
    <row r="616">
      <c r="J616" s="12"/>
      <c r="K616" s="12"/>
      <c r="L616" s="12"/>
      <c r="M616" s="12"/>
      <c r="N616" s="12"/>
      <c r="O616" s="12"/>
      <c r="P616" s="12"/>
      <c r="Q616" s="12"/>
      <c r="R616" s="36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</row>
    <row r="617">
      <c r="J617" s="12"/>
      <c r="K617" s="12"/>
      <c r="L617" s="12"/>
      <c r="M617" s="12"/>
      <c r="N617" s="12"/>
      <c r="O617" s="12"/>
      <c r="P617" s="12"/>
      <c r="Q617" s="12"/>
      <c r="R617" s="36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</row>
    <row r="618">
      <c r="J618" s="12"/>
      <c r="K618" s="12"/>
      <c r="L618" s="12"/>
      <c r="M618" s="12"/>
      <c r="N618" s="12"/>
      <c r="O618" s="12"/>
      <c r="P618" s="12"/>
      <c r="Q618" s="12"/>
      <c r="R618" s="36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</row>
    <row r="619">
      <c r="J619" s="12"/>
      <c r="K619" s="12"/>
      <c r="L619" s="12"/>
      <c r="M619" s="12"/>
      <c r="N619" s="12"/>
      <c r="O619" s="12"/>
      <c r="P619" s="12"/>
      <c r="Q619" s="12"/>
      <c r="R619" s="36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</row>
    <row r="620">
      <c r="J620" s="12"/>
      <c r="K620" s="12"/>
      <c r="L620" s="12"/>
      <c r="M620" s="12"/>
      <c r="N620" s="12"/>
      <c r="O620" s="12"/>
      <c r="P620" s="12"/>
      <c r="Q620" s="12"/>
      <c r="R620" s="36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</row>
    <row r="621">
      <c r="J621" s="12"/>
      <c r="K621" s="12"/>
      <c r="L621" s="12"/>
      <c r="M621" s="12"/>
      <c r="N621" s="12"/>
      <c r="O621" s="12"/>
      <c r="P621" s="12"/>
      <c r="Q621" s="12"/>
      <c r="R621" s="36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</row>
    <row r="622">
      <c r="J622" s="12"/>
      <c r="K622" s="12"/>
      <c r="L622" s="12"/>
      <c r="M622" s="12"/>
      <c r="N622" s="12"/>
      <c r="O622" s="12"/>
      <c r="P622" s="12"/>
      <c r="Q622" s="12"/>
      <c r="R622" s="36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</row>
    <row r="623">
      <c r="J623" s="12"/>
      <c r="K623" s="12"/>
      <c r="L623" s="12"/>
      <c r="M623" s="12"/>
      <c r="N623" s="12"/>
      <c r="O623" s="12"/>
      <c r="P623" s="12"/>
      <c r="Q623" s="12"/>
      <c r="R623" s="36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</row>
    <row r="624">
      <c r="J624" s="12"/>
      <c r="K624" s="12"/>
      <c r="L624" s="12"/>
      <c r="M624" s="12"/>
      <c r="N624" s="12"/>
      <c r="O624" s="12"/>
      <c r="P624" s="12"/>
      <c r="Q624" s="12"/>
      <c r="R624" s="36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</row>
    <row r="625">
      <c r="J625" s="12"/>
      <c r="K625" s="12"/>
      <c r="L625" s="12"/>
      <c r="M625" s="12"/>
      <c r="N625" s="12"/>
      <c r="O625" s="12"/>
      <c r="P625" s="12"/>
      <c r="Q625" s="12"/>
      <c r="R625" s="36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</row>
    <row r="626">
      <c r="J626" s="12"/>
      <c r="K626" s="12"/>
      <c r="L626" s="12"/>
      <c r="M626" s="12"/>
      <c r="N626" s="12"/>
      <c r="O626" s="12"/>
      <c r="P626" s="12"/>
      <c r="Q626" s="12"/>
      <c r="R626" s="36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</row>
    <row r="627">
      <c r="J627" s="12"/>
      <c r="K627" s="12"/>
      <c r="L627" s="12"/>
      <c r="M627" s="12"/>
      <c r="N627" s="12"/>
      <c r="O627" s="12"/>
      <c r="P627" s="12"/>
      <c r="Q627" s="12"/>
      <c r="R627" s="36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</row>
    <row r="628">
      <c r="J628" s="12"/>
      <c r="K628" s="12"/>
      <c r="L628" s="12"/>
      <c r="M628" s="12"/>
      <c r="N628" s="12"/>
      <c r="O628" s="12"/>
      <c r="P628" s="12"/>
      <c r="Q628" s="12"/>
      <c r="R628" s="36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</row>
    <row r="629">
      <c r="J629" s="12"/>
      <c r="K629" s="12"/>
      <c r="L629" s="12"/>
      <c r="M629" s="12"/>
      <c r="N629" s="12"/>
      <c r="O629" s="12"/>
      <c r="P629" s="12"/>
      <c r="Q629" s="12"/>
      <c r="R629" s="36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</row>
    <row r="630">
      <c r="J630" s="12"/>
      <c r="K630" s="12"/>
      <c r="L630" s="12"/>
      <c r="M630" s="12"/>
      <c r="N630" s="12"/>
      <c r="O630" s="12"/>
      <c r="P630" s="12"/>
      <c r="Q630" s="12"/>
      <c r="R630" s="36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</row>
    <row r="631">
      <c r="J631" s="12"/>
      <c r="K631" s="12"/>
      <c r="L631" s="12"/>
      <c r="M631" s="12"/>
      <c r="N631" s="12"/>
      <c r="O631" s="12"/>
      <c r="P631" s="12"/>
      <c r="Q631" s="12"/>
      <c r="R631" s="36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</row>
    <row r="632">
      <c r="J632" s="12"/>
      <c r="K632" s="12"/>
      <c r="L632" s="12"/>
      <c r="M632" s="12"/>
      <c r="N632" s="12"/>
      <c r="O632" s="12"/>
      <c r="P632" s="12"/>
      <c r="Q632" s="12"/>
      <c r="R632" s="36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</row>
    <row r="633">
      <c r="J633" s="12"/>
      <c r="K633" s="12"/>
      <c r="L633" s="12"/>
      <c r="M633" s="12"/>
      <c r="N633" s="12"/>
      <c r="O633" s="12"/>
      <c r="P633" s="12"/>
      <c r="Q633" s="12"/>
      <c r="R633" s="36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</row>
    <row r="634">
      <c r="J634" s="12"/>
      <c r="K634" s="12"/>
      <c r="L634" s="12"/>
      <c r="M634" s="12"/>
      <c r="N634" s="12"/>
      <c r="O634" s="12"/>
      <c r="P634" s="12"/>
      <c r="Q634" s="12"/>
      <c r="R634" s="36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</row>
    <row r="635">
      <c r="J635" s="12"/>
      <c r="K635" s="12"/>
      <c r="L635" s="12"/>
      <c r="M635" s="12"/>
      <c r="N635" s="12"/>
      <c r="O635" s="12"/>
      <c r="P635" s="12"/>
      <c r="Q635" s="12"/>
      <c r="R635" s="36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</row>
    <row r="636">
      <c r="J636" s="12"/>
      <c r="K636" s="12"/>
      <c r="L636" s="12"/>
      <c r="M636" s="12"/>
      <c r="N636" s="12"/>
      <c r="O636" s="12"/>
      <c r="P636" s="12"/>
      <c r="Q636" s="12"/>
      <c r="R636" s="36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</row>
    <row r="637">
      <c r="J637" s="12"/>
      <c r="K637" s="12"/>
      <c r="L637" s="12"/>
      <c r="M637" s="12"/>
      <c r="N637" s="12"/>
      <c r="O637" s="12"/>
      <c r="P637" s="12"/>
      <c r="Q637" s="12"/>
      <c r="R637" s="36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</row>
    <row r="638">
      <c r="J638" s="12"/>
      <c r="K638" s="12"/>
      <c r="L638" s="12"/>
      <c r="M638" s="12"/>
      <c r="N638" s="12"/>
      <c r="O638" s="12"/>
      <c r="P638" s="12"/>
      <c r="Q638" s="12"/>
      <c r="R638" s="36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</row>
    <row r="639">
      <c r="J639" s="12"/>
      <c r="K639" s="12"/>
      <c r="L639" s="12"/>
      <c r="M639" s="12"/>
      <c r="N639" s="12"/>
      <c r="O639" s="12"/>
      <c r="P639" s="12"/>
      <c r="Q639" s="12"/>
      <c r="R639" s="36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</row>
    <row r="640">
      <c r="J640" s="12"/>
      <c r="K640" s="12"/>
      <c r="L640" s="12"/>
      <c r="M640" s="12"/>
      <c r="N640" s="12"/>
      <c r="O640" s="12"/>
      <c r="P640" s="12"/>
      <c r="Q640" s="12"/>
      <c r="R640" s="36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</row>
    <row r="641">
      <c r="J641" s="12"/>
      <c r="K641" s="12"/>
      <c r="L641" s="12"/>
      <c r="M641" s="12"/>
      <c r="N641" s="12"/>
      <c r="O641" s="12"/>
      <c r="P641" s="12"/>
      <c r="Q641" s="12"/>
      <c r="R641" s="36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</row>
    <row r="642">
      <c r="J642" s="12"/>
      <c r="K642" s="12"/>
      <c r="L642" s="12"/>
      <c r="M642" s="12"/>
      <c r="N642" s="12"/>
      <c r="O642" s="12"/>
      <c r="P642" s="12"/>
      <c r="Q642" s="12"/>
      <c r="R642" s="36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</row>
    <row r="643">
      <c r="J643" s="12"/>
      <c r="K643" s="12"/>
      <c r="L643" s="12"/>
      <c r="M643" s="12"/>
      <c r="N643" s="12"/>
      <c r="O643" s="12"/>
      <c r="P643" s="12"/>
      <c r="Q643" s="12"/>
      <c r="R643" s="36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</row>
    <row r="644">
      <c r="J644" s="12"/>
      <c r="K644" s="12"/>
      <c r="L644" s="12"/>
      <c r="M644" s="12"/>
      <c r="N644" s="12"/>
      <c r="O644" s="12"/>
      <c r="P644" s="12"/>
      <c r="Q644" s="12"/>
      <c r="R644" s="36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</row>
    <row r="645">
      <c r="J645" s="12"/>
      <c r="K645" s="12"/>
      <c r="L645" s="12"/>
      <c r="M645" s="12"/>
      <c r="N645" s="12"/>
      <c r="O645" s="12"/>
      <c r="P645" s="12"/>
      <c r="Q645" s="12"/>
      <c r="R645" s="36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</row>
    <row r="646">
      <c r="J646" s="12"/>
      <c r="K646" s="12"/>
      <c r="L646" s="12"/>
      <c r="M646" s="12"/>
      <c r="N646" s="12"/>
      <c r="O646" s="12"/>
      <c r="P646" s="12"/>
      <c r="Q646" s="12"/>
      <c r="R646" s="36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</row>
    <row r="647">
      <c r="J647" s="12"/>
      <c r="K647" s="12"/>
      <c r="L647" s="12"/>
      <c r="M647" s="12"/>
      <c r="N647" s="12"/>
      <c r="O647" s="12"/>
      <c r="P647" s="12"/>
      <c r="Q647" s="12"/>
      <c r="R647" s="36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</row>
    <row r="648">
      <c r="J648" s="12"/>
      <c r="K648" s="12"/>
      <c r="L648" s="12"/>
      <c r="M648" s="12"/>
      <c r="N648" s="12"/>
      <c r="O648" s="12"/>
      <c r="P648" s="12"/>
      <c r="Q648" s="12"/>
      <c r="R648" s="36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</row>
    <row r="649">
      <c r="J649" s="12"/>
      <c r="K649" s="12"/>
      <c r="L649" s="12"/>
      <c r="M649" s="12"/>
      <c r="N649" s="12"/>
      <c r="O649" s="12"/>
      <c r="P649" s="12"/>
      <c r="Q649" s="12"/>
      <c r="R649" s="36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</row>
    <row r="650">
      <c r="J650" s="12"/>
      <c r="K650" s="12"/>
      <c r="L650" s="12"/>
      <c r="M650" s="12"/>
      <c r="N650" s="12"/>
      <c r="O650" s="12"/>
      <c r="P650" s="12"/>
      <c r="Q650" s="12"/>
      <c r="R650" s="36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</row>
    <row r="651">
      <c r="J651" s="12"/>
      <c r="K651" s="12"/>
      <c r="L651" s="12"/>
      <c r="M651" s="12"/>
      <c r="N651" s="12"/>
      <c r="O651" s="12"/>
      <c r="P651" s="12"/>
      <c r="Q651" s="12"/>
      <c r="R651" s="36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</row>
    <row r="652">
      <c r="J652" s="12"/>
      <c r="K652" s="12"/>
      <c r="L652" s="12"/>
      <c r="M652" s="12"/>
      <c r="N652" s="12"/>
      <c r="O652" s="12"/>
      <c r="P652" s="12"/>
      <c r="Q652" s="12"/>
      <c r="R652" s="36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</row>
    <row r="653">
      <c r="J653" s="12"/>
      <c r="K653" s="12"/>
      <c r="L653" s="12"/>
      <c r="M653" s="12"/>
      <c r="N653" s="12"/>
      <c r="O653" s="12"/>
      <c r="P653" s="12"/>
      <c r="Q653" s="12"/>
      <c r="R653" s="36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</row>
    <row r="654">
      <c r="J654" s="12"/>
      <c r="K654" s="12"/>
      <c r="L654" s="12"/>
      <c r="M654" s="12"/>
      <c r="N654" s="12"/>
      <c r="O654" s="12"/>
      <c r="P654" s="12"/>
      <c r="Q654" s="12"/>
      <c r="R654" s="36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</row>
    <row r="655">
      <c r="J655" s="12"/>
      <c r="K655" s="12"/>
      <c r="L655" s="12"/>
      <c r="M655" s="12"/>
      <c r="N655" s="12"/>
      <c r="O655" s="12"/>
      <c r="P655" s="12"/>
      <c r="Q655" s="12"/>
      <c r="R655" s="36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</row>
    <row r="656">
      <c r="J656" s="12"/>
      <c r="K656" s="12"/>
      <c r="L656" s="12"/>
      <c r="M656" s="12"/>
      <c r="N656" s="12"/>
      <c r="O656" s="12"/>
      <c r="P656" s="12"/>
      <c r="Q656" s="12"/>
      <c r="R656" s="36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</row>
    <row r="657">
      <c r="J657" s="12"/>
      <c r="K657" s="12"/>
      <c r="L657" s="12"/>
      <c r="M657" s="12"/>
      <c r="N657" s="12"/>
      <c r="O657" s="12"/>
      <c r="P657" s="12"/>
      <c r="Q657" s="12"/>
      <c r="R657" s="36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</row>
    <row r="658">
      <c r="J658" s="12"/>
      <c r="K658" s="12"/>
      <c r="L658" s="12"/>
      <c r="M658" s="12"/>
      <c r="N658" s="12"/>
      <c r="O658" s="12"/>
      <c r="P658" s="12"/>
      <c r="Q658" s="12"/>
      <c r="R658" s="36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</row>
    <row r="659">
      <c r="J659" s="12"/>
      <c r="K659" s="12"/>
      <c r="L659" s="12"/>
      <c r="M659" s="12"/>
      <c r="N659" s="12"/>
      <c r="O659" s="12"/>
      <c r="P659" s="12"/>
      <c r="Q659" s="12"/>
      <c r="R659" s="36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</row>
    <row r="660">
      <c r="J660" s="12"/>
      <c r="K660" s="12"/>
      <c r="L660" s="12"/>
      <c r="M660" s="12"/>
      <c r="N660" s="12"/>
      <c r="O660" s="12"/>
      <c r="P660" s="12"/>
      <c r="Q660" s="12"/>
      <c r="R660" s="36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</row>
    <row r="661">
      <c r="J661" s="12"/>
      <c r="K661" s="12"/>
      <c r="L661" s="12"/>
      <c r="M661" s="12"/>
      <c r="N661" s="12"/>
      <c r="O661" s="12"/>
      <c r="P661" s="12"/>
      <c r="Q661" s="12"/>
      <c r="R661" s="36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</row>
    <row r="662">
      <c r="J662" s="12"/>
      <c r="K662" s="12"/>
      <c r="L662" s="12"/>
      <c r="M662" s="12"/>
      <c r="N662" s="12"/>
      <c r="O662" s="12"/>
      <c r="P662" s="12"/>
      <c r="Q662" s="12"/>
      <c r="R662" s="36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</row>
    <row r="663">
      <c r="J663" s="12"/>
      <c r="K663" s="12"/>
      <c r="L663" s="12"/>
      <c r="M663" s="12"/>
      <c r="N663" s="12"/>
      <c r="O663" s="12"/>
      <c r="P663" s="12"/>
      <c r="Q663" s="12"/>
      <c r="R663" s="36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</row>
    <row r="664">
      <c r="J664" s="12"/>
      <c r="K664" s="12"/>
      <c r="L664" s="12"/>
      <c r="M664" s="12"/>
      <c r="N664" s="12"/>
      <c r="O664" s="12"/>
      <c r="P664" s="12"/>
      <c r="Q664" s="12"/>
      <c r="R664" s="36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</row>
    <row r="665">
      <c r="J665" s="12"/>
      <c r="K665" s="12"/>
      <c r="L665" s="12"/>
      <c r="M665" s="12"/>
      <c r="N665" s="12"/>
      <c r="O665" s="12"/>
      <c r="P665" s="12"/>
      <c r="Q665" s="12"/>
      <c r="R665" s="36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</row>
    <row r="666">
      <c r="J666" s="12"/>
      <c r="K666" s="12"/>
      <c r="L666" s="12"/>
      <c r="M666" s="12"/>
      <c r="N666" s="12"/>
      <c r="O666" s="12"/>
      <c r="P666" s="12"/>
      <c r="Q666" s="12"/>
      <c r="R666" s="36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</row>
    <row r="667">
      <c r="J667" s="12"/>
      <c r="K667" s="12"/>
      <c r="L667" s="12"/>
      <c r="M667" s="12"/>
      <c r="N667" s="12"/>
      <c r="O667" s="12"/>
      <c r="P667" s="12"/>
      <c r="Q667" s="12"/>
      <c r="R667" s="36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</row>
    <row r="668">
      <c r="J668" s="12"/>
      <c r="K668" s="12"/>
      <c r="L668" s="12"/>
      <c r="M668" s="12"/>
      <c r="N668" s="12"/>
      <c r="O668" s="12"/>
      <c r="P668" s="12"/>
      <c r="Q668" s="12"/>
      <c r="R668" s="36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</row>
    <row r="669">
      <c r="J669" s="12"/>
      <c r="K669" s="12"/>
      <c r="L669" s="12"/>
      <c r="M669" s="12"/>
      <c r="N669" s="12"/>
      <c r="O669" s="12"/>
      <c r="P669" s="12"/>
      <c r="Q669" s="12"/>
      <c r="R669" s="36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</row>
    <row r="670">
      <c r="J670" s="12"/>
      <c r="K670" s="12"/>
      <c r="L670" s="12"/>
      <c r="M670" s="12"/>
      <c r="N670" s="12"/>
      <c r="O670" s="12"/>
      <c r="P670" s="12"/>
      <c r="Q670" s="12"/>
      <c r="R670" s="36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</row>
    <row r="671">
      <c r="J671" s="12"/>
      <c r="K671" s="12"/>
      <c r="L671" s="12"/>
      <c r="M671" s="12"/>
      <c r="N671" s="12"/>
      <c r="O671" s="12"/>
      <c r="P671" s="12"/>
      <c r="Q671" s="12"/>
      <c r="R671" s="36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</row>
    <row r="672">
      <c r="J672" s="12"/>
      <c r="K672" s="12"/>
      <c r="L672" s="12"/>
      <c r="M672" s="12"/>
      <c r="N672" s="12"/>
      <c r="O672" s="12"/>
      <c r="P672" s="12"/>
      <c r="Q672" s="12"/>
      <c r="R672" s="36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</row>
    <row r="673">
      <c r="J673" s="12"/>
      <c r="K673" s="12"/>
      <c r="L673" s="12"/>
      <c r="M673" s="12"/>
      <c r="N673" s="12"/>
      <c r="O673" s="12"/>
      <c r="P673" s="12"/>
      <c r="Q673" s="12"/>
      <c r="R673" s="36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</row>
    <row r="674">
      <c r="J674" s="12"/>
      <c r="K674" s="12"/>
      <c r="L674" s="12"/>
      <c r="M674" s="12"/>
      <c r="N674" s="12"/>
      <c r="O674" s="12"/>
      <c r="P674" s="12"/>
      <c r="Q674" s="12"/>
      <c r="R674" s="36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</row>
    <row r="675">
      <c r="J675" s="12"/>
      <c r="K675" s="12"/>
      <c r="L675" s="12"/>
      <c r="M675" s="12"/>
      <c r="N675" s="12"/>
      <c r="O675" s="12"/>
      <c r="P675" s="12"/>
      <c r="Q675" s="12"/>
      <c r="R675" s="36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</row>
    <row r="676">
      <c r="J676" s="12"/>
      <c r="K676" s="12"/>
      <c r="L676" s="12"/>
      <c r="M676" s="12"/>
      <c r="N676" s="12"/>
      <c r="O676" s="12"/>
      <c r="P676" s="12"/>
      <c r="Q676" s="12"/>
      <c r="R676" s="36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</row>
    <row r="677">
      <c r="J677" s="12"/>
      <c r="K677" s="12"/>
      <c r="L677" s="12"/>
      <c r="M677" s="12"/>
      <c r="N677" s="12"/>
      <c r="O677" s="12"/>
      <c r="P677" s="12"/>
      <c r="Q677" s="12"/>
      <c r="R677" s="36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</row>
    <row r="678">
      <c r="J678" s="12"/>
      <c r="K678" s="12"/>
      <c r="L678" s="12"/>
      <c r="M678" s="12"/>
      <c r="N678" s="12"/>
      <c r="O678" s="12"/>
      <c r="P678" s="12"/>
      <c r="Q678" s="12"/>
      <c r="R678" s="36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</row>
    <row r="679">
      <c r="J679" s="12"/>
      <c r="K679" s="12"/>
      <c r="L679" s="12"/>
      <c r="M679" s="12"/>
      <c r="N679" s="12"/>
      <c r="O679" s="12"/>
      <c r="P679" s="12"/>
      <c r="Q679" s="12"/>
      <c r="R679" s="36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</row>
    <row r="680">
      <c r="J680" s="12"/>
      <c r="K680" s="12"/>
      <c r="L680" s="12"/>
      <c r="M680" s="12"/>
      <c r="N680" s="12"/>
      <c r="O680" s="12"/>
      <c r="P680" s="12"/>
      <c r="Q680" s="12"/>
      <c r="R680" s="36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</row>
    <row r="681">
      <c r="J681" s="12"/>
      <c r="K681" s="12"/>
      <c r="L681" s="12"/>
      <c r="M681" s="12"/>
      <c r="N681" s="12"/>
      <c r="O681" s="12"/>
      <c r="P681" s="12"/>
      <c r="Q681" s="12"/>
      <c r="R681" s="36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</row>
    <row r="682">
      <c r="J682" s="12"/>
      <c r="K682" s="12"/>
      <c r="L682" s="12"/>
      <c r="M682" s="12"/>
      <c r="N682" s="12"/>
      <c r="O682" s="12"/>
      <c r="P682" s="12"/>
      <c r="Q682" s="12"/>
      <c r="R682" s="36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</row>
    <row r="683">
      <c r="J683" s="12"/>
      <c r="K683" s="12"/>
      <c r="L683" s="12"/>
      <c r="M683" s="12"/>
      <c r="N683" s="12"/>
      <c r="O683" s="12"/>
      <c r="P683" s="12"/>
      <c r="Q683" s="12"/>
      <c r="R683" s="36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</row>
    <row r="684">
      <c r="J684" s="12"/>
      <c r="K684" s="12"/>
      <c r="L684" s="12"/>
      <c r="M684" s="12"/>
      <c r="N684" s="12"/>
      <c r="O684" s="12"/>
      <c r="P684" s="12"/>
      <c r="Q684" s="12"/>
      <c r="R684" s="36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</row>
    <row r="685">
      <c r="J685" s="12"/>
      <c r="K685" s="12"/>
      <c r="L685" s="12"/>
      <c r="M685" s="12"/>
      <c r="N685" s="12"/>
      <c r="O685" s="12"/>
      <c r="P685" s="12"/>
      <c r="Q685" s="12"/>
      <c r="R685" s="36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</row>
    <row r="686">
      <c r="J686" s="12"/>
      <c r="K686" s="12"/>
      <c r="L686" s="12"/>
      <c r="M686" s="12"/>
      <c r="N686" s="12"/>
      <c r="O686" s="12"/>
      <c r="P686" s="12"/>
      <c r="Q686" s="12"/>
      <c r="R686" s="36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</row>
    <row r="687">
      <c r="J687" s="12"/>
      <c r="K687" s="12"/>
      <c r="L687" s="12"/>
      <c r="M687" s="12"/>
      <c r="N687" s="12"/>
      <c r="O687" s="12"/>
      <c r="P687" s="12"/>
      <c r="Q687" s="12"/>
      <c r="R687" s="36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</row>
    <row r="688">
      <c r="J688" s="12"/>
      <c r="K688" s="12"/>
      <c r="L688" s="12"/>
      <c r="M688" s="12"/>
      <c r="N688" s="12"/>
      <c r="O688" s="12"/>
      <c r="P688" s="12"/>
      <c r="Q688" s="12"/>
      <c r="R688" s="36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</row>
    <row r="689">
      <c r="J689" s="12"/>
      <c r="K689" s="12"/>
      <c r="L689" s="12"/>
      <c r="M689" s="12"/>
      <c r="N689" s="12"/>
      <c r="O689" s="12"/>
      <c r="P689" s="12"/>
      <c r="Q689" s="12"/>
      <c r="R689" s="36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</row>
    <row r="690">
      <c r="J690" s="12"/>
      <c r="K690" s="12"/>
      <c r="L690" s="12"/>
      <c r="M690" s="12"/>
      <c r="N690" s="12"/>
      <c r="O690" s="12"/>
      <c r="P690" s="12"/>
      <c r="Q690" s="12"/>
      <c r="R690" s="36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</row>
    <row r="691">
      <c r="J691" s="12"/>
      <c r="K691" s="12"/>
      <c r="L691" s="12"/>
      <c r="M691" s="12"/>
      <c r="N691" s="12"/>
      <c r="O691" s="12"/>
      <c r="P691" s="12"/>
      <c r="Q691" s="12"/>
      <c r="R691" s="36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</row>
    <row r="692">
      <c r="J692" s="12"/>
      <c r="K692" s="12"/>
      <c r="L692" s="12"/>
      <c r="M692" s="12"/>
      <c r="N692" s="12"/>
      <c r="O692" s="12"/>
      <c r="P692" s="12"/>
      <c r="Q692" s="12"/>
      <c r="R692" s="36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</row>
    <row r="693">
      <c r="J693" s="12"/>
      <c r="K693" s="12"/>
      <c r="L693" s="12"/>
      <c r="M693" s="12"/>
      <c r="N693" s="12"/>
      <c r="O693" s="12"/>
      <c r="P693" s="12"/>
      <c r="Q693" s="12"/>
      <c r="R693" s="36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</row>
    <row r="694">
      <c r="J694" s="12"/>
      <c r="K694" s="12"/>
      <c r="L694" s="12"/>
      <c r="M694" s="12"/>
      <c r="N694" s="12"/>
      <c r="O694" s="12"/>
      <c r="P694" s="12"/>
      <c r="Q694" s="12"/>
      <c r="R694" s="36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</row>
    <row r="695">
      <c r="J695" s="12"/>
      <c r="K695" s="12"/>
      <c r="L695" s="12"/>
      <c r="M695" s="12"/>
      <c r="N695" s="12"/>
      <c r="O695" s="12"/>
      <c r="P695" s="12"/>
      <c r="Q695" s="12"/>
      <c r="R695" s="36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</row>
    <row r="696">
      <c r="J696" s="12"/>
      <c r="K696" s="12"/>
      <c r="L696" s="12"/>
      <c r="M696" s="12"/>
      <c r="N696" s="12"/>
      <c r="O696" s="12"/>
      <c r="P696" s="12"/>
      <c r="Q696" s="12"/>
      <c r="R696" s="36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</row>
    <row r="697">
      <c r="J697" s="12"/>
      <c r="K697" s="12"/>
      <c r="L697" s="12"/>
      <c r="M697" s="12"/>
      <c r="N697" s="12"/>
      <c r="O697" s="12"/>
      <c r="P697" s="12"/>
      <c r="Q697" s="12"/>
      <c r="R697" s="36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</row>
    <row r="698">
      <c r="J698" s="12"/>
      <c r="K698" s="12"/>
      <c r="L698" s="12"/>
      <c r="M698" s="12"/>
      <c r="N698" s="12"/>
      <c r="O698" s="12"/>
      <c r="P698" s="12"/>
      <c r="Q698" s="12"/>
      <c r="R698" s="36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</row>
    <row r="699">
      <c r="J699" s="12"/>
      <c r="K699" s="12"/>
      <c r="L699" s="12"/>
      <c r="M699" s="12"/>
      <c r="N699" s="12"/>
      <c r="O699" s="12"/>
      <c r="P699" s="12"/>
      <c r="Q699" s="12"/>
      <c r="R699" s="36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</row>
    <row r="700">
      <c r="J700" s="12"/>
      <c r="K700" s="12"/>
      <c r="L700" s="12"/>
      <c r="M700" s="12"/>
      <c r="N700" s="12"/>
      <c r="O700" s="12"/>
      <c r="P700" s="12"/>
      <c r="Q700" s="12"/>
      <c r="R700" s="36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</row>
    <row r="701">
      <c r="J701" s="12"/>
      <c r="K701" s="12"/>
      <c r="L701" s="12"/>
      <c r="M701" s="12"/>
      <c r="N701" s="12"/>
      <c r="O701" s="12"/>
      <c r="P701" s="12"/>
      <c r="Q701" s="12"/>
      <c r="R701" s="36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</row>
    <row r="702">
      <c r="J702" s="12"/>
      <c r="K702" s="12"/>
      <c r="L702" s="12"/>
      <c r="M702" s="12"/>
      <c r="N702" s="12"/>
      <c r="O702" s="12"/>
      <c r="P702" s="12"/>
      <c r="Q702" s="12"/>
      <c r="R702" s="36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</row>
    <row r="703">
      <c r="J703" s="12"/>
      <c r="K703" s="12"/>
      <c r="L703" s="12"/>
      <c r="M703" s="12"/>
      <c r="N703" s="12"/>
      <c r="O703" s="12"/>
      <c r="P703" s="12"/>
      <c r="Q703" s="12"/>
      <c r="R703" s="36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</row>
    <row r="704">
      <c r="J704" s="12"/>
      <c r="K704" s="12"/>
      <c r="L704" s="12"/>
      <c r="M704" s="12"/>
      <c r="N704" s="12"/>
      <c r="O704" s="12"/>
      <c r="P704" s="12"/>
      <c r="Q704" s="12"/>
      <c r="R704" s="36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</row>
    <row r="705">
      <c r="J705" s="12"/>
      <c r="K705" s="12"/>
      <c r="L705" s="12"/>
      <c r="M705" s="12"/>
      <c r="N705" s="12"/>
      <c r="O705" s="12"/>
      <c r="P705" s="12"/>
      <c r="Q705" s="12"/>
      <c r="R705" s="36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</row>
    <row r="706">
      <c r="J706" s="12"/>
      <c r="K706" s="12"/>
      <c r="L706" s="12"/>
      <c r="M706" s="12"/>
      <c r="N706" s="12"/>
      <c r="O706" s="12"/>
      <c r="P706" s="12"/>
      <c r="Q706" s="12"/>
      <c r="R706" s="36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</row>
    <row r="707">
      <c r="J707" s="12"/>
      <c r="K707" s="12"/>
      <c r="L707" s="12"/>
      <c r="M707" s="12"/>
      <c r="N707" s="12"/>
      <c r="O707" s="12"/>
      <c r="P707" s="12"/>
      <c r="Q707" s="12"/>
      <c r="R707" s="36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</row>
    <row r="708">
      <c r="J708" s="12"/>
      <c r="K708" s="12"/>
      <c r="L708" s="12"/>
      <c r="M708" s="12"/>
      <c r="N708" s="12"/>
      <c r="O708" s="12"/>
      <c r="P708" s="12"/>
      <c r="Q708" s="12"/>
      <c r="R708" s="36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</row>
    <row r="709">
      <c r="J709" s="12"/>
      <c r="K709" s="12"/>
      <c r="L709" s="12"/>
      <c r="M709" s="12"/>
      <c r="N709" s="12"/>
      <c r="O709" s="12"/>
      <c r="P709" s="12"/>
      <c r="Q709" s="12"/>
      <c r="R709" s="36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</row>
    <row r="710">
      <c r="J710" s="12"/>
      <c r="K710" s="12"/>
      <c r="L710" s="12"/>
      <c r="M710" s="12"/>
      <c r="N710" s="12"/>
      <c r="O710" s="12"/>
      <c r="P710" s="12"/>
      <c r="Q710" s="12"/>
      <c r="R710" s="36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</row>
    <row r="711">
      <c r="J711" s="12"/>
      <c r="K711" s="12"/>
      <c r="L711" s="12"/>
      <c r="M711" s="12"/>
      <c r="N711" s="12"/>
      <c r="O711" s="12"/>
      <c r="P711" s="12"/>
      <c r="Q711" s="12"/>
      <c r="R711" s="36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</row>
    <row r="712">
      <c r="J712" s="12"/>
      <c r="K712" s="12"/>
      <c r="L712" s="12"/>
      <c r="M712" s="12"/>
      <c r="N712" s="12"/>
      <c r="O712" s="12"/>
      <c r="P712" s="12"/>
      <c r="Q712" s="12"/>
      <c r="R712" s="36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</row>
    <row r="713">
      <c r="J713" s="12"/>
      <c r="K713" s="12"/>
      <c r="L713" s="12"/>
      <c r="M713" s="12"/>
      <c r="N713" s="12"/>
      <c r="O713" s="12"/>
      <c r="P713" s="12"/>
      <c r="Q713" s="12"/>
      <c r="R713" s="36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</row>
    <row r="714">
      <c r="J714" s="12"/>
      <c r="K714" s="12"/>
      <c r="L714" s="12"/>
      <c r="M714" s="12"/>
      <c r="N714" s="12"/>
      <c r="O714" s="12"/>
      <c r="P714" s="12"/>
      <c r="Q714" s="12"/>
      <c r="R714" s="36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</row>
    <row r="715">
      <c r="J715" s="12"/>
      <c r="K715" s="12"/>
      <c r="L715" s="12"/>
      <c r="M715" s="12"/>
      <c r="N715" s="12"/>
      <c r="O715" s="12"/>
      <c r="P715" s="12"/>
      <c r="Q715" s="12"/>
      <c r="R715" s="36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</row>
    <row r="716">
      <c r="J716" s="12"/>
      <c r="K716" s="12"/>
      <c r="L716" s="12"/>
      <c r="M716" s="12"/>
      <c r="N716" s="12"/>
      <c r="O716" s="12"/>
      <c r="P716" s="12"/>
      <c r="Q716" s="12"/>
      <c r="R716" s="36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</row>
    <row r="717">
      <c r="J717" s="12"/>
      <c r="K717" s="12"/>
      <c r="L717" s="12"/>
      <c r="M717" s="12"/>
      <c r="N717" s="12"/>
      <c r="O717" s="12"/>
      <c r="P717" s="12"/>
      <c r="Q717" s="12"/>
      <c r="R717" s="36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</row>
    <row r="718">
      <c r="J718" s="12"/>
      <c r="K718" s="12"/>
      <c r="L718" s="12"/>
      <c r="M718" s="12"/>
      <c r="N718" s="12"/>
      <c r="O718" s="12"/>
      <c r="P718" s="12"/>
      <c r="Q718" s="12"/>
      <c r="R718" s="36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</row>
    <row r="719">
      <c r="J719" s="12"/>
      <c r="K719" s="12"/>
      <c r="L719" s="12"/>
      <c r="M719" s="12"/>
      <c r="N719" s="12"/>
      <c r="O719" s="12"/>
      <c r="P719" s="12"/>
      <c r="Q719" s="12"/>
      <c r="R719" s="36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</row>
    <row r="720">
      <c r="J720" s="12"/>
      <c r="K720" s="12"/>
      <c r="L720" s="12"/>
      <c r="M720" s="12"/>
      <c r="N720" s="12"/>
      <c r="O720" s="12"/>
      <c r="P720" s="12"/>
      <c r="Q720" s="12"/>
      <c r="R720" s="36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</row>
    <row r="721">
      <c r="J721" s="12"/>
      <c r="K721" s="12"/>
      <c r="L721" s="12"/>
      <c r="M721" s="12"/>
      <c r="N721" s="12"/>
      <c r="O721" s="12"/>
      <c r="P721" s="12"/>
      <c r="Q721" s="12"/>
      <c r="R721" s="36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</row>
    <row r="722">
      <c r="J722" s="12"/>
      <c r="K722" s="12"/>
      <c r="L722" s="12"/>
      <c r="M722" s="12"/>
      <c r="N722" s="12"/>
      <c r="O722" s="12"/>
      <c r="P722" s="12"/>
      <c r="Q722" s="12"/>
      <c r="R722" s="36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</row>
    <row r="723">
      <c r="J723" s="12"/>
      <c r="K723" s="12"/>
      <c r="L723" s="12"/>
      <c r="M723" s="12"/>
      <c r="N723" s="12"/>
      <c r="O723" s="12"/>
      <c r="P723" s="12"/>
      <c r="Q723" s="12"/>
      <c r="R723" s="36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</row>
    <row r="724">
      <c r="J724" s="12"/>
      <c r="K724" s="12"/>
      <c r="L724" s="12"/>
      <c r="M724" s="12"/>
      <c r="N724" s="12"/>
      <c r="O724" s="12"/>
      <c r="P724" s="12"/>
      <c r="Q724" s="12"/>
      <c r="R724" s="36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</row>
    <row r="725">
      <c r="J725" s="12"/>
      <c r="K725" s="12"/>
      <c r="L725" s="12"/>
      <c r="M725" s="12"/>
      <c r="N725" s="12"/>
      <c r="O725" s="12"/>
      <c r="P725" s="12"/>
      <c r="Q725" s="12"/>
      <c r="R725" s="36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</row>
    <row r="726">
      <c r="J726" s="12"/>
      <c r="K726" s="12"/>
      <c r="L726" s="12"/>
      <c r="M726" s="12"/>
      <c r="N726" s="12"/>
      <c r="O726" s="12"/>
      <c r="P726" s="12"/>
      <c r="Q726" s="12"/>
      <c r="R726" s="36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</row>
    <row r="727">
      <c r="J727" s="12"/>
      <c r="K727" s="12"/>
      <c r="L727" s="12"/>
      <c r="M727" s="12"/>
      <c r="N727" s="12"/>
      <c r="O727" s="12"/>
      <c r="P727" s="12"/>
      <c r="Q727" s="12"/>
      <c r="R727" s="36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</row>
    <row r="728">
      <c r="J728" s="12"/>
      <c r="K728" s="12"/>
      <c r="L728" s="12"/>
      <c r="M728" s="12"/>
      <c r="N728" s="12"/>
      <c r="O728" s="12"/>
      <c r="P728" s="12"/>
      <c r="Q728" s="12"/>
      <c r="R728" s="36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</row>
    <row r="729">
      <c r="J729" s="12"/>
      <c r="K729" s="12"/>
      <c r="L729" s="12"/>
      <c r="M729" s="12"/>
      <c r="N729" s="12"/>
      <c r="O729" s="12"/>
      <c r="P729" s="12"/>
      <c r="Q729" s="12"/>
      <c r="R729" s="36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</row>
    <row r="730">
      <c r="J730" s="12"/>
      <c r="K730" s="12"/>
      <c r="L730" s="12"/>
      <c r="M730" s="12"/>
      <c r="N730" s="12"/>
      <c r="O730" s="12"/>
      <c r="P730" s="12"/>
      <c r="Q730" s="12"/>
      <c r="R730" s="36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</row>
    <row r="731">
      <c r="J731" s="12"/>
      <c r="K731" s="12"/>
      <c r="L731" s="12"/>
      <c r="M731" s="12"/>
      <c r="N731" s="12"/>
      <c r="O731" s="12"/>
      <c r="P731" s="12"/>
      <c r="Q731" s="12"/>
      <c r="R731" s="36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</row>
    <row r="732">
      <c r="J732" s="12"/>
      <c r="K732" s="12"/>
      <c r="L732" s="12"/>
      <c r="M732" s="12"/>
      <c r="N732" s="12"/>
      <c r="O732" s="12"/>
      <c r="P732" s="12"/>
      <c r="Q732" s="12"/>
      <c r="R732" s="36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</row>
    <row r="733">
      <c r="J733" s="12"/>
      <c r="K733" s="12"/>
      <c r="L733" s="12"/>
      <c r="M733" s="12"/>
      <c r="N733" s="12"/>
      <c r="O733" s="12"/>
      <c r="P733" s="12"/>
      <c r="Q733" s="12"/>
      <c r="R733" s="36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</row>
    <row r="734">
      <c r="J734" s="12"/>
      <c r="K734" s="12"/>
      <c r="L734" s="12"/>
      <c r="M734" s="12"/>
      <c r="N734" s="12"/>
      <c r="O734" s="12"/>
      <c r="P734" s="12"/>
      <c r="Q734" s="12"/>
      <c r="R734" s="36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</row>
    <row r="735">
      <c r="J735" s="12"/>
      <c r="K735" s="12"/>
      <c r="L735" s="12"/>
      <c r="M735" s="12"/>
      <c r="N735" s="12"/>
      <c r="O735" s="12"/>
      <c r="P735" s="12"/>
      <c r="Q735" s="12"/>
      <c r="R735" s="36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</row>
    <row r="736">
      <c r="J736" s="12"/>
      <c r="K736" s="12"/>
      <c r="L736" s="12"/>
      <c r="M736" s="12"/>
      <c r="N736" s="12"/>
      <c r="O736" s="12"/>
      <c r="P736" s="12"/>
      <c r="Q736" s="12"/>
      <c r="R736" s="36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</row>
    <row r="737">
      <c r="J737" s="12"/>
      <c r="K737" s="12"/>
      <c r="L737" s="12"/>
      <c r="M737" s="12"/>
      <c r="N737" s="12"/>
      <c r="O737" s="12"/>
      <c r="P737" s="12"/>
      <c r="Q737" s="12"/>
      <c r="R737" s="36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</row>
    <row r="738">
      <c r="J738" s="12"/>
      <c r="K738" s="12"/>
      <c r="L738" s="12"/>
      <c r="M738" s="12"/>
      <c r="N738" s="12"/>
      <c r="O738" s="12"/>
      <c r="P738" s="12"/>
      <c r="Q738" s="12"/>
      <c r="R738" s="36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</row>
    <row r="739">
      <c r="J739" s="12"/>
      <c r="K739" s="12"/>
      <c r="L739" s="12"/>
      <c r="M739" s="12"/>
      <c r="N739" s="12"/>
      <c r="O739" s="12"/>
      <c r="P739" s="12"/>
      <c r="Q739" s="12"/>
      <c r="R739" s="36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</row>
    <row r="740">
      <c r="J740" s="12"/>
      <c r="K740" s="12"/>
      <c r="L740" s="12"/>
      <c r="M740" s="12"/>
      <c r="N740" s="12"/>
      <c r="O740" s="12"/>
      <c r="P740" s="12"/>
      <c r="Q740" s="12"/>
      <c r="R740" s="36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</row>
    <row r="741">
      <c r="J741" s="12"/>
      <c r="K741" s="12"/>
      <c r="L741" s="12"/>
      <c r="M741" s="12"/>
      <c r="N741" s="12"/>
      <c r="O741" s="12"/>
      <c r="P741" s="12"/>
      <c r="Q741" s="12"/>
      <c r="R741" s="36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</row>
    <row r="742">
      <c r="J742" s="12"/>
      <c r="K742" s="12"/>
      <c r="L742" s="12"/>
      <c r="M742" s="12"/>
      <c r="N742" s="12"/>
      <c r="O742" s="12"/>
      <c r="P742" s="12"/>
      <c r="Q742" s="12"/>
      <c r="R742" s="36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</row>
    <row r="743">
      <c r="J743" s="12"/>
      <c r="K743" s="12"/>
      <c r="L743" s="12"/>
      <c r="M743" s="12"/>
      <c r="N743" s="12"/>
      <c r="O743" s="12"/>
      <c r="P743" s="12"/>
      <c r="Q743" s="12"/>
      <c r="R743" s="36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</row>
    <row r="744">
      <c r="J744" s="12"/>
      <c r="K744" s="12"/>
      <c r="L744" s="12"/>
      <c r="M744" s="12"/>
      <c r="N744" s="12"/>
      <c r="O744" s="12"/>
      <c r="P744" s="12"/>
      <c r="Q744" s="12"/>
      <c r="R744" s="36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</row>
    <row r="745">
      <c r="J745" s="12"/>
      <c r="K745" s="12"/>
      <c r="L745" s="12"/>
      <c r="M745" s="12"/>
      <c r="N745" s="12"/>
      <c r="O745" s="12"/>
      <c r="P745" s="12"/>
      <c r="Q745" s="12"/>
      <c r="R745" s="36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</row>
    <row r="746">
      <c r="J746" s="12"/>
      <c r="K746" s="12"/>
      <c r="L746" s="12"/>
      <c r="M746" s="12"/>
      <c r="N746" s="12"/>
      <c r="O746" s="12"/>
      <c r="P746" s="12"/>
      <c r="Q746" s="12"/>
      <c r="R746" s="36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</row>
    <row r="747">
      <c r="J747" s="12"/>
      <c r="K747" s="12"/>
      <c r="L747" s="12"/>
      <c r="M747" s="12"/>
      <c r="N747" s="12"/>
      <c r="O747" s="12"/>
      <c r="P747" s="12"/>
      <c r="Q747" s="12"/>
      <c r="R747" s="36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</row>
    <row r="748">
      <c r="J748" s="12"/>
      <c r="K748" s="12"/>
      <c r="L748" s="12"/>
      <c r="M748" s="12"/>
      <c r="N748" s="12"/>
      <c r="O748" s="12"/>
      <c r="P748" s="12"/>
      <c r="Q748" s="12"/>
      <c r="R748" s="36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</row>
    <row r="749">
      <c r="J749" s="12"/>
      <c r="K749" s="12"/>
      <c r="L749" s="12"/>
      <c r="M749" s="12"/>
      <c r="N749" s="12"/>
      <c r="O749" s="12"/>
      <c r="P749" s="12"/>
      <c r="Q749" s="12"/>
      <c r="R749" s="36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</row>
    <row r="750">
      <c r="J750" s="12"/>
      <c r="K750" s="12"/>
      <c r="L750" s="12"/>
      <c r="M750" s="12"/>
      <c r="N750" s="12"/>
      <c r="O750" s="12"/>
      <c r="P750" s="12"/>
      <c r="Q750" s="12"/>
      <c r="R750" s="36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</row>
    <row r="751">
      <c r="J751" s="12"/>
      <c r="K751" s="12"/>
      <c r="L751" s="12"/>
      <c r="M751" s="12"/>
      <c r="N751" s="12"/>
      <c r="O751" s="12"/>
      <c r="P751" s="12"/>
      <c r="Q751" s="12"/>
      <c r="R751" s="36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</row>
    <row r="752">
      <c r="J752" s="12"/>
      <c r="K752" s="12"/>
      <c r="L752" s="12"/>
      <c r="M752" s="12"/>
      <c r="N752" s="12"/>
      <c r="O752" s="12"/>
      <c r="P752" s="12"/>
      <c r="Q752" s="12"/>
      <c r="R752" s="36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</row>
    <row r="753">
      <c r="J753" s="12"/>
      <c r="K753" s="12"/>
      <c r="L753" s="12"/>
      <c r="M753" s="12"/>
      <c r="N753" s="12"/>
      <c r="O753" s="12"/>
      <c r="P753" s="12"/>
      <c r="Q753" s="12"/>
      <c r="R753" s="36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</row>
    <row r="754">
      <c r="J754" s="12"/>
      <c r="K754" s="12"/>
      <c r="L754" s="12"/>
      <c r="M754" s="12"/>
      <c r="N754" s="12"/>
      <c r="O754" s="12"/>
      <c r="P754" s="12"/>
      <c r="Q754" s="12"/>
      <c r="R754" s="36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</row>
    <row r="755">
      <c r="J755" s="12"/>
      <c r="K755" s="12"/>
      <c r="L755" s="12"/>
      <c r="M755" s="12"/>
      <c r="N755" s="12"/>
      <c r="O755" s="12"/>
      <c r="P755" s="12"/>
      <c r="Q755" s="12"/>
      <c r="R755" s="36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</row>
    <row r="756">
      <c r="J756" s="12"/>
      <c r="K756" s="12"/>
      <c r="L756" s="12"/>
      <c r="M756" s="12"/>
      <c r="N756" s="12"/>
      <c r="O756" s="12"/>
      <c r="P756" s="12"/>
      <c r="Q756" s="12"/>
      <c r="R756" s="36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</row>
    <row r="757">
      <c r="J757" s="12"/>
      <c r="K757" s="12"/>
      <c r="L757" s="12"/>
      <c r="M757" s="12"/>
      <c r="N757" s="12"/>
      <c r="O757" s="12"/>
      <c r="P757" s="12"/>
      <c r="Q757" s="12"/>
      <c r="R757" s="36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</row>
    <row r="758">
      <c r="J758" s="12"/>
      <c r="K758" s="12"/>
      <c r="L758" s="12"/>
      <c r="M758" s="12"/>
      <c r="N758" s="12"/>
      <c r="O758" s="12"/>
      <c r="P758" s="12"/>
      <c r="Q758" s="12"/>
      <c r="R758" s="36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</row>
    <row r="759">
      <c r="J759" s="12"/>
      <c r="K759" s="12"/>
      <c r="L759" s="12"/>
      <c r="M759" s="12"/>
      <c r="N759" s="12"/>
      <c r="O759" s="12"/>
      <c r="P759" s="12"/>
      <c r="Q759" s="12"/>
      <c r="R759" s="36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</row>
    <row r="760">
      <c r="J760" s="12"/>
      <c r="K760" s="12"/>
      <c r="L760" s="12"/>
      <c r="M760" s="12"/>
      <c r="N760" s="12"/>
      <c r="O760" s="12"/>
      <c r="P760" s="12"/>
      <c r="Q760" s="12"/>
      <c r="R760" s="36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</row>
    <row r="761">
      <c r="J761" s="12"/>
      <c r="K761" s="12"/>
      <c r="L761" s="12"/>
      <c r="M761" s="12"/>
      <c r="N761" s="12"/>
      <c r="O761" s="12"/>
      <c r="P761" s="12"/>
      <c r="Q761" s="12"/>
      <c r="R761" s="36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</row>
    <row r="762">
      <c r="J762" s="12"/>
      <c r="K762" s="12"/>
      <c r="L762" s="12"/>
      <c r="M762" s="12"/>
      <c r="N762" s="12"/>
      <c r="O762" s="12"/>
      <c r="P762" s="12"/>
      <c r="Q762" s="12"/>
      <c r="R762" s="36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</row>
    <row r="763">
      <c r="J763" s="12"/>
      <c r="K763" s="12"/>
      <c r="L763" s="12"/>
      <c r="M763" s="12"/>
      <c r="N763" s="12"/>
      <c r="O763" s="12"/>
      <c r="P763" s="12"/>
      <c r="Q763" s="12"/>
      <c r="R763" s="36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</row>
    <row r="764">
      <c r="J764" s="12"/>
      <c r="K764" s="12"/>
      <c r="L764" s="12"/>
      <c r="M764" s="12"/>
      <c r="N764" s="12"/>
      <c r="O764" s="12"/>
      <c r="P764" s="12"/>
      <c r="Q764" s="12"/>
      <c r="R764" s="36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</row>
    <row r="765">
      <c r="J765" s="12"/>
      <c r="K765" s="12"/>
      <c r="L765" s="12"/>
      <c r="M765" s="12"/>
      <c r="N765" s="12"/>
      <c r="O765" s="12"/>
      <c r="P765" s="12"/>
      <c r="Q765" s="12"/>
      <c r="R765" s="36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</row>
    <row r="766">
      <c r="J766" s="12"/>
      <c r="K766" s="12"/>
      <c r="L766" s="12"/>
      <c r="M766" s="12"/>
      <c r="N766" s="12"/>
      <c r="O766" s="12"/>
      <c r="P766" s="12"/>
      <c r="Q766" s="12"/>
      <c r="R766" s="36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</row>
    <row r="767">
      <c r="J767" s="12"/>
      <c r="K767" s="12"/>
      <c r="L767" s="12"/>
      <c r="M767" s="12"/>
      <c r="N767" s="12"/>
      <c r="O767" s="12"/>
      <c r="P767" s="12"/>
      <c r="Q767" s="12"/>
      <c r="R767" s="36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</row>
    <row r="768">
      <c r="J768" s="12"/>
      <c r="K768" s="12"/>
      <c r="L768" s="12"/>
      <c r="M768" s="12"/>
      <c r="N768" s="12"/>
      <c r="O768" s="12"/>
      <c r="P768" s="12"/>
      <c r="Q768" s="12"/>
      <c r="R768" s="36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</row>
    <row r="769">
      <c r="J769" s="12"/>
      <c r="K769" s="12"/>
      <c r="L769" s="12"/>
      <c r="M769" s="12"/>
      <c r="N769" s="12"/>
      <c r="O769" s="12"/>
      <c r="P769" s="12"/>
      <c r="Q769" s="12"/>
      <c r="R769" s="36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</row>
    <row r="770">
      <c r="J770" s="12"/>
      <c r="K770" s="12"/>
      <c r="L770" s="12"/>
      <c r="M770" s="12"/>
      <c r="N770" s="12"/>
      <c r="O770" s="12"/>
      <c r="P770" s="12"/>
      <c r="Q770" s="12"/>
      <c r="R770" s="36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</row>
    <row r="771">
      <c r="J771" s="12"/>
      <c r="K771" s="12"/>
      <c r="L771" s="12"/>
      <c r="M771" s="12"/>
      <c r="N771" s="12"/>
      <c r="O771" s="12"/>
      <c r="P771" s="12"/>
      <c r="Q771" s="12"/>
      <c r="R771" s="36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</row>
    <row r="772">
      <c r="J772" s="12"/>
      <c r="K772" s="12"/>
      <c r="L772" s="12"/>
      <c r="M772" s="12"/>
      <c r="N772" s="12"/>
      <c r="O772" s="12"/>
      <c r="P772" s="12"/>
      <c r="Q772" s="12"/>
      <c r="R772" s="36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</row>
    <row r="773">
      <c r="J773" s="12"/>
      <c r="K773" s="12"/>
      <c r="L773" s="12"/>
      <c r="M773" s="12"/>
      <c r="N773" s="12"/>
      <c r="O773" s="12"/>
      <c r="P773" s="12"/>
      <c r="Q773" s="12"/>
      <c r="R773" s="36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</row>
    <row r="774">
      <c r="J774" s="12"/>
      <c r="K774" s="12"/>
      <c r="L774" s="12"/>
      <c r="M774" s="12"/>
      <c r="N774" s="12"/>
      <c r="O774" s="12"/>
      <c r="P774" s="12"/>
      <c r="Q774" s="12"/>
      <c r="R774" s="36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</row>
    <row r="775">
      <c r="J775" s="12"/>
      <c r="K775" s="12"/>
      <c r="L775" s="12"/>
      <c r="M775" s="12"/>
      <c r="N775" s="12"/>
      <c r="O775" s="12"/>
      <c r="P775" s="12"/>
      <c r="Q775" s="12"/>
      <c r="R775" s="36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</row>
    <row r="776">
      <c r="J776" s="12"/>
      <c r="K776" s="12"/>
      <c r="L776" s="12"/>
      <c r="M776" s="12"/>
      <c r="N776" s="12"/>
      <c r="O776" s="12"/>
      <c r="P776" s="12"/>
      <c r="Q776" s="12"/>
      <c r="R776" s="36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</row>
    <row r="777">
      <c r="J777" s="12"/>
      <c r="K777" s="12"/>
      <c r="L777" s="12"/>
      <c r="M777" s="12"/>
      <c r="N777" s="12"/>
      <c r="O777" s="12"/>
      <c r="P777" s="12"/>
      <c r="Q777" s="12"/>
      <c r="R777" s="36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</row>
    <row r="778">
      <c r="J778" s="12"/>
      <c r="K778" s="12"/>
      <c r="L778" s="12"/>
      <c r="M778" s="12"/>
      <c r="N778" s="12"/>
      <c r="O778" s="12"/>
      <c r="P778" s="12"/>
      <c r="Q778" s="12"/>
      <c r="R778" s="36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</row>
    <row r="779">
      <c r="J779" s="12"/>
      <c r="K779" s="12"/>
      <c r="L779" s="12"/>
      <c r="M779" s="12"/>
      <c r="N779" s="12"/>
      <c r="O779" s="12"/>
      <c r="P779" s="12"/>
      <c r="Q779" s="12"/>
      <c r="R779" s="36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</row>
    <row r="780">
      <c r="J780" s="12"/>
      <c r="K780" s="12"/>
      <c r="L780" s="12"/>
      <c r="M780" s="12"/>
      <c r="N780" s="12"/>
      <c r="O780" s="12"/>
      <c r="P780" s="12"/>
      <c r="Q780" s="12"/>
      <c r="R780" s="36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</row>
    <row r="781">
      <c r="J781" s="12"/>
      <c r="K781" s="12"/>
      <c r="L781" s="12"/>
      <c r="M781" s="12"/>
      <c r="N781" s="12"/>
      <c r="O781" s="12"/>
      <c r="P781" s="12"/>
      <c r="Q781" s="12"/>
      <c r="R781" s="36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</row>
    <row r="782">
      <c r="J782" s="12"/>
      <c r="K782" s="12"/>
      <c r="L782" s="12"/>
      <c r="M782" s="12"/>
      <c r="N782" s="12"/>
      <c r="O782" s="12"/>
      <c r="P782" s="12"/>
      <c r="Q782" s="12"/>
      <c r="R782" s="36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</row>
    <row r="783">
      <c r="J783" s="12"/>
      <c r="K783" s="12"/>
      <c r="L783" s="12"/>
      <c r="M783" s="12"/>
      <c r="N783" s="12"/>
      <c r="O783" s="12"/>
      <c r="P783" s="12"/>
      <c r="Q783" s="12"/>
      <c r="R783" s="36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</row>
    <row r="784">
      <c r="J784" s="12"/>
      <c r="K784" s="12"/>
      <c r="L784" s="12"/>
      <c r="M784" s="12"/>
      <c r="N784" s="12"/>
      <c r="O784" s="12"/>
      <c r="P784" s="12"/>
      <c r="Q784" s="12"/>
      <c r="R784" s="36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</row>
    <row r="785">
      <c r="J785" s="12"/>
      <c r="K785" s="12"/>
      <c r="L785" s="12"/>
      <c r="M785" s="12"/>
      <c r="N785" s="12"/>
      <c r="O785" s="12"/>
      <c r="P785" s="12"/>
      <c r="Q785" s="12"/>
      <c r="R785" s="36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</row>
    <row r="786">
      <c r="J786" s="12"/>
      <c r="K786" s="12"/>
      <c r="L786" s="12"/>
      <c r="M786" s="12"/>
      <c r="N786" s="12"/>
      <c r="O786" s="12"/>
      <c r="P786" s="12"/>
      <c r="Q786" s="12"/>
      <c r="R786" s="36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</row>
    <row r="787">
      <c r="J787" s="12"/>
      <c r="K787" s="12"/>
      <c r="L787" s="12"/>
      <c r="M787" s="12"/>
      <c r="N787" s="12"/>
      <c r="O787" s="12"/>
      <c r="P787" s="12"/>
      <c r="Q787" s="12"/>
      <c r="R787" s="36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</row>
    <row r="788">
      <c r="J788" s="12"/>
      <c r="K788" s="12"/>
      <c r="L788" s="12"/>
      <c r="M788" s="12"/>
      <c r="N788" s="12"/>
      <c r="O788" s="12"/>
      <c r="P788" s="12"/>
      <c r="Q788" s="12"/>
      <c r="R788" s="36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</row>
    <row r="789">
      <c r="J789" s="12"/>
      <c r="K789" s="12"/>
      <c r="L789" s="12"/>
      <c r="M789" s="12"/>
      <c r="N789" s="12"/>
      <c r="O789" s="12"/>
      <c r="P789" s="12"/>
      <c r="Q789" s="12"/>
      <c r="R789" s="36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</row>
    <row r="790">
      <c r="J790" s="12"/>
      <c r="K790" s="12"/>
      <c r="L790" s="12"/>
      <c r="M790" s="12"/>
      <c r="N790" s="12"/>
      <c r="O790" s="12"/>
      <c r="P790" s="12"/>
      <c r="Q790" s="12"/>
      <c r="R790" s="36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</row>
    <row r="791">
      <c r="J791" s="12"/>
      <c r="K791" s="12"/>
      <c r="L791" s="12"/>
      <c r="M791" s="12"/>
      <c r="N791" s="12"/>
      <c r="O791" s="12"/>
      <c r="P791" s="12"/>
      <c r="Q791" s="12"/>
      <c r="R791" s="36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</row>
    <row r="792">
      <c r="J792" s="12"/>
      <c r="K792" s="12"/>
      <c r="L792" s="12"/>
      <c r="M792" s="12"/>
      <c r="N792" s="12"/>
      <c r="O792" s="12"/>
      <c r="P792" s="12"/>
      <c r="Q792" s="12"/>
      <c r="R792" s="36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</row>
    <row r="793">
      <c r="J793" s="12"/>
      <c r="K793" s="12"/>
      <c r="L793" s="12"/>
      <c r="M793" s="12"/>
      <c r="N793" s="12"/>
      <c r="O793" s="12"/>
      <c r="P793" s="12"/>
      <c r="Q793" s="12"/>
      <c r="R793" s="36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</row>
    <row r="794">
      <c r="J794" s="12"/>
      <c r="K794" s="12"/>
      <c r="L794" s="12"/>
      <c r="M794" s="12"/>
      <c r="N794" s="12"/>
      <c r="O794" s="12"/>
      <c r="P794" s="12"/>
      <c r="Q794" s="12"/>
      <c r="R794" s="36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</row>
    <row r="795">
      <c r="J795" s="12"/>
      <c r="K795" s="12"/>
      <c r="L795" s="12"/>
      <c r="M795" s="12"/>
      <c r="N795" s="12"/>
      <c r="O795" s="12"/>
      <c r="P795" s="12"/>
      <c r="Q795" s="12"/>
      <c r="R795" s="36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</row>
    <row r="796">
      <c r="J796" s="12"/>
      <c r="K796" s="12"/>
      <c r="L796" s="12"/>
      <c r="M796" s="12"/>
      <c r="N796" s="12"/>
      <c r="O796" s="12"/>
      <c r="P796" s="12"/>
      <c r="Q796" s="12"/>
      <c r="R796" s="36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</row>
    <row r="797">
      <c r="J797" s="12"/>
      <c r="K797" s="12"/>
      <c r="L797" s="12"/>
      <c r="M797" s="12"/>
      <c r="N797" s="12"/>
      <c r="O797" s="12"/>
      <c r="P797" s="12"/>
      <c r="Q797" s="12"/>
      <c r="R797" s="36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</row>
    <row r="798">
      <c r="J798" s="12"/>
      <c r="K798" s="12"/>
      <c r="L798" s="12"/>
      <c r="M798" s="12"/>
      <c r="N798" s="12"/>
      <c r="O798" s="12"/>
      <c r="P798" s="12"/>
      <c r="Q798" s="12"/>
      <c r="R798" s="36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</row>
    <row r="799">
      <c r="J799" s="12"/>
      <c r="K799" s="12"/>
      <c r="L799" s="12"/>
      <c r="M799" s="12"/>
      <c r="N799" s="12"/>
      <c r="O799" s="12"/>
      <c r="P799" s="12"/>
      <c r="Q799" s="12"/>
      <c r="R799" s="36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</row>
    <row r="800">
      <c r="J800" s="12"/>
      <c r="K800" s="12"/>
      <c r="L800" s="12"/>
      <c r="M800" s="12"/>
      <c r="N800" s="12"/>
      <c r="O800" s="12"/>
      <c r="P800" s="12"/>
      <c r="Q800" s="12"/>
      <c r="R800" s="36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</row>
    <row r="801">
      <c r="J801" s="12"/>
      <c r="K801" s="12"/>
      <c r="L801" s="12"/>
      <c r="M801" s="12"/>
      <c r="N801" s="12"/>
      <c r="O801" s="12"/>
      <c r="P801" s="12"/>
      <c r="Q801" s="12"/>
      <c r="R801" s="36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</row>
    <row r="802">
      <c r="J802" s="12"/>
      <c r="K802" s="12"/>
      <c r="L802" s="12"/>
      <c r="M802" s="12"/>
      <c r="N802" s="12"/>
      <c r="O802" s="12"/>
      <c r="P802" s="12"/>
      <c r="Q802" s="12"/>
      <c r="R802" s="36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</row>
    <row r="803">
      <c r="J803" s="12"/>
      <c r="K803" s="12"/>
      <c r="L803" s="12"/>
      <c r="M803" s="12"/>
      <c r="N803" s="12"/>
      <c r="O803" s="12"/>
      <c r="P803" s="12"/>
      <c r="Q803" s="12"/>
      <c r="R803" s="36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</row>
    <row r="804">
      <c r="J804" s="12"/>
      <c r="K804" s="12"/>
      <c r="L804" s="12"/>
      <c r="M804" s="12"/>
      <c r="N804" s="12"/>
      <c r="O804" s="12"/>
      <c r="P804" s="12"/>
      <c r="Q804" s="12"/>
      <c r="R804" s="36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</row>
    <row r="805">
      <c r="J805" s="12"/>
      <c r="K805" s="12"/>
      <c r="L805" s="12"/>
      <c r="M805" s="12"/>
      <c r="N805" s="12"/>
      <c r="O805" s="12"/>
      <c r="P805" s="12"/>
      <c r="Q805" s="12"/>
      <c r="R805" s="36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</row>
    <row r="806">
      <c r="J806" s="12"/>
      <c r="K806" s="12"/>
      <c r="L806" s="12"/>
      <c r="M806" s="12"/>
      <c r="N806" s="12"/>
      <c r="O806" s="12"/>
      <c r="P806" s="12"/>
      <c r="Q806" s="12"/>
      <c r="R806" s="36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</row>
    <row r="807">
      <c r="J807" s="12"/>
      <c r="K807" s="12"/>
      <c r="L807" s="12"/>
      <c r="M807" s="12"/>
      <c r="N807" s="12"/>
      <c r="O807" s="12"/>
      <c r="P807" s="12"/>
      <c r="Q807" s="12"/>
      <c r="R807" s="36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</row>
    <row r="808">
      <c r="J808" s="12"/>
      <c r="K808" s="12"/>
      <c r="L808" s="12"/>
      <c r="M808" s="12"/>
      <c r="N808" s="12"/>
      <c r="O808" s="12"/>
      <c r="P808" s="12"/>
      <c r="Q808" s="12"/>
      <c r="R808" s="36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</row>
    <row r="809">
      <c r="J809" s="12"/>
      <c r="K809" s="12"/>
      <c r="L809" s="12"/>
      <c r="M809" s="12"/>
      <c r="N809" s="12"/>
      <c r="O809" s="12"/>
      <c r="P809" s="12"/>
      <c r="Q809" s="12"/>
      <c r="R809" s="36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</row>
    <row r="810">
      <c r="J810" s="12"/>
      <c r="K810" s="12"/>
      <c r="L810" s="12"/>
      <c r="M810" s="12"/>
      <c r="N810" s="12"/>
      <c r="O810" s="12"/>
      <c r="P810" s="12"/>
      <c r="Q810" s="12"/>
      <c r="R810" s="36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</row>
    <row r="811">
      <c r="J811" s="12"/>
      <c r="K811" s="12"/>
      <c r="L811" s="12"/>
      <c r="M811" s="12"/>
      <c r="N811" s="12"/>
      <c r="O811" s="12"/>
      <c r="P811" s="12"/>
      <c r="Q811" s="12"/>
      <c r="R811" s="36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</row>
    <row r="812">
      <c r="J812" s="12"/>
      <c r="K812" s="12"/>
      <c r="L812" s="12"/>
      <c r="M812" s="12"/>
      <c r="N812" s="12"/>
      <c r="O812" s="12"/>
      <c r="P812" s="12"/>
      <c r="Q812" s="12"/>
      <c r="R812" s="36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</row>
    <row r="813">
      <c r="J813" s="12"/>
      <c r="K813" s="12"/>
      <c r="L813" s="12"/>
      <c r="M813" s="12"/>
      <c r="N813" s="12"/>
      <c r="O813" s="12"/>
      <c r="P813" s="12"/>
      <c r="Q813" s="12"/>
      <c r="R813" s="36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</row>
    <row r="814">
      <c r="J814" s="12"/>
      <c r="K814" s="12"/>
      <c r="L814" s="12"/>
      <c r="M814" s="12"/>
      <c r="N814" s="12"/>
      <c r="O814" s="12"/>
      <c r="P814" s="12"/>
      <c r="Q814" s="12"/>
      <c r="R814" s="36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</row>
    <row r="815">
      <c r="J815" s="12"/>
      <c r="K815" s="12"/>
      <c r="L815" s="12"/>
      <c r="M815" s="12"/>
      <c r="N815" s="12"/>
      <c r="O815" s="12"/>
      <c r="P815" s="12"/>
      <c r="Q815" s="12"/>
      <c r="R815" s="36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</row>
    <row r="816">
      <c r="J816" s="12"/>
      <c r="K816" s="12"/>
      <c r="L816" s="12"/>
      <c r="M816" s="12"/>
      <c r="N816" s="12"/>
      <c r="O816" s="12"/>
      <c r="P816" s="12"/>
      <c r="Q816" s="12"/>
      <c r="R816" s="36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</row>
    <row r="817">
      <c r="J817" s="12"/>
      <c r="K817" s="12"/>
      <c r="L817" s="12"/>
      <c r="M817" s="12"/>
      <c r="N817" s="12"/>
      <c r="O817" s="12"/>
      <c r="P817" s="12"/>
      <c r="Q817" s="12"/>
      <c r="R817" s="36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</row>
    <row r="818">
      <c r="J818" s="12"/>
      <c r="K818" s="12"/>
      <c r="L818" s="12"/>
      <c r="M818" s="12"/>
      <c r="N818" s="12"/>
      <c r="O818" s="12"/>
      <c r="P818" s="12"/>
      <c r="Q818" s="12"/>
      <c r="R818" s="36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</row>
    <row r="819">
      <c r="J819" s="12"/>
      <c r="K819" s="12"/>
      <c r="L819" s="12"/>
      <c r="M819" s="12"/>
      <c r="N819" s="12"/>
      <c r="O819" s="12"/>
      <c r="P819" s="12"/>
      <c r="Q819" s="12"/>
      <c r="R819" s="36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</row>
    <row r="820">
      <c r="J820" s="12"/>
      <c r="K820" s="12"/>
      <c r="L820" s="12"/>
      <c r="M820" s="12"/>
      <c r="N820" s="12"/>
      <c r="O820" s="12"/>
      <c r="P820" s="12"/>
      <c r="Q820" s="12"/>
      <c r="R820" s="36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</row>
    <row r="821">
      <c r="J821" s="12"/>
      <c r="K821" s="12"/>
      <c r="L821" s="12"/>
      <c r="M821" s="12"/>
      <c r="N821" s="12"/>
      <c r="O821" s="12"/>
      <c r="P821" s="12"/>
      <c r="Q821" s="12"/>
      <c r="R821" s="36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</row>
    <row r="822">
      <c r="J822" s="12"/>
      <c r="K822" s="12"/>
      <c r="L822" s="12"/>
      <c r="M822" s="12"/>
      <c r="N822" s="12"/>
      <c r="O822" s="12"/>
      <c r="P822" s="12"/>
      <c r="Q822" s="12"/>
      <c r="R822" s="36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</row>
    <row r="823">
      <c r="J823" s="12"/>
      <c r="K823" s="12"/>
      <c r="L823" s="12"/>
      <c r="M823" s="12"/>
      <c r="N823" s="12"/>
      <c r="O823" s="12"/>
      <c r="P823" s="12"/>
      <c r="Q823" s="12"/>
      <c r="R823" s="36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</row>
    <row r="824">
      <c r="J824" s="12"/>
      <c r="K824" s="12"/>
      <c r="L824" s="12"/>
      <c r="M824" s="12"/>
      <c r="N824" s="12"/>
      <c r="O824" s="12"/>
      <c r="P824" s="12"/>
      <c r="Q824" s="12"/>
      <c r="R824" s="36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</row>
    <row r="825">
      <c r="J825" s="12"/>
      <c r="K825" s="12"/>
      <c r="L825" s="12"/>
      <c r="M825" s="12"/>
      <c r="N825" s="12"/>
      <c r="O825" s="12"/>
      <c r="P825" s="12"/>
      <c r="Q825" s="12"/>
      <c r="R825" s="36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</row>
    <row r="826">
      <c r="J826" s="12"/>
      <c r="K826" s="12"/>
      <c r="L826" s="12"/>
      <c r="M826" s="12"/>
      <c r="N826" s="12"/>
      <c r="O826" s="12"/>
      <c r="P826" s="12"/>
      <c r="Q826" s="12"/>
      <c r="R826" s="36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</row>
    <row r="827">
      <c r="J827" s="12"/>
      <c r="K827" s="12"/>
      <c r="L827" s="12"/>
      <c r="M827" s="12"/>
      <c r="N827" s="12"/>
      <c r="O827" s="12"/>
      <c r="P827" s="12"/>
      <c r="Q827" s="12"/>
      <c r="R827" s="36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</row>
    <row r="828">
      <c r="J828" s="12"/>
      <c r="K828" s="12"/>
      <c r="L828" s="12"/>
      <c r="M828" s="12"/>
      <c r="N828" s="12"/>
      <c r="O828" s="12"/>
      <c r="P828" s="12"/>
      <c r="Q828" s="12"/>
      <c r="R828" s="36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</row>
    <row r="829">
      <c r="J829" s="12"/>
      <c r="K829" s="12"/>
      <c r="L829" s="12"/>
      <c r="M829" s="12"/>
      <c r="N829" s="12"/>
      <c r="O829" s="12"/>
      <c r="P829" s="12"/>
      <c r="Q829" s="12"/>
      <c r="R829" s="36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</row>
    <row r="830">
      <c r="J830" s="12"/>
      <c r="K830" s="12"/>
      <c r="L830" s="12"/>
      <c r="M830" s="12"/>
      <c r="N830" s="12"/>
      <c r="O830" s="12"/>
      <c r="P830" s="12"/>
      <c r="Q830" s="12"/>
      <c r="R830" s="36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</row>
    <row r="831">
      <c r="J831" s="12"/>
      <c r="K831" s="12"/>
      <c r="L831" s="12"/>
      <c r="M831" s="12"/>
      <c r="N831" s="12"/>
      <c r="O831" s="12"/>
      <c r="P831" s="12"/>
      <c r="Q831" s="12"/>
      <c r="R831" s="36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</row>
    <row r="832">
      <c r="J832" s="12"/>
      <c r="K832" s="12"/>
      <c r="L832" s="12"/>
      <c r="M832" s="12"/>
      <c r="N832" s="12"/>
      <c r="O832" s="12"/>
      <c r="P832" s="12"/>
      <c r="Q832" s="12"/>
      <c r="R832" s="36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</row>
    <row r="833">
      <c r="J833" s="12"/>
      <c r="K833" s="12"/>
      <c r="L833" s="12"/>
      <c r="M833" s="12"/>
      <c r="N833" s="12"/>
      <c r="O833" s="12"/>
      <c r="P833" s="12"/>
      <c r="Q833" s="12"/>
      <c r="R833" s="36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</row>
    <row r="834">
      <c r="J834" s="12"/>
      <c r="K834" s="12"/>
      <c r="L834" s="12"/>
      <c r="M834" s="12"/>
      <c r="N834" s="12"/>
      <c r="O834" s="12"/>
      <c r="P834" s="12"/>
      <c r="Q834" s="12"/>
      <c r="R834" s="36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</row>
    <row r="835">
      <c r="J835" s="12"/>
      <c r="K835" s="12"/>
      <c r="L835" s="12"/>
      <c r="M835" s="12"/>
      <c r="N835" s="12"/>
      <c r="O835" s="12"/>
      <c r="P835" s="12"/>
      <c r="Q835" s="12"/>
      <c r="R835" s="36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</row>
    <row r="836">
      <c r="J836" s="12"/>
      <c r="K836" s="12"/>
      <c r="L836" s="12"/>
      <c r="M836" s="12"/>
      <c r="N836" s="12"/>
      <c r="O836" s="12"/>
      <c r="P836" s="12"/>
      <c r="Q836" s="12"/>
      <c r="R836" s="36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</row>
    <row r="837">
      <c r="J837" s="12"/>
      <c r="K837" s="12"/>
      <c r="L837" s="12"/>
      <c r="M837" s="12"/>
      <c r="N837" s="12"/>
      <c r="O837" s="12"/>
      <c r="P837" s="12"/>
      <c r="Q837" s="12"/>
      <c r="R837" s="36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</row>
    <row r="838">
      <c r="J838" s="12"/>
      <c r="K838" s="12"/>
      <c r="L838" s="12"/>
      <c r="M838" s="12"/>
      <c r="N838" s="12"/>
      <c r="O838" s="12"/>
      <c r="P838" s="12"/>
      <c r="Q838" s="12"/>
      <c r="R838" s="36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</row>
    <row r="839">
      <c r="J839" s="12"/>
      <c r="K839" s="12"/>
      <c r="L839" s="12"/>
      <c r="M839" s="12"/>
      <c r="N839" s="12"/>
      <c r="O839" s="12"/>
      <c r="P839" s="12"/>
      <c r="Q839" s="12"/>
      <c r="R839" s="36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</row>
    <row r="840">
      <c r="J840" s="12"/>
      <c r="K840" s="12"/>
      <c r="L840" s="12"/>
      <c r="M840" s="12"/>
      <c r="N840" s="12"/>
      <c r="O840" s="12"/>
      <c r="P840" s="12"/>
      <c r="Q840" s="12"/>
      <c r="R840" s="36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</row>
    <row r="841">
      <c r="J841" s="12"/>
      <c r="K841" s="12"/>
      <c r="L841" s="12"/>
      <c r="M841" s="12"/>
      <c r="N841" s="12"/>
      <c r="O841" s="12"/>
      <c r="P841" s="12"/>
      <c r="Q841" s="12"/>
      <c r="R841" s="36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</row>
    <row r="842">
      <c r="J842" s="12"/>
      <c r="K842" s="12"/>
      <c r="L842" s="12"/>
      <c r="M842" s="12"/>
      <c r="N842" s="12"/>
      <c r="O842" s="12"/>
      <c r="P842" s="12"/>
      <c r="Q842" s="12"/>
      <c r="R842" s="36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</row>
    <row r="843">
      <c r="J843" s="12"/>
      <c r="K843" s="12"/>
      <c r="L843" s="12"/>
      <c r="M843" s="12"/>
      <c r="N843" s="12"/>
      <c r="O843" s="12"/>
      <c r="P843" s="12"/>
      <c r="Q843" s="12"/>
      <c r="R843" s="36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</row>
    <row r="844">
      <c r="J844" s="12"/>
      <c r="K844" s="12"/>
      <c r="L844" s="12"/>
      <c r="M844" s="12"/>
      <c r="N844" s="12"/>
      <c r="O844" s="12"/>
      <c r="P844" s="12"/>
      <c r="Q844" s="12"/>
      <c r="R844" s="36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</row>
    <row r="845">
      <c r="J845" s="12"/>
      <c r="K845" s="12"/>
      <c r="L845" s="12"/>
      <c r="M845" s="12"/>
      <c r="N845" s="12"/>
      <c r="O845" s="12"/>
      <c r="P845" s="12"/>
      <c r="Q845" s="12"/>
      <c r="R845" s="36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</row>
    <row r="846">
      <c r="J846" s="12"/>
      <c r="K846" s="12"/>
      <c r="L846" s="12"/>
      <c r="M846" s="12"/>
      <c r="N846" s="12"/>
      <c r="O846" s="12"/>
      <c r="P846" s="12"/>
      <c r="Q846" s="12"/>
      <c r="R846" s="36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</row>
    <row r="847">
      <c r="J847" s="12"/>
      <c r="K847" s="12"/>
      <c r="L847" s="12"/>
      <c r="M847" s="12"/>
      <c r="N847" s="12"/>
      <c r="O847" s="12"/>
      <c r="P847" s="12"/>
      <c r="Q847" s="12"/>
      <c r="R847" s="36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</row>
    <row r="848">
      <c r="J848" s="12"/>
      <c r="K848" s="12"/>
      <c r="L848" s="12"/>
      <c r="M848" s="12"/>
      <c r="N848" s="12"/>
      <c r="O848" s="12"/>
      <c r="P848" s="12"/>
      <c r="Q848" s="12"/>
      <c r="R848" s="36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</row>
    <row r="849">
      <c r="J849" s="12"/>
      <c r="K849" s="12"/>
      <c r="L849" s="12"/>
      <c r="M849" s="12"/>
      <c r="N849" s="12"/>
      <c r="O849" s="12"/>
      <c r="P849" s="12"/>
      <c r="Q849" s="12"/>
      <c r="R849" s="36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</row>
    <row r="850">
      <c r="J850" s="12"/>
      <c r="K850" s="12"/>
      <c r="L850" s="12"/>
      <c r="M850" s="12"/>
      <c r="N850" s="12"/>
      <c r="O850" s="12"/>
      <c r="P850" s="12"/>
      <c r="Q850" s="12"/>
      <c r="R850" s="36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</row>
    <row r="851">
      <c r="J851" s="12"/>
      <c r="K851" s="12"/>
      <c r="L851" s="12"/>
      <c r="M851" s="12"/>
      <c r="N851" s="12"/>
      <c r="O851" s="12"/>
      <c r="P851" s="12"/>
      <c r="Q851" s="12"/>
      <c r="R851" s="36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</row>
    <row r="852">
      <c r="J852" s="12"/>
      <c r="K852" s="12"/>
      <c r="L852" s="12"/>
      <c r="M852" s="12"/>
      <c r="N852" s="12"/>
      <c r="O852" s="12"/>
      <c r="P852" s="12"/>
      <c r="Q852" s="12"/>
      <c r="R852" s="36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</row>
    <row r="853">
      <c r="J853" s="12"/>
      <c r="K853" s="12"/>
      <c r="L853" s="12"/>
      <c r="M853" s="12"/>
      <c r="N853" s="12"/>
      <c r="O853" s="12"/>
      <c r="P853" s="12"/>
      <c r="Q853" s="12"/>
      <c r="R853" s="36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</row>
    <row r="854">
      <c r="J854" s="12"/>
      <c r="K854" s="12"/>
      <c r="L854" s="12"/>
      <c r="M854" s="12"/>
      <c r="N854" s="12"/>
      <c r="O854" s="12"/>
      <c r="P854" s="12"/>
      <c r="Q854" s="12"/>
      <c r="R854" s="36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</row>
    <row r="855">
      <c r="J855" s="12"/>
      <c r="K855" s="12"/>
      <c r="L855" s="12"/>
      <c r="M855" s="12"/>
      <c r="N855" s="12"/>
      <c r="O855" s="12"/>
      <c r="P855" s="12"/>
      <c r="Q855" s="12"/>
      <c r="R855" s="36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</row>
    <row r="856">
      <c r="J856" s="12"/>
      <c r="K856" s="12"/>
      <c r="L856" s="12"/>
      <c r="M856" s="12"/>
      <c r="N856" s="12"/>
      <c r="O856" s="12"/>
      <c r="P856" s="12"/>
      <c r="Q856" s="12"/>
      <c r="R856" s="36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</row>
    <row r="857">
      <c r="J857" s="12"/>
      <c r="K857" s="12"/>
      <c r="L857" s="12"/>
      <c r="M857" s="12"/>
      <c r="N857" s="12"/>
      <c r="O857" s="12"/>
      <c r="P857" s="12"/>
      <c r="Q857" s="12"/>
      <c r="R857" s="36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</row>
    <row r="858">
      <c r="J858" s="12"/>
      <c r="K858" s="12"/>
      <c r="L858" s="12"/>
      <c r="M858" s="12"/>
      <c r="N858" s="12"/>
      <c r="O858" s="12"/>
      <c r="P858" s="12"/>
      <c r="Q858" s="12"/>
      <c r="R858" s="36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</row>
    <row r="859">
      <c r="J859" s="12"/>
      <c r="K859" s="12"/>
      <c r="L859" s="12"/>
      <c r="M859" s="12"/>
      <c r="N859" s="12"/>
      <c r="O859" s="12"/>
      <c r="P859" s="12"/>
      <c r="Q859" s="12"/>
      <c r="R859" s="36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</row>
    <row r="860">
      <c r="J860" s="12"/>
      <c r="K860" s="12"/>
      <c r="L860" s="12"/>
      <c r="M860" s="12"/>
      <c r="N860" s="12"/>
      <c r="O860" s="12"/>
      <c r="P860" s="12"/>
      <c r="Q860" s="12"/>
      <c r="R860" s="36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</row>
    <row r="861">
      <c r="J861" s="12"/>
      <c r="K861" s="12"/>
      <c r="L861" s="12"/>
      <c r="M861" s="12"/>
      <c r="N861" s="12"/>
      <c r="O861" s="12"/>
      <c r="P861" s="12"/>
      <c r="Q861" s="12"/>
      <c r="R861" s="36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</row>
    <row r="862">
      <c r="J862" s="12"/>
      <c r="K862" s="12"/>
      <c r="L862" s="12"/>
      <c r="M862" s="12"/>
      <c r="N862" s="12"/>
      <c r="O862" s="12"/>
      <c r="P862" s="12"/>
      <c r="Q862" s="12"/>
      <c r="R862" s="36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</row>
    <row r="863">
      <c r="J863" s="12"/>
      <c r="K863" s="12"/>
      <c r="L863" s="12"/>
      <c r="M863" s="12"/>
      <c r="N863" s="12"/>
      <c r="O863" s="12"/>
      <c r="P863" s="12"/>
      <c r="Q863" s="12"/>
      <c r="R863" s="36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</row>
    <row r="864">
      <c r="J864" s="12"/>
      <c r="K864" s="12"/>
      <c r="L864" s="12"/>
      <c r="M864" s="12"/>
      <c r="N864" s="12"/>
      <c r="O864" s="12"/>
      <c r="P864" s="12"/>
      <c r="Q864" s="12"/>
      <c r="R864" s="36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</row>
    <row r="865">
      <c r="J865" s="12"/>
      <c r="K865" s="12"/>
      <c r="L865" s="12"/>
      <c r="M865" s="12"/>
      <c r="N865" s="12"/>
      <c r="O865" s="12"/>
      <c r="P865" s="12"/>
      <c r="Q865" s="12"/>
      <c r="R865" s="36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</row>
    <row r="866">
      <c r="J866" s="12"/>
      <c r="K866" s="12"/>
      <c r="L866" s="12"/>
      <c r="M866" s="12"/>
      <c r="N866" s="12"/>
      <c r="O866" s="12"/>
      <c r="P866" s="12"/>
      <c r="Q866" s="12"/>
      <c r="R866" s="36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</row>
    <row r="867">
      <c r="J867" s="12"/>
      <c r="K867" s="12"/>
      <c r="L867" s="12"/>
      <c r="M867" s="12"/>
      <c r="N867" s="12"/>
      <c r="O867" s="12"/>
      <c r="P867" s="12"/>
      <c r="Q867" s="12"/>
      <c r="R867" s="36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</row>
    <row r="868">
      <c r="J868" s="12"/>
      <c r="K868" s="12"/>
      <c r="L868" s="12"/>
      <c r="M868" s="12"/>
      <c r="N868" s="12"/>
      <c r="O868" s="12"/>
      <c r="P868" s="12"/>
      <c r="Q868" s="12"/>
      <c r="R868" s="36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</row>
    <row r="869">
      <c r="J869" s="12"/>
      <c r="K869" s="12"/>
      <c r="L869" s="12"/>
      <c r="M869" s="12"/>
      <c r="N869" s="12"/>
      <c r="O869" s="12"/>
      <c r="P869" s="12"/>
      <c r="Q869" s="12"/>
      <c r="R869" s="36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</row>
    <row r="870">
      <c r="J870" s="12"/>
      <c r="K870" s="12"/>
      <c r="L870" s="12"/>
      <c r="M870" s="12"/>
      <c r="N870" s="12"/>
      <c r="O870" s="12"/>
      <c r="P870" s="12"/>
      <c r="Q870" s="12"/>
      <c r="R870" s="36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</row>
    <row r="871">
      <c r="J871" s="12"/>
      <c r="K871" s="12"/>
      <c r="L871" s="12"/>
      <c r="M871" s="12"/>
      <c r="N871" s="12"/>
      <c r="O871" s="12"/>
      <c r="P871" s="12"/>
      <c r="Q871" s="12"/>
      <c r="R871" s="36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</row>
    <row r="872">
      <c r="J872" s="12"/>
      <c r="K872" s="12"/>
      <c r="L872" s="12"/>
      <c r="M872" s="12"/>
      <c r="N872" s="12"/>
      <c r="O872" s="12"/>
      <c r="P872" s="12"/>
      <c r="Q872" s="12"/>
      <c r="R872" s="36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</row>
    <row r="873">
      <c r="J873" s="12"/>
      <c r="K873" s="12"/>
      <c r="L873" s="12"/>
      <c r="M873" s="12"/>
      <c r="N873" s="12"/>
      <c r="O873" s="12"/>
      <c r="P873" s="12"/>
      <c r="Q873" s="12"/>
      <c r="R873" s="36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</row>
    <row r="874">
      <c r="J874" s="12"/>
      <c r="K874" s="12"/>
      <c r="L874" s="12"/>
      <c r="M874" s="12"/>
      <c r="N874" s="12"/>
      <c r="O874" s="12"/>
      <c r="P874" s="12"/>
      <c r="Q874" s="12"/>
      <c r="R874" s="36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</row>
    <row r="875">
      <c r="J875" s="12"/>
      <c r="K875" s="12"/>
      <c r="L875" s="12"/>
      <c r="M875" s="12"/>
      <c r="N875" s="12"/>
      <c r="O875" s="12"/>
      <c r="P875" s="12"/>
      <c r="Q875" s="12"/>
      <c r="R875" s="36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</row>
    <row r="876">
      <c r="J876" s="12"/>
      <c r="K876" s="12"/>
      <c r="L876" s="12"/>
      <c r="M876" s="12"/>
      <c r="N876" s="12"/>
      <c r="O876" s="12"/>
      <c r="P876" s="12"/>
      <c r="Q876" s="12"/>
      <c r="R876" s="36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</row>
    <row r="877">
      <c r="J877" s="12"/>
      <c r="K877" s="12"/>
      <c r="L877" s="12"/>
      <c r="M877" s="12"/>
      <c r="N877" s="12"/>
      <c r="O877" s="12"/>
      <c r="P877" s="12"/>
      <c r="Q877" s="12"/>
      <c r="R877" s="36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</row>
    <row r="878">
      <c r="J878" s="12"/>
      <c r="K878" s="12"/>
      <c r="L878" s="12"/>
      <c r="M878" s="12"/>
      <c r="N878" s="12"/>
      <c r="O878" s="12"/>
      <c r="P878" s="12"/>
      <c r="Q878" s="12"/>
      <c r="R878" s="36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</row>
    <row r="879">
      <c r="J879" s="12"/>
      <c r="K879" s="12"/>
      <c r="L879" s="12"/>
      <c r="M879" s="12"/>
      <c r="N879" s="12"/>
      <c r="O879" s="12"/>
      <c r="P879" s="12"/>
      <c r="Q879" s="12"/>
      <c r="R879" s="36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</row>
    <row r="880">
      <c r="J880" s="12"/>
      <c r="K880" s="12"/>
      <c r="L880" s="12"/>
      <c r="M880" s="12"/>
      <c r="N880" s="12"/>
      <c r="O880" s="12"/>
      <c r="P880" s="12"/>
      <c r="Q880" s="12"/>
      <c r="R880" s="36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</row>
    <row r="881">
      <c r="J881" s="12"/>
      <c r="K881" s="12"/>
      <c r="L881" s="12"/>
      <c r="M881" s="12"/>
      <c r="N881" s="12"/>
      <c r="O881" s="12"/>
      <c r="P881" s="12"/>
      <c r="Q881" s="12"/>
      <c r="R881" s="36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</row>
    <row r="882">
      <c r="J882" s="12"/>
      <c r="K882" s="12"/>
      <c r="L882" s="12"/>
      <c r="M882" s="12"/>
      <c r="N882" s="12"/>
      <c r="O882" s="12"/>
      <c r="P882" s="12"/>
      <c r="Q882" s="12"/>
      <c r="R882" s="36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</row>
    <row r="883">
      <c r="J883" s="12"/>
      <c r="K883" s="12"/>
      <c r="L883" s="12"/>
      <c r="M883" s="12"/>
      <c r="N883" s="12"/>
      <c r="O883" s="12"/>
      <c r="P883" s="12"/>
      <c r="Q883" s="12"/>
      <c r="R883" s="36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</row>
    <row r="884">
      <c r="J884" s="12"/>
      <c r="K884" s="12"/>
      <c r="L884" s="12"/>
      <c r="M884" s="12"/>
      <c r="N884" s="12"/>
      <c r="O884" s="12"/>
      <c r="P884" s="12"/>
      <c r="Q884" s="12"/>
      <c r="R884" s="36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</row>
    <row r="885">
      <c r="J885" s="12"/>
      <c r="K885" s="12"/>
      <c r="L885" s="12"/>
      <c r="M885" s="12"/>
      <c r="N885" s="12"/>
      <c r="O885" s="12"/>
      <c r="P885" s="12"/>
      <c r="Q885" s="12"/>
      <c r="R885" s="36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</row>
    <row r="886">
      <c r="J886" s="12"/>
      <c r="K886" s="12"/>
      <c r="L886" s="12"/>
      <c r="M886" s="12"/>
      <c r="N886" s="12"/>
      <c r="O886" s="12"/>
      <c r="P886" s="12"/>
      <c r="Q886" s="12"/>
      <c r="R886" s="36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</row>
    <row r="887">
      <c r="J887" s="12"/>
      <c r="K887" s="12"/>
      <c r="L887" s="12"/>
      <c r="M887" s="12"/>
      <c r="N887" s="12"/>
      <c r="O887" s="12"/>
      <c r="P887" s="12"/>
      <c r="Q887" s="12"/>
      <c r="R887" s="36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</row>
    <row r="888">
      <c r="J888" s="12"/>
      <c r="K888" s="12"/>
      <c r="L888" s="12"/>
      <c r="M888" s="12"/>
      <c r="N888" s="12"/>
      <c r="O888" s="12"/>
      <c r="P888" s="12"/>
      <c r="Q888" s="12"/>
      <c r="R888" s="36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</row>
    <row r="889">
      <c r="J889" s="12"/>
      <c r="K889" s="12"/>
      <c r="L889" s="12"/>
      <c r="M889" s="12"/>
      <c r="N889" s="12"/>
      <c r="O889" s="12"/>
      <c r="P889" s="12"/>
      <c r="Q889" s="12"/>
      <c r="R889" s="36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</row>
    <row r="890">
      <c r="J890" s="12"/>
      <c r="K890" s="12"/>
      <c r="L890" s="12"/>
      <c r="M890" s="12"/>
      <c r="N890" s="12"/>
      <c r="O890" s="12"/>
      <c r="P890" s="12"/>
      <c r="Q890" s="12"/>
      <c r="R890" s="36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</row>
    <row r="891">
      <c r="J891" s="12"/>
      <c r="K891" s="12"/>
      <c r="L891" s="12"/>
      <c r="M891" s="12"/>
      <c r="N891" s="12"/>
      <c r="O891" s="12"/>
      <c r="P891" s="12"/>
      <c r="Q891" s="12"/>
      <c r="R891" s="36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</row>
    <row r="892">
      <c r="J892" s="12"/>
      <c r="K892" s="12"/>
      <c r="L892" s="12"/>
      <c r="M892" s="12"/>
      <c r="N892" s="12"/>
      <c r="O892" s="12"/>
      <c r="P892" s="12"/>
      <c r="Q892" s="12"/>
      <c r="R892" s="36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</row>
    <row r="893">
      <c r="J893" s="12"/>
      <c r="K893" s="12"/>
      <c r="L893" s="12"/>
      <c r="M893" s="12"/>
      <c r="N893" s="12"/>
      <c r="O893" s="12"/>
      <c r="P893" s="12"/>
      <c r="Q893" s="12"/>
      <c r="R893" s="36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</row>
    <row r="894">
      <c r="J894" s="12"/>
      <c r="K894" s="12"/>
      <c r="L894" s="12"/>
      <c r="M894" s="12"/>
      <c r="N894" s="12"/>
      <c r="O894" s="12"/>
      <c r="P894" s="12"/>
      <c r="Q894" s="12"/>
      <c r="R894" s="36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</row>
    <row r="895">
      <c r="J895" s="12"/>
      <c r="K895" s="12"/>
      <c r="L895" s="12"/>
      <c r="M895" s="12"/>
      <c r="N895" s="12"/>
      <c r="O895" s="12"/>
      <c r="P895" s="12"/>
      <c r="Q895" s="12"/>
      <c r="R895" s="36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</row>
    <row r="896">
      <c r="J896" s="12"/>
      <c r="K896" s="12"/>
      <c r="L896" s="12"/>
      <c r="M896" s="12"/>
      <c r="N896" s="12"/>
      <c r="O896" s="12"/>
      <c r="P896" s="12"/>
      <c r="Q896" s="12"/>
      <c r="R896" s="36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</row>
    <row r="897">
      <c r="J897" s="12"/>
      <c r="K897" s="12"/>
      <c r="L897" s="12"/>
      <c r="M897" s="12"/>
      <c r="N897" s="12"/>
      <c r="O897" s="12"/>
      <c r="P897" s="12"/>
      <c r="Q897" s="12"/>
      <c r="R897" s="36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</row>
    <row r="898">
      <c r="J898" s="12"/>
      <c r="K898" s="12"/>
      <c r="L898" s="12"/>
      <c r="M898" s="12"/>
      <c r="N898" s="12"/>
      <c r="O898" s="12"/>
      <c r="P898" s="12"/>
      <c r="Q898" s="12"/>
      <c r="R898" s="36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</row>
    <row r="899">
      <c r="J899" s="12"/>
      <c r="K899" s="12"/>
      <c r="L899" s="12"/>
      <c r="M899" s="12"/>
      <c r="N899" s="12"/>
      <c r="O899" s="12"/>
      <c r="P899" s="12"/>
      <c r="Q899" s="12"/>
      <c r="R899" s="36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</row>
    <row r="900">
      <c r="J900" s="12"/>
      <c r="K900" s="12"/>
      <c r="L900" s="12"/>
      <c r="M900" s="12"/>
      <c r="N900" s="12"/>
      <c r="O900" s="12"/>
      <c r="P900" s="12"/>
      <c r="Q900" s="12"/>
      <c r="R900" s="36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</row>
    <row r="901">
      <c r="J901" s="12"/>
      <c r="K901" s="12"/>
      <c r="L901" s="12"/>
      <c r="M901" s="12"/>
      <c r="N901" s="12"/>
      <c r="O901" s="12"/>
      <c r="P901" s="12"/>
      <c r="Q901" s="12"/>
      <c r="R901" s="36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</row>
    <row r="902">
      <c r="J902" s="12"/>
      <c r="K902" s="12"/>
      <c r="L902" s="12"/>
      <c r="M902" s="12"/>
      <c r="N902" s="12"/>
      <c r="O902" s="12"/>
      <c r="P902" s="12"/>
      <c r="Q902" s="12"/>
      <c r="R902" s="36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</row>
    <row r="903">
      <c r="J903" s="12"/>
      <c r="K903" s="12"/>
      <c r="L903" s="12"/>
      <c r="M903" s="12"/>
      <c r="N903" s="12"/>
      <c r="O903" s="12"/>
      <c r="P903" s="12"/>
      <c r="Q903" s="12"/>
      <c r="R903" s="36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</row>
    <row r="904">
      <c r="J904" s="12"/>
      <c r="K904" s="12"/>
      <c r="L904" s="12"/>
      <c r="M904" s="12"/>
      <c r="N904" s="12"/>
      <c r="O904" s="12"/>
      <c r="P904" s="12"/>
      <c r="Q904" s="12"/>
      <c r="R904" s="36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</row>
    <row r="905">
      <c r="J905" s="12"/>
      <c r="K905" s="12"/>
      <c r="L905" s="12"/>
      <c r="M905" s="12"/>
      <c r="N905" s="12"/>
      <c r="O905" s="12"/>
      <c r="P905" s="12"/>
      <c r="Q905" s="12"/>
      <c r="R905" s="36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</row>
    <row r="906">
      <c r="J906" s="12"/>
      <c r="K906" s="12"/>
      <c r="L906" s="12"/>
      <c r="M906" s="12"/>
      <c r="N906" s="12"/>
      <c r="O906" s="12"/>
      <c r="P906" s="12"/>
      <c r="Q906" s="12"/>
      <c r="R906" s="36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</row>
    <row r="907">
      <c r="J907" s="12"/>
      <c r="K907" s="12"/>
      <c r="L907" s="12"/>
      <c r="M907" s="12"/>
      <c r="N907" s="12"/>
      <c r="O907" s="12"/>
      <c r="P907" s="12"/>
      <c r="Q907" s="12"/>
      <c r="R907" s="36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</row>
    <row r="908">
      <c r="J908" s="12"/>
      <c r="K908" s="12"/>
      <c r="L908" s="12"/>
      <c r="M908" s="12"/>
      <c r="N908" s="12"/>
      <c r="O908" s="12"/>
      <c r="P908" s="12"/>
      <c r="Q908" s="12"/>
      <c r="R908" s="36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</row>
    <row r="909">
      <c r="J909" s="12"/>
      <c r="K909" s="12"/>
      <c r="L909" s="12"/>
      <c r="M909" s="12"/>
      <c r="N909" s="12"/>
      <c r="O909" s="12"/>
      <c r="P909" s="12"/>
      <c r="Q909" s="12"/>
      <c r="R909" s="36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</row>
    <row r="910">
      <c r="J910" s="12"/>
      <c r="K910" s="12"/>
      <c r="L910" s="12"/>
      <c r="M910" s="12"/>
      <c r="N910" s="12"/>
      <c r="O910" s="12"/>
      <c r="P910" s="12"/>
      <c r="Q910" s="12"/>
      <c r="R910" s="36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</row>
    <row r="911">
      <c r="J911" s="12"/>
      <c r="K911" s="12"/>
      <c r="L911" s="12"/>
      <c r="M911" s="12"/>
      <c r="N911" s="12"/>
      <c r="O911" s="12"/>
      <c r="P911" s="12"/>
      <c r="Q911" s="12"/>
      <c r="R911" s="36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</row>
    <row r="912">
      <c r="J912" s="12"/>
      <c r="K912" s="12"/>
      <c r="L912" s="12"/>
      <c r="M912" s="12"/>
      <c r="N912" s="12"/>
      <c r="O912" s="12"/>
      <c r="P912" s="12"/>
      <c r="Q912" s="12"/>
      <c r="R912" s="36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</row>
    <row r="913">
      <c r="J913" s="12"/>
      <c r="K913" s="12"/>
      <c r="L913" s="12"/>
      <c r="M913" s="12"/>
      <c r="N913" s="12"/>
      <c r="O913" s="12"/>
      <c r="P913" s="12"/>
      <c r="Q913" s="12"/>
      <c r="R913" s="36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</row>
    <row r="914">
      <c r="J914" s="12"/>
      <c r="K914" s="12"/>
      <c r="L914" s="12"/>
      <c r="M914" s="12"/>
      <c r="N914" s="12"/>
      <c r="O914" s="12"/>
      <c r="P914" s="12"/>
      <c r="Q914" s="12"/>
      <c r="R914" s="36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</row>
    <row r="915">
      <c r="J915" s="12"/>
      <c r="K915" s="12"/>
      <c r="L915" s="12"/>
      <c r="M915" s="12"/>
      <c r="N915" s="12"/>
      <c r="O915" s="12"/>
      <c r="P915" s="12"/>
      <c r="Q915" s="12"/>
      <c r="R915" s="36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</row>
    <row r="916">
      <c r="J916" s="12"/>
      <c r="K916" s="12"/>
      <c r="L916" s="12"/>
      <c r="M916" s="12"/>
      <c r="N916" s="12"/>
      <c r="O916" s="12"/>
      <c r="P916" s="12"/>
      <c r="Q916" s="12"/>
      <c r="R916" s="36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</row>
    <row r="917">
      <c r="J917" s="12"/>
      <c r="K917" s="12"/>
      <c r="L917" s="12"/>
      <c r="M917" s="12"/>
      <c r="N917" s="12"/>
      <c r="O917" s="12"/>
      <c r="P917" s="12"/>
      <c r="Q917" s="12"/>
      <c r="R917" s="36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</row>
    <row r="918">
      <c r="J918" s="12"/>
      <c r="K918" s="12"/>
      <c r="L918" s="12"/>
      <c r="M918" s="12"/>
      <c r="N918" s="12"/>
      <c r="O918" s="12"/>
      <c r="P918" s="12"/>
      <c r="Q918" s="12"/>
      <c r="R918" s="36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</row>
    <row r="919">
      <c r="J919" s="12"/>
      <c r="K919" s="12"/>
      <c r="L919" s="12"/>
      <c r="M919" s="12"/>
      <c r="N919" s="12"/>
      <c r="O919" s="12"/>
      <c r="P919" s="12"/>
      <c r="Q919" s="12"/>
      <c r="R919" s="36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</row>
    <row r="920">
      <c r="J920" s="12"/>
      <c r="K920" s="12"/>
      <c r="L920" s="12"/>
      <c r="M920" s="12"/>
      <c r="N920" s="12"/>
      <c r="O920" s="12"/>
      <c r="P920" s="12"/>
      <c r="Q920" s="12"/>
      <c r="R920" s="36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</row>
    <row r="921">
      <c r="J921" s="12"/>
      <c r="K921" s="12"/>
      <c r="L921" s="12"/>
      <c r="M921" s="12"/>
      <c r="N921" s="12"/>
      <c r="O921" s="12"/>
      <c r="P921" s="12"/>
      <c r="Q921" s="12"/>
      <c r="R921" s="36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</row>
    <row r="922">
      <c r="J922" s="12"/>
      <c r="K922" s="12"/>
      <c r="L922" s="12"/>
      <c r="M922" s="12"/>
      <c r="N922" s="12"/>
      <c r="O922" s="12"/>
      <c r="P922" s="12"/>
      <c r="Q922" s="12"/>
      <c r="R922" s="36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</row>
    <row r="923">
      <c r="J923" s="12"/>
      <c r="K923" s="12"/>
      <c r="L923" s="12"/>
      <c r="M923" s="12"/>
      <c r="N923" s="12"/>
      <c r="O923" s="12"/>
      <c r="P923" s="12"/>
      <c r="Q923" s="12"/>
      <c r="R923" s="36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</row>
    <row r="924">
      <c r="J924" s="12"/>
      <c r="K924" s="12"/>
      <c r="L924" s="12"/>
      <c r="M924" s="12"/>
      <c r="N924" s="12"/>
      <c r="O924" s="12"/>
      <c r="P924" s="12"/>
      <c r="Q924" s="12"/>
      <c r="R924" s="36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</row>
    <row r="925">
      <c r="J925" s="12"/>
      <c r="K925" s="12"/>
      <c r="L925" s="12"/>
      <c r="M925" s="12"/>
      <c r="N925" s="12"/>
      <c r="O925" s="12"/>
      <c r="P925" s="12"/>
      <c r="Q925" s="12"/>
      <c r="R925" s="36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</row>
    <row r="926">
      <c r="J926" s="12"/>
      <c r="K926" s="12"/>
      <c r="L926" s="12"/>
      <c r="M926" s="12"/>
      <c r="N926" s="12"/>
      <c r="O926" s="12"/>
      <c r="P926" s="12"/>
      <c r="Q926" s="12"/>
      <c r="R926" s="36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</row>
    <row r="927">
      <c r="J927" s="12"/>
      <c r="K927" s="12"/>
      <c r="L927" s="12"/>
      <c r="M927" s="12"/>
      <c r="N927" s="12"/>
      <c r="O927" s="12"/>
      <c r="P927" s="12"/>
      <c r="Q927" s="12"/>
      <c r="R927" s="36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</row>
    <row r="928">
      <c r="J928" s="12"/>
      <c r="K928" s="12"/>
      <c r="L928" s="12"/>
      <c r="M928" s="12"/>
      <c r="N928" s="12"/>
      <c r="O928" s="12"/>
      <c r="P928" s="12"/>
      <c r="Q928" s="12"/>
      <c r="R928" s="36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</row>
    <row r="929">
      <c r="J929" s="12"/>
      <c r="K929" s="12"/>
      <c r="L929" s="12"/>
      <c r="M929" s="12"/>
      <c r="N929" s="12"/>
      <c r="O929" s="12"/>
      <c r="P929" s="12"/>
      <c r="Q929" s="12"/>
      <c r="R929" s="36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</row>
    <row r="930">
      <c r="J930" s="12"/>
      <c r="K930" s="12"/>
      <c r="L930" s="12"/>
      <c r="M930" s="12"/>
      <c r="N930" s="12"/>
      <c r="O930" s="12"/>
      <c r="P930" s="12"/>
      <c r="Q930" s="12"/>
      <c r="R930" s="36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</row>
    <row r="931">
      <c r="J931" s="12"/>
      <c r="K931" s="12"/>
      <c r="L931" s="12"/>
      <c r="M931" s="12"/>
      <c r="N931" s="12"/>
      <c r="O931" s="12"/>
      <c r="P931" s="12"/>
      <c r="Q931" s="12"/>
      <c r="R931" s="36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</row>
    <row r="932">
      <c r="J932" s="12"/>
      <c r="K932" s="12"/>
      <c r="L932" s="12"/>
      <c r="M932" s="12"/>
      <c r="N932" s="12"/>
      <c r="O932" s="12"/>
      <c r="P932" s="12"/>
      <c r="Q932" s="12"/>
      <c r="R932" s="36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</row>
    <row r="933">
      <c r="J933" s="12"/>
      <c r="K933" s="12"/>
      <c r="L933" s="12"/>
      <c r="M933" s="12"/>
      <c r="N933" s="12"/>
      <c r="O933" s="12"/>
      <c r="P933" s="12"/>
      <c r="Q933" s="12"/>
      <c r="R933" s="36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</row>
    <row r="934">
      <c r="J934" s="12"/>
      <c r="K934" s="12"/>
      <c r="L934" s="12"/>
      <c r="M934" s="12"/>
      <c r="N934" s="12"/>
      <c r="O934" s="12"/>
      <c r="P934" s="12"/>
      <c r="Q934" s="12"/>
      <c r="R934" s="36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</row>
    <row r="935">
      <c r="J935" s="12"/>
      <c r="K935" s="12"/>
      <c r="L935" s="12"/>
      <c r="M935" s="12"/>
      <c r="N935" s="12"/>
      <c r="O935" s="12"/>
      <c r="P935" s="12"/>
      <c r="Q935" s="12"/>
      <c r="R935" s="36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</row>
    <row r="936">
      <c r="J936" s="12"/>
      <c r="K936" s="12"/>
      <c r="L936" s="12"/>
      <c r="M936" s="12"/>
      <c r="N936" s="12"/>
      <c r="O936" s="12"/>
      <c r="P936" s="12"/>
      <c r="Q936" s="12"/>
      <c r="R936" s="36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</row>
    <row r="937">
      <c r="J937" s="12"/>
      <c r="K937" s="12"/>
      <c r="L937" s="12"/>
      <c r="M937" s="12"/>
      <c r="N937" s="12"/>
      <c r="O937" s="12"/>
      <c r="P937" s="12"/>
      <c r="Q937" s="12"/>
      <c r="R937" s="36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</row>
    <row r="938">
      <c r="J938" s="12"/>
      <c r="K938" s="12"/>
      <c r="L938" s="12"/>
      <c r="M938" s="12"/>
      <c r="N938" s="12"/>
      <c r="O938" s="12"/>
      <c r="P938" s="12"/>
      <c r="Q938" s="12"/>
      <c r="R938" s="36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</row>
    <row r="939">
      <c r="J939" s="12"/>
      <c r="K939" s="12"/>
      <c r="L939" s="12"/>
      <c r="M939" s="12"/>
      <c r="N939" s="12"/>
      <c r="O939" s="12"/>
      <c r="P939" s="12"/>
      <c r="Q939" s="12"/>
      <c r="R939" s="36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</row>
    <row r="940">
      <c r="J940" s="12"/>
      <c r="K940" s="12"/>
      <c r="L940" s="12"/>
      <c r="M940" s="12"/>
      <c r="N940" s="12"/>
      <c r="O940" s="12"/>
      <c r="P940" s="12"/>
      <c r="Q940" s="12"/>
      <c r="R940" s="36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</row>
    <row r="941">
      <c r="J941" s="12"/>
      <c r="K941" s="12"/>
      <c r="L941" s="12"/>
      <c r="M941" s="12"/>
      <c r="N941" s="12"/>
      <c r="O941" s="12"/>
      <c r="P941" s="12"/>
      <c r="Q941" s="12"/>
      <c r="R941" s="36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</row>
    <row r="942">
      <c r="J942" s="12"/>
      <c r="K942" s="12"/>
      <c r="L942" s="12"/>
      <c r="M942" s="12"/>
      <c r="N942" s="12"/>
      <c r="O942" s="12"/>
      <c r="P942" s="12"/>
      <c r="Q942" s="12"/>
      <c r="R942" s="36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</row>
    <row r="943">
      <c r="J943" s="12"/>
      <c r="K943" s="12"/>
      <c r="L943" s="12"/>
      <c r="M943" s="12"/>
      <c r="N943" s="12"/>
      <c r="O943" s="12"/>
      <c r="P943" s="12"/>
      <c r="Q943" s="12"/>
      <c r="R943" s="36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</row>
    <row r="944">
      <c r="J944" s="12"/>
      <c r="K944" s="12"/>
      <c r="L944" s="12"/>
      <c r="M944" s="12"/>
      <c r="N944" s="12"/>
      <c r="O944" s="12"/>
      <c r="P944" s="12"/>
      <c r="Q944" s="12"/>
      <c r="R944" s="36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</row>
    <row r="945">
      <c r="J945" s="12"/>
      <c r="K945" s="12"/>
      <c r="L945" s="12"/>
      <c r="M945" s="12"/>
      <c r="N945" s="12"/>
      <c r="O945" s="12"/>
      <c r="P945" s="12"/>
      <c r="Q945" s="12"/>
      <c r="R945" s="36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</row>
    <row r="946">
      <c r="J946" s="12"/>
      <c r="K946" s="12"/>
      <c r="L946" s="12"/>
      <c r="M946" s="12"/>
      <c r="N946" s="12"/>
      <c r="O946" s="12"/>
      <c r="P946" s="12"/>
      <c r="Q946" s="12"/>
      <c r="R946" s="36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</row>
    <row r="947">
      <c r="J947" s="12"/>
      <c r="K947" s="12"/>
      <c r="L947" s="12"/>
      <c r="M947" s="12"/>
      <c r="N947" s="12"/>
      <c r="O947" s="12"/>
      <c r="P947" s="12"/>
      <c r="Q947" s="12"/>
      <c r="R947" s="36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</row>
    <row r="948">
      <c r="J948" s="12"/>
      <c r="K948" s="12"/>
      <c r="L948" s="12"/>
      <c r="M948" s="12"/>
      <c r="N948" s="12"/>
      <c r="O948" s="12"/>
      <c r="P948" s="12"/>
      <c r="Q948" s="12"/>
      <c r="R948" s="36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</row>
    <row r="949">
      <c r="J949" s="12"/>
      <c r="K949" s="12"/>
      <c r="L949" s="12"/>
      <c r="M949" s="12"/>
      <c r="N949" s="12"/>
      <c r="O949" s="12"/>
      <c r="P949" s="12"/>
      <c r="Q949" s="12"/>
      <c r="R949" s="36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</row>
    <row r="950">
      <c r="J950" s="12"/>
      <c r="K950" s="12"/>
      <c r="L950" s="12"/>
      <c r="M950" s="12"/>
      <c r="N950" s="12"/>
      <c r="O950" s="12"/>
      <c r="P950" s="12"/>
      <c r="Q950" s="12"/>
      <c r="R950" s="36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</row>
    <row r="951">
      <c r="J951" s="12"/>
      <c r="K951" s="12"/>
      <c r="L951" s="12"/>
      <c r="M951" s="12"/>
      <c r="N951" s="12"/>
      <c r="O951" s="12"/>
      <c r="P951" s="12"/>
      <c r="Q951" s="12"/>
      <c r="R951" s="36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</row>
    <row r="952">
      <c r="J952" s="12"/>
      <c r="K952" s="12"/>
      <c r="L952" s="12"/>
      <c r="M952" s="12"/>
      <c r="N952" s="12"/>
      <c r="O952" s="12"/>
      <c r="P952" s="12"/>
      <c r="Q952" s="12"/>
      <c r="R952" s="36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</row>
    <row r="953">
      <c r="J953" s="12"/>
      <c r="K953" s="12"/>
      <c r="L953" s="12"/>
      <c r="M953" s="12"/>
      <c r="N953" s="12"/>
      <c r="O953" s="12"/>
      <c r="P953" s="12"/>
      <c r="Q953" s="12"/>
      <c r="R953" s="36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</row>
    <row r="954">
      <c r="J954" s="12"/>
      <c r="K954" s="12"/>
      <c r="L954" s="12"/>
      <c r="M954" s="12"/>
      <c r="N954" s="12"/>
      <c r="O954" s="12"/>
      <c r="P954" s="12"/>
      <c r="Q954" s="12"/>
      <c r="R954" s="36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</row>
    <row r="955">
      <c r="J955" s="12"/>
      <c r="K955" s="12"/>
      <c r="L955" s="12"/>
      <c r="M955" s="12"/>
      <c r="N955" s="12"/>
      <c r="O955" s="12"/>
      <c r="P955" s="12"/>
      <c r="Q955" s="12"/>
      <c r="R955" s="36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</row>
    <row r="956">
      <c r="J956" s="12"/>
      <c r="K956" s="12"/>
      <c r="L956" s="12"/>
      <c r="M956" s="12"/>
      <c r="N956" s="12"/>
      <c r="O956" s="12"/>
      <c r="P956" s="12"/>
      <c r="Q956" s="12"/>
      <c r="R956" s="36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</row>
    <row r="957">
      <c r="J957" s="12"/>
      <c r="K957" s="12"/>
      <c r="L957" s="12"/>
      <c r="M957" s="12"/>
      <c r="N957" s="12"/>
      <c r="O957" s="12"/>
      <c r="P957" s="12"/>
      <c r="Q957" s="12"/>
      <c r="R957" s="36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</row>
    <row r="958">
      <c r="J958" s="12"/>
      <c r="K958" s="12"/>
      <c r="L958" s="12"/>
      <c r="M958" s="12"/>
      <c r="N958" s="12"/>
      <c r="O958" s="12"/>
      <c r="P958" s="12"/>
      <c r="Q958" s="12"/>
      <c r="R958" s="36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</row>
    <row r="959">
      <c r="J959" s="12"/>
      <c r="K959" s="12"/>
      <c r="L959" s="12"/>
      <c r="M959" s="12"/>
      <c r="N959" s="12"/>
      <c r="O959" s="12"/>
      <c r="P959" s="12"/>
      <c r="Q959" s="12"/>
      <c r="R959" s="36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</row>
    <row r="960">
      <c r="J960" s="12"/>
      <c r="K960" s="12"/>
      <c r="L960" s="12"/>
      <c r="M960" s="12"/>
      <c r="N960" s="12"/>
      <c r="O960" s="12"/>
      <c r="P960" s="12"/>
      <c r="Q960" s="12"/>
      <c r="R960" s="36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</row>
    <row r="961">
      <c r="J961" s="12"/>
      <c r="K961" s="12"/>
      <c r="L961" s="12"/>
      <c r="M961" s="12"/>
      <c r="N961" s="12"/>
      <c r="O961" s="12"/>
      <c r="P961" s="12"/>
      <c r="Q961" s="12"/>
      <c r="R961" s="36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</row>
    <row r="962">
      <c r="J962" s="12"/>
      <c r="K962" s="12"/>
      <c r="L962" s="12"/>
      <c r="M962" s="12"/>
      <c r="N962" s="12"/>
      <c r="O962" s="12"/>
      <c r="P962" s="12"/>
      <c r="Q962" s="12"/>
      <c r="R962" s="36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</row>
    <row r="963">
      <c r="J963" s="12"/>
      <c r="K963" s="12"/>
      <c r="L963" s="12"/>
      <c r="M963" s="12"/>
      <c r="N963" s="12"/>
      <c r="O963" s="12"/>
      <c r="P963" s="12"/>
      <c r="Q963" s="12"/>
      <c r="R963" s="36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</row>
    <row r="964">
      <c r="J964" s="12"/>
      <c r="K964" s="12"/>
      <c r="L964" s="12"/>
      <c r="M964" s="12"/>
      <c r="N964" s="12"/>
      <c r="O964" s="12"/>
      <c r="P964" s="12"/>
      <c r="Q964" s="12"/>
      <c r="R964" s="36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</row>
    <row r="965">
      <c r="J965" s="12"/>
      <c r="K965" s="12"/>
      <c r="L965" s="12"/>
      <c r="M965" s="12"/>
      <c r="N965" s="12"/>
      <c r="O965" s="12"/>
      <c r="P965" s="12"/>
      <c r="Q965" s="12"/>
      <c r="R965" s="36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</row>
    <row r="966">
      <c r="J966" s="12"/>
      <c r="K966" s="12"/>
      <c r="L966" s="12"/>
      <c r="M966" s="12"/>
      <c r="N966" s="12"/>
      <c r="O966" s="12"/>
      <c r="P966" s="12"/>
      <c r="Q966" s="12"/>
      <c r="R966" s="36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</row>
    <row r="967">
      <c r="J967" s="12"/>
      <c r="K967" s="12"/>
      <c r="L967" s="12"/>
      <c r="M967" s="12"/>
      <c r="N967" s="12"/>
      <c r="O967" s="12"/>
      <c r="P967" s="12"/>
      <c r="Q967" s="12"/>
      <c r="R967" s="36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</row>
    <row r="968">
      <c r="J968" s="12"/>
      <c r="K968" s="12"/>
      <c r="L968" s="12"/>
      <c r="M968" s="12"/>
      <c r="N968" s="12"/>
      <c r="O968" s="12"/>
      <c r="P968" s="12"/>
      <c r="Q968" s="12"/>
      <c r="R968" s="36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</row>
    <row r="969">
      <c r="J969" s="12"/>
      <c r="K969" s="12"/>
      <c r="L969" s="12"/>
      <c r="M969" s="12"/>
      <c r="N969" s="12"/>
      <c r="O969" s="12"/>
      <c r="P969" s="12"/>
      <c r="Q969" s="12"/>
      <c r="R969" s="36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</row>
    <row r="970">
      <c r="J970" s="12"/>
      <c r="K970" s="12"/>
      <c r="L970" s="12"/>
      <c r="M970" s="12"/>
      <c r="N970" s="12"/>
      <c r="O970" s="12"/>
      <c r="P970" s="12"/>
      <c r="Q970" s="12"/>
      <c r="R970" s="36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</row>
    <row r="971">
      <c r="J971" s="12"/>
      <c r="K971" s="12"/>
      <c r="L971" s="12"/>
      <c r="M971" s="12"/>
      <c r="N971" s="12"/>
      <c r="O971" s="12"/>
      <c r="P971" s="12"/>
      <c r="Q971" s="12"/>
      <c r="R971" s="36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</row>
    <row r="972">
      <c r="J972" s="12"/>
      <c r="K972" s="12"/>
      <c r="L972" s="12"/>
      <c r="M972" s="12"/>
      <c r="N972" s="12"/>
      <c r="O972" s="12"/>
      <c r="P972" s="12"/>
      <c r="Q972" s="12"/>
      <c r="R972" s="36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</row>
    <row r="973">
      <c r="J973" s="12"/>
      <c r="K973" s="12"/>
      <c r="L973" s="12"/>
      <c r="M973" s="12"/>
      <c r="N973" s="12"/>
      <c r="O973" s="12"/>
      <c r="P973" s="12"/>
      <c r="Q973" s="12"/>
      <c r="R973" s="36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</row>
    <row r="974">
      <c r="J974" s="12"/>
      <c r="K974" s="12"/>
      <c r="L974" s="12"/>
      <c r="M974" s="12"/>
      <c r="N974" s="12"/>
      <c r="O974" s="12"/>
      <c r="P974" s="12"/>
      <c r="Q974" s="12"/>
      <c r="R974" s="36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</row>
    <row r="975">
      <c r="J975" s="12"/>
      <c r="K975" s="12"/>
      <c r="L975" s="12"/>
      <c r="M975" s="12"/>
      <c r="N975" s="12"/>
      <c r="O975" s="12"/>
      <c r="P975" s="12"/>
      <c r="Q975" s="12"/>
      <c r="R975" s="36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</row>
    <row r="976">
      <c r="J976" s="12"/>
      <c r="K976" s="12"/>
      <c r="L976" s="12"/>
      <c r="M976" s="12"/>
      <c r="N976" s="12"/>
      <c r="O976" s="12"/>
      <c r="P976" s="12"/>
      <c r="Q976" s="12"/>
      <c r="R976" s="36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</row>
    <row r="977">
      <c r="J977" s="12"/>
      <c r="K977" s="12"/>
      <c r="L977" s="12"/>
      <c r="M977" s="12"/>
      <c r="N977" s="12"/>
      <c r="O977" s="12"/>
      <c r="P977" s="12"/>
      <c r="Q977" s="12"/>
      <c r="R977" s="36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</row>
    <row r="978">
      <c r="J978" s="12"/>
      <c r="K978" s="12"/>
      <c r="L978" s="12"/>
      <c r="M978" s="12"/>
      <c r="N978" s="12"/>
      <c r="O978" s="12"/>
      <c r="P978" s="12"/>
      <c r="Q978" s="12"/>
      <c r="R978" s="36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</row>
    <row r="979">
      <c r="J979" s="12"/>
      <c r="K979" s="12"/>
      <c r="L979" s="12"/>
      <c r="M979" s="12"/>
      <c r="N979" s="12"/>
      <c r="O979" s="12"/>
      <c r="P979" s="12"/>
      <c r="Q979" s="12"/>
      <c r="R979" s="36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</row>
    <row r="980">
      <c r="J980" s="12"/>
      <c r="K980" s="12"/>
      <c r="L980" s="12"/>
      <c r="M980" s="12"/>
      <c r="N980" s="12"/>
      <c r="O980" s="12"/>
      <c r="P980" s="12"/>
      <c r="Q980" s="12"/>
      <c r="R980" s="36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</row>
    <row r="981">
      <c r="J981" s="12"/>
      <c r="K981" s="12"/>
      <c r="L981" s="12"/>
      <c r="M981" s="12"/>
      <c r="N981" s="12"/>
      <c r="O981" s="12"/>
      <c r="P981" s="12"/>
      <c r="Q981" s="12"/>
      <c r="R981" s="36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</row>
    <row r="982">
      <c r="J982" s="12"/>
      <c r="K982" s="12"/>
      <c r="L982" s="12"/>
      <c r="M982" s="12"/>
      <c r="N982" s="12"/>
      <c r="O982" s="12"/>
      <c r="P982" s="12"/>
      <c r="Q982" s="12"/>
      <c r="R982" s="36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</row>
    <row r="983">
      <c r="J983" s="12"/>
      <c r="K983" s="12"/>
      <c r="L983" s="12"/>
      <c r="M983" s="12"/>
      <c r="N983" s="12"/>
      <c r="O983" s="12"/>
      <c r="P983" s="12"/>
      <c r="Q983" s="12"/>
      <c r="R983" s="36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</row>
    <row r="984">
      <c r="J984" s="12"/>
      <c r="K984" s="12"/>
      <c r="L984" s="12"/>
      <c r="M984" s="12"/>
      <c r="N984" s="12"/>
      <c r="O984" s="12"/>
      <c r="P984" s="12"/>
      <c r="Q984" s="12"/>
      <c r="R984" s="36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</row>
    <row r="985">
      <c r="J985" s="12"/>
      <c r="K985" s="12"/>
      <c r="L985" s="12"/>
      <c r="M985" s="12"/>
      <c r="N985" s="12"/>
      <c r="O985" s="12"/>
      <c r="P985" s="12"/>
      <c r="Q985" s="12"/>
      <c r="R985" s="36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</row>
    <row r="986">
      <c r="J986" s="12"/>
      <c r="K986" s="12"/>
      <c r="L986" s="12"/>
      <c r="M986" s="12"/>
      <c r="N986" s="12"/>
      <c r="O986" s="12"/>
      <c r="P986" s="12"/>
      <c r="Q986" s="12"/>
      <c r="R986" s="36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</row>
    <row r="987">
      <c r="J987" s="12"/>
      <c r="K987" s="12"/>
      <c r="L987" s="12"/>
      <c r="M987" s="12"/>
      <c r="N987" s="12"/>
      <c r="O987" s="12"/>
      <c r="P987" s="12"/>
      <c r="Q987" s="12"/>
      <c r="R987" s="36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</row>
    <row r="988">
      <c r="J988" s="12"/>
      <c r="K988" s="12"/>
      <c r="L988" s="12"/>
      <c r="M988" s="12"/>
      <c r="N988" s="12"/>
      <c r="O988" s="12"/>
      <c r="P988" s="12"/>
      <c r="Q988" s="12"/>
      <c r="R988" s="36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</row>
    <row r="989">
      <c r="J989" s="12"/>
      <c r="K989" s="12"/>
      <c r="L989" s="12"/>
      <c r="M989" s="12"/>
      <c r="N989" s="12"/>
      <c r="O989" s="12"/>
      <c r="P989" s="12"/>
      <c r="Q989" s="12"/>
      <c r="R989" s="36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</row>
    <row r="990">
      <c r="J990" s="12"/>
      <c r="K990" s="12"/>
      <c r="L990" s="12"/>
      <c r="M990" s="12"/>
      <c r="N990" s="12"/>
      <c r="O990" s="12"/>
      <c r="P990" s="12"/>
      <c r="Q990" s="12"/>
      <c r="R990" s="36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</row>
    <row r="991">
      <c r="J991" s="12"/>
      <c r="K991" s="12"/>
      <c r="L991" s="12"/>
      <c r="M991" s="12"/>
      <c r="N991" s="12"/>
      <c r="O991" s="12"/>
      <c r="P991" s="12"/>
      <c r="Q991" s="12"/>
      <c r="R991" s="36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</row>
    <row r="992">
      <c r="J992" s="12"/>
      <c r="K992" s="12"/>
      <c r="L992" s="12"/>
      <c r="M992" s="12"/>
      <c r="N992" s="12"/>
      <c r="O992" s="12"/>
      <c r="P992" s="12"/>
      <c r="Q992" s="12"/>
      <c r="R992" s="36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</row>
    <row r="993">
      <c r="J993" s="12"/>
      <c r="K993" s="12"/>
      <c r="L993" s="12"/>
      <c r="M993" s="12"/>
      <c r="N993" s="12"/>
      <c r="O993" s="12"/>
      <c r="P993" s="12"/>
      <c r="Q993" s="12"/>
      <c r="R993" s="36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</row>
    <row r="994">
      <c r="J994" s="12"/>
      <c r="K994" s="12"/>
      <c r="L994" s="12"/>
      <c r="M994" s="12"/>
      <c r="N994" s="12"/>
      <c r="O994" s="12"/>
      <c r="P994" s="12"/>
      <c r="Q994" s="12"/>
      <c r="R994" s="36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</row>
    <row r="995">
      <c r="J995" s="12"/>
      <c r="K995" s="12"/>
      <c r="L995" s="12"/>
      <c r="M995" s="12"/>
      <c r="N995" s="12"/>
      <c r="O995" s="12"/>
      <c r="P995" s="12"/>
      <c r="Q995" s="12"/>
      <c r="R995" s="36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</row>
    <row r="996">
      <c r="J996" s="12"/>
      <c r="K996" s="12"/>
      <c r="L996" s="12"/>
      <c r="M996" s="12"/>
      <c r="N996" s="12"/>
      <c r="O996" s="12"/>
      <c r="P996" s="12"/>
      <c r="Q996" s="12"/>
      <c r="R996" s="36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</row>
    <row r="997">
      <c r="J997" s="12"/>
      <c r="K997" s="12"/>
      <c r="L997" s="12"/>
      <c r="M997" s="12"/>
      <c r="N997" s="12"/>
      <c r="O997" s="12"/>
      <c r="P997" s="12"/>
      <c r="Q997" s="12"/>
      <c r="R997" s="36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</row>
    <row r="998">
      <c r="J998" s="12"/>
      <c r="K998" s="12"/>
      <c r="L998" s="12"/>
      <c r="M998" s="12"/>
      <c r="N998" s="12"/>
      <c r="O998" s="12"/>
      <c r="P998" s="12"/>
      <c r="Q998" s="12"/>
      <c r="R998" s="36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</row>
    <row r="999">
      <c r="J999" s="12"/>
      <c r="K999" s="12"/>
      <c r="L999" s="12"/>
      <c r="M999" s="12"/>
      <c r="N999" s="12"/>
      <c r="O999" s="12"/>
      <c r="P999" s="12"/>
      <c r="Q999" s="12"/>
      <c r="R999" s="36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</row>
    <row r="1000">
      <c r="J1000" s="12"/>
      <c r="K1000" s="12"/>
      <c r="L1000" s="12"/>
      <c r="M1000" s="12"/>
      <c r="N1000" s="12"/>
      <c r="O1000" s="12"/>
      <c r="P1000" s="12"/>
      <c r="Q1000" s="12"/>
      <c r="R1000" s="36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</row>
    <row r="1001">
      <c r="J1001" s="12"/>
      <c r="K1001" s="12"/>
      <c r="L1001" s="12"/>
      <c r="M1001" s="12"/>
      <c r="N1001" s="12"/>
      <c r="O1001" s="12"/>
      <c r="P1001" s="12"/>
      <c r="Q1001" s="12"/>
      <c r="R1001" s="36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  <c r="AG1001" s="12"/>
      <c r="AH1001" s="12"/>
    </row>
    <row r="1002">
      <c r="J1002" s="12"/>
      <c r="K1002" s="12"/>
      <c r="L1002" s="12"/>
      <c r="M1002" s="12"/>
      <c r="N1002" s="12"/>
      <c r="O1002" s="12"/>
      <c r="P1002" s="12"/>
      <c r="Q1002" s="12"/>
      <c r="R1002" s="36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  <c r="AF1002" s="12"/>
      <c r="AG1002" s="12"/>
      <c r="AH1002" s="12"/>
    </row>
    <row r="1003">
      <c r="J1003" s="12"/>
      <c r="K1003" s="12"/>
      <c r="L1003" s="12"/>
      <c r="M1003" s="12"/>
      <c r="N1003" s="12"/>
      <c r="O1003" s="12"/>
      <c r="P1003" s="12"/>
      <c r="Q1003" s="12"/>
      <c r="R1003" s="36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  <c r="AE1003" s="12"/>
      <c r="AF1003" s="12"/>
      <c r="AG1003" s="12"/>
      <c r="AH1003" s="12"/>
    </row>
    <row r="1004">
      <c r="J1004" s="12"/>
      <c r="K1004" s="12"/>
      <c r="L1004" s="12"/>
      <c r="M1004" s="12"/>
      <c r="N1004" s="12"/>
      <c r="O1004" s="12"/>
      <c r="P1004" s="12"/>
      <c r="Q1004" s="12"/>
      <c r="R1004" s="36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  <c r="AE1004" s="12"/>
      <c r="AF1004" s="12"/>
      <c r="AG1004" s="12"/>
      <c r="AH1004" s="12"/>
    </row>
    <row r="1005">
      <c r="J1005" s="12"/>
      <c r="K1005" s="12"/>
      <c r="L1005" s="12"/>
      <c r="M1005" s="12"/>
      <c r="N1005" s="12"/>
      <c r="O1005" s="12"/>
      <c r="P1005" s="12"/>
      <c r="Q1005" s="12"/>
      <c r="R1005" s="36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  <c r="AC1005" s="12"/>
      <c r="AD1005" s="12"/>
      <c r="AE1005" s="12"/>
      <c r="AF1005" s="12"/>
      <c r="AG1005" s="12"/>
      <c r="AH1005" s="12"/>
    </row>
    <row r="1006">
      <c r="J1006" s="12"/>
      <c r="K1006" s="12"/>
      <c r="L1006" s="12"/>
      <c r="M1006" s="12"/>
      <c r="N1006" s="12"/>
      <c r="O1006" s="12"/>
      <c r="P1006" s="12"/>
      <c r="Q1006" s="12"/>
      <c r="R1006" s="36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  <c r="AC1006" s="12"/>
      <c r="AD1006" s="12"/>
      <c r="AE1006" s="12"/>
      <c r="AF1006" s="12"/>
      <c r="AG1006" s="12"/>
      <c r="AH1006" s="12"/>
    </row>
    <row r="1007">
      <c r="J1007" s="12"/>
      <c r="K1007" s="12"/>
      <c r="L1007" s="12"/>
      <c r="M1007" s="12"/>
      <c r="N1007" s="12"/>
      <c r="O1007" s="12"/>
      <c r="P1007" s="12"/>
      <c r="Q1007" s="12"/>
      <c r="R1007" s="36"/>
      <c r="S1007" s="12"/>
      <c r="T1007" s="12"/>
      <c r="U1007" s="12"/>
      <c r="V1007" s="12"/>
      <c r="W1007" s="12"/>
      <c r="X1007" s="12"/>
      <c r="Y1007" s="12"/>
      <c r="Z1007" s="12"/>
      <c r="AA1007" s="12"/>
      <c r="AB1007" s="12"/>
      <c r="AC1007" s="12"/>
      <c r="AD1007" s="12"/>
      <c r="AE1007" s="12"/>
      <c r="AF1007" s="12"/>
      <c r="AG1007" s="12"/>
      <c r="AH1007" s="12"/>
    </row>
    <row r="1008">
      <c r="J1008" s="12"/>
      <c r="K1008" s="12"/>
      <c r="L1008" s="12"/>
      <c r="M1008" s="12"/>
      <c r="N1008" s="12"/>
      <c r="O1008" s="12"/>
      <c r="P1008" s="12"/>
      <c r="Q1008" s="12"/>
      <c r="R1008" s="36"/>
      <c r="S1008" s="12"/>
      <c r="T1008" s="12"/>
      <c r="U1008" s="12"/>
      <c r="V1008" s="12"/>
      <c r="W1008" s="12"/>
      <c r="X1008" s="12"/>
      <c r="Y1008" s="12"/>
      <c r="Z1008" s="12"/>
      <c r="AA1008" s="12"/>
      <c r="AB1008" s="12"/>
      <c r="AC1008" s="12"/>
      <c r="AD1008" s="12"/>
      <c r="AE1008" s="12"/>
      <c r="AF1008" s="12"/>
      <c r="AG1008" s="12"/>
      <c r="AH1008" s="12"/>
    </row>
    <row r="1009">
      <c r="J1009" s="12"/>
      <c r="K1009" s="12"/>
      <c r="L1009" s="12"/>
      <c r="M1009" s="12"/>
      <c r="N1009" s="12"/>
      <c r="O1009" s="12"/>
      <c r="P1009" s="12"/>
      <c r="Q1009" s="12"/>
      <c r="R1009" s="36"/>
      <c r="S1009" s="12"/>
      <c r="T1009" s="12"/>
      <c r="U1009" s="12"/>
      <c r="V1009" s="12"/>
      <c r="W1009" s="12"/>
      <c r="X1009" s="12"/>
      <c r="Y1009" s="12"/>
      <c r="Z1009" s="12"/>
      <c r="AA1009" s="12"/>
      <c r="AB1009" s="12"/>
      <c r="AC1009" s="12"/>
      <c r="AD1009" s="12"/>
      <c r="AE1009" s="12"/>
      <c r="AF1009" s="12"/>
      <c r="AG1009" s="12"/>
      <c r="AH1009" s="12"/>
    </row>
    <row r="1010">
      <c r="J1010" s="12"/>
      <c r="K1010" s="12"/>
      <c r="L1010" s="12"/>
      <c r="M1010" s="12"/>
      <c r="N1010" s="12"/>
      <c r="O1010" s="12"/>
      <c r="P1010" s="12"/>
      <c r="Q1010" s="12"/>
      <c r="R1010" s="36"/>
      <c r="S1010" s="12"/>
      <c r="T1010" s="12"/>
      <c r="U1010" s="12"/>
      <c r="V1010" s="12"/>
      <c r="W1010" s="12"/>
      <c r="X1010" s="12"/>
      <c r="Y1010" s="12"/>
      <c r="Z1010" s="12"/>
      <c r="AA1010" s="12"/>
      <c r="AB1010" s="12"/>
      <c r="AC1010" s="12"/>
      <c r="AD1010" s="12"/>
      <c r="AE1010" s="12"/>
      <c r="AF1010" s="12"/>
      <c r="AG1010" s="12"/>
      <c r="AH1010" s="12"/>
    </row>
    <row r="1011">
      <c r="J1011" s="12"/>
      <c r="K1011" s="12"/>
      <c r="L1011" s="12"/>
      <c r="M1011" s="12"/>
      <c r="N1011" s="12"/>
      <c r="O1011" s="12"/>
      <c r="P1011" s="12"/>
      <c r="Q1011" s="12"/>
      <c r="R1011" s="36"/>
      <c r="S1011" s="12"/>
      <c r="T1011" s="12"/>
      <c r="U1011" s="12"/>
      <c r="V1011" s="12"/>
      <c r="W1011" s="12"/>
      <c r="X1011" s="12"/>
      <c r="Y1011" s="12"/>
      <c r="Z1011" s="12"/>
      <c r="AA1011" s="12"/>
      <c r="AB1011" s="12"/>
      <c r="AC1011" s="12"/>
      <c r="AD1011" s="12"/>
      <c r="AE1011" s="12"/>
      <c r="AF1011" s="12"/>
      <c r="AG1011" s="12"/>
      <c r="AH1011" s="12"/>
    </row>
    <row r="1012">
      <c r="J1012" s="12"/>
      <c r="K1012" s="12"/>
      <c r="L1012" s="12"/>
      <c r="M1012" s="12"/>
      <c r="N1012" s="12"/>
      <c r="O1012" s="12"/>
      <c r="P1012" s="12"/>
      <c r="Q1012" s="12"/>
      <c r="R1012" s="36"/>
      <c r="S1012" s="12"/>
      <c r="T1012" s="12"/>
      <c r="U1012" s="12"/>
      <c r="V1012" s="12"/>
      <c r="W1012" s="12"/>
      <c r="X1012" s="12"/>
      <c r="Y1012" s="12"/>
      <c r="Z1012" s="12"/>
      <c r="AA1012" s="12"/>
      <c r="AB1012" s="12"/>
      <c r="AC1012" s="12"/>
      <c r="AD1012" s="12"/>
      <c r="AE1012" s="12"/>
      <c r="AF1012" s="12"/>
      <c r="AG1012" s="12"/>
      <c r="AH1012" s="12"/>
    </row>
    <row r="1013">
      <c r="J1013" s="12"/>
      <c r="K1013" s="12"/>
      <c r="L1013" s="12"/>
      <c r="M1013" s="12"/>
      <c r="N1013" s="12"/>
      <c r="O1013" s="12"/>
      <c r="P1013" s="12"/>
      <c r="Q1013" s="12"/>
      <c r="R1013" s="36"/>
      <c r="S1013" s="12"/>
      <c r="T1013" s="12"/>
      <c r="U1013" s="12"/>
      <c r="V1013" s="12"/>
      <c r="W1013" s="12"/>
      <c r="X1013" s="12"/>
      <c r="Y1013" s="12"/>
      <c r="Z1013" s="12"/>
      <c r="AA1013" s="12"/>
      <c r="AB1013" s="12"/>
      <c r="AC1013" s="12"/>
      <c r="AD1013" s="12"/>
      <c r="AE1013" s="12"/>
      <c r="AF1013" s="12"/>
      <c r="AG1013" s="12"/>
      <c r="AH1013" s="12"/>
    </row>
    <row r="1014">
      <c r="J1014" s="12"/>
      <c r="K1014" s="12"/>
      <c r="L1014" s="12"/>
      <c r="M1014" s="12"/>
      <c r="N1014" s="12"/>
      <c r="O1014" s="12"/>
      <c r="P1014" s="12"/>
      <c r="Q1014" s="12"/>
      <c r="R1014" s="36"/>
      <c r="S1014" s="12"/>
      <c r="T1014" s="12"/>
      <c r="U1014" s="12"/>
      <c r="V1014" s="12"/>
      <c r="W1014" s="12"/>
      <c r="X1014" s="12"/>
      <c r="Y1014" s="12"/>
      <c r="Z1014" s="12"/>
      <c r="AA1014" s="12"/>
      <c r="AB1014" s="12"/>
      <c r="AC1014" s="12"/>
      <c r="AD1014" s="12"/>
      <c r="AE1014" s="12"/>
      <c r="AF1014" s="12"/>
      <c r="AG1014" s="12"/>
      <c r="AH1014" s="12"/>
    </row>
    <row r="1015">
      <c r="J1015" s="12"/>
      <c r="K1015" s="12"/>
      <c r="L1015" s="12"/>
      <c r="M1015" s="12"/>
      <c r="N1015" s="12"/>
      <c r="O1015" s="12"/>
      <c r="P1015" s="12"/>
      <c r="Q1015" s="12"/>
      <c r="R1015" s="36"/>
      <c r="S1015" s="12"/>
      <c r="T1015" s="12"/>
      <c r="U1015" s="12"/>
      <c r="V1015" s="12"/>
      <c r="W1015" s="12"/>
      <c r="X1015" s="12"/>
      <c r="Y1015" s="12"/>
      <c r="Z1015" s="12"/>
      <c r="AA1015" s="12"/>
      <c r="AB1015" s="12"/>
      <c r="AC1015" s="12"/>
      <c r="AD1015" s="12"/>
      <c r="AE1015" s="12"/>
      <c r="AF1015" s="12"/>
      <c r="AG1015" s="12"/>
      <c r="AH1015" s="12"/>
    </row>
    <row r="1016">
      <c r="J1016" s="12"/>
      <c r="K1016" s="12"/>
      <c r="L1016" s="12"/>
      <c r="M1016" s="12"/>
      <c r="N1016" s="12"/>
      <c r="O1016" s="12"/>
      <c r="P1016" s="12"/>
      <c r="Q1016" s="12"/>
      <c r="R1016" s="36"/>
      <c r="S1016" s="12"/>
      <c r="T1016" s="12"/>
      <c r="U1016" s="12"/>
      <c r="V1016" s="12"/>
      <c r="W1016" s="12"/>
      <c r="X1016" s="12"/>
      <c r="Y1016" s="12"/>
      <c r="Z1016" s="12"/>
      <c r="AA1016" s="12"/>
      <c r="AB1016" s="12"/>
      <c r="AC1016" s="12"/>
      <c r="AD1016" s="12"/>
      <c r="AE1016" s="12"/>
      <c r="AF1016" s="12"/>
      <c r="AG1016" s="12"/>
      <c r="AH1016" s="12"/>
    </row>
    <row r="1017">
      <c r="J1017" s="12"/>
      <c r="K1017" s="12"/>
      <c r="L1017" s="12"/>
      <c r="M1017" s="12"/>
      <c r="N1017" s="12"/>
      <c r="O1017" s="12"/>
      <c r="P1017" s="12"/>
      <c r="Q1017" s="12"/>
      <c r="R1017" s="36"/>
      <c r="S1017" s="12"/>
      <c r="T1017" s="12"/>
      <c r="U1017" s="12"/>
      <c r="V1017" s="12"/>
      <c r="W1017" s="12"/>
      <c r="X1017" s="12"/>
      <c r="Y1017" s="12"/>
      <c r="Z1017" s="12"/>
      <c r="AA1017" s="12"/>
      <c r="AB1017" s="12"/>
      <c r="AC1017" s="12"/>
      <c r="AD1017" s="12"/>
      <c r="AE1017" s="12"/>
      <c r="AF1017" s="12"/>
      <c r="AG1017" s="12"/>
      <c r="AH1017" s="12"/>
    </row>
    <row r="1018">
      <c r="J1018" s="12"/>
      <c r="K1018" s="12"/>
      <c r="L1018" s="12"/>
      <c r="M1018" s="12"/>
      <c r="N1018" s="12"/>
      <c r="O1018" s="12"/>
      <c r="P1018" s="12"/>
      <c r="Q1018" s="12"/>
      <c r="R1018" s="36"/>
      <c r="S1018" s="12"/>
      <c r="T1018" s="12"/>
      <c r="U1018" s="12"/>
      <c r="V1018" s="12"/>
      <c r="W1018" s="12"/>
      <c r="X1018" s="12"/>
      <c r="Y1018" s="12"/>
      <c r="Z1018" s="12"/>
      <c r="AA1018" s="12"/>
      <c r="AB1018" s="12"/>
      <c r="AC1018" s="12"/>
      <c r="AD1018" s="12"/>
      <c r="AE1018" s="12"/>
      <c r="AF1018" s="12"/>
      <c r="AG1018" s="12"/>
      <c r="AH1018" s="12"/>
    </row>
    <row r="1019">
      <c r="J1019" s="12"/>
      <c r="K1019" s="12"/>
      <c r="L1019" s="12"/>
      <c r="M1019" s="12"/>
      <c r="N1019" s="12"/>
      <c r="O1019" s="12"/>
      <c r="P1019" s="12"/>
      <c r="Q1019" s="12"/>
      <c r="R1019" s="36"/>
      <c r="S1019" s="12"/>
      <c r="T1019" s="12"/>
      <c r="U1019" s="12"/>
      <c r="V1019" s="12"/>
      <c r="W1019" s="12"/>
      <c r="X1019" s="12"/>
      <c r="Y1019" s="12"/>
      <c r="Z1019" s="12"/>
      <c r="AA1019" s="12"/>
      <c r="AB1019" s="12"/>
      <c r="AC1019" s="12"/>
      <c r="AD1019" s="12"/>
      <c r="AE1019" s="12"/>
      <c r="AF1019" s="12"/>
      <c r="AG1019" s="12"/>
      <c r="AH1019" s="12"/>
    </row>
    <row r="1020">
      <c r="J1020" s="12"/>
      <c r="K1020" s="12"/>
      <c r="L1020" s="12"/>
      <c r="M1020" s="12"/>
      <c r="N1020" s="12"/>
      <c r="O1020" s="12"/>
      <c r="P1020" s="12"/>
      <c r="Q1020" s="12"/>
      <c r="R1020" s="36"/>
      <c r="S1020" s="12"/>
      <c r="T1020" s="12"/>
      <c r="U1020" s="12"/>
      <c r="V1020" s="12"/>
      <c r="W1020" s="12"/>
      <c r="X1020" s="12"/>
      <c r="Y1020" s="12"/>
      <c r="Z1020" s="12"/>
      <c r="AA1020" s="12"/>
      <c r="AB1020" s="12"/>
      <c r="AC1020" s="12"/>
      <c r="AD1020" s="12"/>
      <c r="AE1020" s="12"/>
      <c r="AF1020" s="12"/>
      <c r="AG1020" s="12"/>
      <c r="AH1020" s="12"/>
    </row>
    <row r="1021">
      <c r="J1021" s="12"/>
      <c r="K1021" s="12"/>
      <c r="L1021" s="12"/>
      <c r="M1021" s="12"/>
      <c r="N1021" s="12"/>
      <c r="O1021" s="12"/>
      <c r="P1021" s="12"/>
      <c r="Q1021" s="12"/>
      <c r="R1021" s="36"/>
      <c r="S1021" s="12"/>
      <c r="T1021" s="12"/>
      <c r="U1021" s="12"/>
      <c r="V1021" s="12"/>
      <c r="W1021" s="12"/>
      <c r="X1021" s="12"/>
      <c r="Y1021" s="12"/>
      <c r="Z1021" s="12"/>
      <c r="AA1021" s="12"/>
      <c r="AB1021" s="12"/>
      <c r="AC1021" s="12"/>
      <c r="AD1021" s="12"/>
      <c r="AE1021" s="12"/>
      <c r="AF1021" s="12"/>
      <c r="AG1021" s="12"/>
      <c r="AH1021" s="12"/>
    </row>
    <row r="1022">
      <c r="J1022" s="12"/>
      <c r="K1022" s="12"/>
      <c r="L1022" s="12"/>
      <c r="M1022" s="12"/>
      <c r="N1022" s="12"/>
      <c r="O1022" s="12"/>
      <c r="P1022" s="12"/>
      <c r="Q1022" s="12"/>
      <c r="R1022" s="36"/>
      <c r="S1022" s="12"/>
      <c r="T1022" s="12"/>
      <c r="U1022" s="12"/>
      <c r="V1022" s="12"/>
      <c r="W1022" s="12"/>
      <c r="X1022" s="12"/>
      <c r="Y1022" s="12"/>
      <c r="Z1022" s="12"/>
      <c r="AA1022" s="12"/>
      <c r="AB1022" s="12"/>
      <c r="AC1022" s="12"/>
      <c r="AD1022" s="12"/>
      <c r="AE1022" s="12"/>
      <c r="AF1022" s="12"/>
      <c r="AG1022" s="12"/>
      <c r="AH1022" s="12"/>
    </row>
    <row r="1023">
      <c r="J1023" s="12"/>
      <c r="K1023" s="12"/>
      <c r="L1023" s="12"/>
      <c r="M1023" s="12"/>
      <c r="N1023" s="12"/>
      <c r="O1023" s="12"/>
      <c r="P1023" s="12"/>
      <c r="Q1023" s="12"/>
      <c r="R1023" s="36"/>
      <c r="S1023" s="12"/>
      <c r="T1023" s="12"/>
      <c r="U1023" s="12"/>
      <c r="V1023" s="12"/>
      <c r="W1023" s="12"/>
      <c r="X1023" s="12"/>
      <c r="Y1023" s="12"/>
      <c r="Z1023" s="12"/>
      <c r="AA1023" s="12"/>
      <c r="AB1023" s="12"/>
      <c r="AC1023" s="12"/>
      <c r="AD1023" s="12"/>
      <c r="AE1023" s="12"/>
      <c r="AF1023" s="12"/>
      <c r="AG1023" s="12"/>
      <c r="AH1023" s="12"/>
    </row>
    <row r="1024">
      <c r="J1024" s="12"/>
      <c r="K1024" s="12"/>
      <c r="L1024" s="12"/>
      <c r="M1024" s="12"/>
      <c r="N1024" s="12"/>
      <c r="O1024" s="12"/>
      <c r="P1024" s="12"/>
      <c r="Q1024" s="12"/>
      <c r="R1024" s="36"/>
      <c r="S1024" s="12"/>
      <c r="T1024" s="12"/>
      <c r="U1024" s="12"/>
      <c r="V1024" s="12"/>
      <c r="W1024" s="12"/>
      <c r="X1024" s="12"/>
      <c r="Y1024" s="12"/>
      <c r="Z1024" s="12"/>
      <c r="AA1024" s="12"/>
      <c r="AB1024" s="12"/>
      <c r="AC1024" s="12"/>
      <c r="AD1024" s="12"/>
      <c r="AE1024" s="12"/>
      <c r="AF1024" s="12"/>
      <c r="AG1024" s="12"/>
      <c r="AH1024" s="12"/>
    </row>
    <row r="1025">
      <c r="J1025" s="12"/>
      <c r="K1025" s="12"/>
      <c r="L1025" s="12"/>
      <c r="M1025" s="12"/>
      <c r="N1025" s="12"/>
      <c r="O1025" s="12"/>
      <c r="P1025" s="12"/>
      <c r="Q1025" s="12"/>
      <c r="R1025" s="36"/>
      <c r="S1025" s="12"/>
      <c r="T1025" s="12"/>
      <c r="U1025" s="12"/>
      <c r="V1025" s="12"/>
      <c r="W1025" s="12"/>
      <c r="X1025" s="12"/>
      <c r="Y1025" s="12"/>
      <c r="Z1025" s="12"/>
      <c r="AA1025" s="12"/>
      <c r="AB1025" s="12"/>
      <c r="AC1025" s="12"/>
      <c r="AD1025" s="12"/>
      <c r="AE1025" s="12"/>
      <c r="AF1025" s="12"/>
      <c r="AG1025" s="12"/>
      <c r="AH1025" s="12"/>
    </row>
    <row r="1026">
      <c r="J1026" s="12"/>
      <c r="K1026" s="12"/>
      <c r="L1026" s="12"/>
      <c r="M1026" s="12"/>
      <c r="N1026" s="12"/>
      <c r="O1026" s="12"/>
      <c r="P1026" s="12"/>
      <c r="Q1026" s="12"/>
      <c r="R1026" s="36"/>
      <c r="S1026" s="12"/>
      <c r="T1026" s="12"/>
      <c r="U1026" s="12"/>
      <c r="V1026" s="12"/>
      <c r="W1026" s="12"/>
      <c r="X1026" s="12"/>
      <c r="Y1026" s="12"/>
      <c r="Z1026" s="12"/>
      <c r="AA1026" s="12"/>
      <c r="AB1026" s="12"/>
      <c r="AC1026" s="12"/>
      <c r="AD1026" s="12"/>
      <c r="AE1026" s="12"/>
      <c r="AF1026" s="12"/>
      <c r="AG1026" s="12"/>
      <c r="AH1026" s="12"/>
    </row>
    <row r="1027">
      <c r="J1027" s="12"/>
      <c r="K1027" s="12"/>
      <c r="L1027" s="12"/>
      <c r="M1027" s="12"/>
      <c r="N1027" s="12"/>
      <c r="O1027" s="12"/>
      <c r="P1027" s="12"/>
      <c r="Q1027" s="12"/>
      <c r="R1027" s="36"/>
      <c r="S1027" s="12"/>
      <c r="T1027" s="12"/>
      <c r="U1027" s="12"/>
      <c r="V1027" s="12"/>
      <c r="W1027" s="12"/>
      <c r="X1027" s="12"/>
      <c r="Y1027" s="12"/>
      <c r="Z1027" s="12"/>
      <c r="AA1027" s="12"/>
      <c r="AB1027" s="12"/>
      <c r="AC1027" s="12"/>
      <c r="AD1027" s="12"/>
      <c r="AE1027" s="12"/>
      <c r="AF1027" s="12"/>
      <c r="AG1027" s="12"/>
      <c r="AH1027" s="12"/>
    </row>
    <row r="1028">
      <c r="J1028" s="12"/>
      <c r="K1028" s="12"/>
      <c r="L1028" s="12"/>
      <c r="M1028" s="12"/>
      <c r="N1028" s="12"/>
      <c r="O1028" s="12"/>
      <c r="P1028" s="12"/>
      <c r="Q1028" s="12"/>
      <c r="R1028" s="36"/>
      <c r="S1028" s="12"/>
      <c r="T1028" s="12"/>
      <c r="U1028" s="12"/>
      <c r="V1028" s="12"/>
      <c r="W1028" s="12"/>
      <c r="X1028" s="12"/>
      <c r="Y1028" s="12"/>
      <c r="Z1028" s="12"/>
      <c r="AA1028" s="12"/>
      <c r="AB1028" s="12"/>
      <c r="AC1028" s="12"/>
      <c r="AD1028" s="12"/>
      <c r="AE1028" s="12"/>
      <c r="AF1028" s="12"/>
      <c r="AG1028" s="12"/>
      <c r="AH1028" s="12"/>
    </row>
    <row r="1029">
      <c r="J1029" s="12"/>
      <c r="K1029" s="12"/>
      <c r="L1029" s="12"/>
      <c r="M1029" s="12"/>
      <c r="N1029" s="12"/>
      <c r="O1029" s="12"/>
      <c r="P1029" s="12"/>
      <c r="Q1029" s="12"/>
      <c r="R1029" s="36"/>
      <c r="S1029" s="12"/>
      <c r="T1029" s="12"/>
      <c r="U1029" s="12"/>
      <c r="V1029" s="12"/>
      <c r="W1029" s="12"/>
      <c r="X1029" s="12"/>
      <c r="Y1029" s="12"/>
      <c r="Z1029" s="12"/>
      <c r="AA1029" s="12"/>
      <c r="AB1029" s="12"/>
      <c r="AC1029" s="12"/>
      <c r="AD1029" s="12"/>
      <c r="AE1029" s="12"/>
      <c r="AF1029" s="12"/>
      <c r="AG1029" s="12"/>
      <c r="AH1029" s="12"/>
    </row>
    <row r="1030">
      <c r="J1030" s="12"/>
      <c r="K1030" s="12"/>
      <c r="L1030" s="12"/>
      <c r="M1030" s="12"/>
      <c r="N1030" s="12"/>
      <c r="O1030" s="12"/>
      <c r="P1030" s="12"/>
      <c r="Q1030" s="12"/>
      <c r="R1030" s="36"/>
      <c r="S1030" s="12"/>
      <c r="T1030" s="12"/>
      <c r="U1030" s="12"/>
      <c r="V1030" s="12"/>
      <c r="W1030" s="12"/>
      <c r="X1030" s="12"/>
      <c r="Y1030" s="12"/>
      <c r="Z1030" s="12"/>
      <c r="AA1030" s="12"/>
      <c r="AB1030" s="12"/>
      <c r="AC1030" s="12"/>
      <c r="AD1030" s="12"/>
      <c r="AE1030" s="12"/>
      <c r="AF1030" s="12"/>
      <c r="AG1030" s="12"/>
      <c r="AH1030" s="12"/>
    </row>
    <row r="1031">
      <c r="J1031" s="12"/>
      <c r="K1031" s="12"/>
      <c r="L1031" s="12"/>
      <c r="M1031" s="12"/>
      <c r="N1031" s="12"/>
      <c r="O1031" s="12"/>
      <c r="P1031" s="12"/>
      <c r="Q1031" s="12"/>
      <c r="R1031" s="36"/>
      <c r="S1031" s="12"/>
      <c r="T1031" s="12"/>
      <c r="U1031" s="12"/>
      <c r="V1031" s="12"/>
      <c r="W1031" s="12"/>
      <c r="X1031" s="12"/>
      <c r="Y1031" s="12"/>
      <c r="Z1031" s="12"/>
      <c r="AA1031" s="12"/>
      <c r="AB1031" s="12"/>
      <c r="AC1031" s="12"/>
      <c r="AD1031" s="12"/>
      <c r="AE1031" s="12"/>
      <c r="AF1031" s="12"/>
      <c r="AG1031" s="12"/>
      <c r="AH1031" s="12"/>
    </row>
    <row r="1032">
      <c r="J1032" s="12"/>
      <c r="K1032" s="12"/>
      <c r="L1032" s="12"/>
      <c r="M1032" s="12"/>
      <c r="N1032" s="12"/>
      <c r="O1032" s="12"/>
      <c r="P1032" s="12"/>
      <c r="Q1032" s="12"/>
      <c r="R1032" s="36"/>
      <c r="S1032" s="12"/>
      <c r="T1032" s="12"/>
      <c r="U1032" s="12"/>
      <c r="V1032" s="12"/>
      <c r="W1032" s="12"/>
      <c r="X1032" s="12"/>
      <c r="Y1032" s="12"/>
      <c r="Z1032" s="12"/>
      <c r="AA1032" s="12"/>
      <c r="AB1032" s="12"/>
      <c r="AC1032" s="12"/>
      <c r="AD1032" s="12"/>
      <c r="AE1032" s="12"/>
      <c r="AF1032" s="12"/>
      <c r="AG1032" s="12"/>
      <c r="AH1032" s="12"/>
    </row>
    <row r="1033">
      <c r="J1033" s="12"/>
      <c r="K1033" s="12"/>
      <c r="L1033" s="12"/>
      <c r="M1033" s="12"/>
      <c r="N1033" s="12"/>
      <c r="O1033" s="12"/>
      <c r="P1033" s="12"/>
      <c r="Q1033" s="12"/>
      <c r="R1033" s="36"/>
      <c r="S1033" s="12"/>
      <c r="T1033" s="12"/>
      <c r="U1033" s="12"/>
      <c r="V1033" s="12"/>
      <c r="W1033" s="12"/>
      <c r="X1033" s="12"/>
      <c r="Y1033" s="12"/>
      <c r="Z1033" s="12"/>
      <c r="AA1033" s="12"/>
      <c r="AB1033" s="12"/>
      <c r="AC1033" s="12"/>
      <c r="AD1033" s="12"/>
      <c r="AE1033" s="12"/>
      <c r="AF1033" s="12"/>
      <c r="AG1033" s="12"/>
      <c r="AH1033" s="12"/>
    </row>
    <row r="1034">
      <c r="J1034" s="12"/>
      <c r="K1034" s="12"/>
      <c r="L1034" s="12"/>
      <c r="M1034" s="12"/>
      <c r="N1034" s="12"/>
      <c r="O1034" s="12"/>
      <c r="P1034" s="12"/>
      <c r="Q1034" s="12"/>
      <c r="R1034" s="36"/>
      <c r="S1034" s="12"/>
      <c r="T1034" s="12"/>
      <c r="U1034" s="12"/>
      <c r="V1034" s="12"/>
      <c r="W1034" s="12"/>
      <c r="X1034" s="12"/>
      <c r="Y1034" s="12"/>
      <c r="Z1034" s="12"/>
      <c r="AA1034" s="12"/>
      <c r="AB1034" s="12"/>
      <c r="AC1034" s="12"/>
      <c r="AD1034" s="12"/>
      <c r="AE1034" s="12"/>
      <c r="AF1034" s="12"/>
      <c r="AG1034" s="12"/>
      <c r="AH1034" s="12"/>
    </row>
    <row r="1035">
      <c r="J1035" s="12"/>
      <c r="K1035" s="12"/>
      <c r="L1035" s="12"/>
      <c r="M1035" s="12"/>
      <c r="N1035" s="12"/>
      <c r="O1035" s="12"/>
      <c r="P1035" s="12"/>
      <c r="Q1035" s="12"/>
      <c r="R1035" s="36"/>
      <c r="S1035" s="12"/>
      <c r="T1035" s="12"/>
      <c r="U1035" s="12"/>
      <c r="V1035" s="12"/>
      <c r="W1035" s="12"/>
      <c r="X1035" s="12"/>
      <c r="Y1035" s="12"/>
      <c r="Z1035" s="12"/>
      <c r="AA1035" s="12"/>
      <c r="AB1035" s="12"/>
      <c r="AC1035" s="12"/>
      <c r="AD1035" s="12"/>
      <c r="AE1035" s="12"/>
      <c r="AF1035" s="12"/>
      <c r="AG1035" s="12"/>
      <c r="AH1035" s="12"/>
    </row>
    <row r="1036">
      <c r="J1036" s="12"/>
      <c r="K1036" s="12"/>
      <c r="L1036" s="12"/>
      <c r="M1036" s="12"/>
      <c r="N1036" s="12"/>
      <c r="O1036" s="12"/>
      <c r="P1036" s="12"/>
      <c r="Q1036" s="12"/>
      <c r="R1036" s="36"/>
      <c r="S1036" s="12"/>
      <c r="T1036" s="12"/>
      <c r="U1036" s="12"/>
      <c r="V1036" s="12"/>
      <c r="W1036" s="12"/>
      <c r="X1036" s="12"/>
      <c r="Y1036" s="12"/>
      <c r="Z1036" s="12"/>
      <c r="AA1036" s="12"/>
      <c r="AB1036" s="12"/>
      <c r="AC1036" s="12"/>
      <c r="AD1036" s="12"/>
      <c r="AE1036" s="12"/>
      <c r="AF1036" s="12"/>
      <c r="AG1036" s="12"/>
      <c r="AH1036" s="12"/>
    </row>
    <row r="1037">
      <c r="J1037" s="12"/>
      <c r="K1037" s="12"/>
      <c r="L1037" s="12"/>
      <c r="M1037" s="12"/>
      <c r="N1037" s="12"/>
      <c r="O1037" s="12"/>
      <c r="P1037" s="12"/>
      <c r="Q1037" s="12"/>
      <c r="R1037" s="36"/>
      <c r="S1037" s="12"/>
      <c r="T1037" s="12"/>
      <c r="U1037" s="12"/>
      <c r="V1037" s="12"/>
      <c r="W1037" s="12"/>
      <c r="X1037" s="12"/>
      <c r="Y1037" s="12"/>
      <c r="Z1037" s="12"/>
      <c r="AA1037" s="12"/>
      <c r="AB1037" s="12"/>
      <c r="AC1037" s="12"/>
      <c r="AD1037" s="12"/>
      <c r="AE1037" s="12"/>
      <c r="AF1037" s="12"/>
      <c r="AG1037" s="12"/>
      <c r="AH1037" s="12"/>
    </row>
    <row r="1038">
      <c r="J1038" s="12"/>
      <c r="K1038" s="12"/>
      <c r="L1038" s="12"/>
      <c r="M1038" s="12"/>
      <c r="N1038" s="12"/>
      <c r="O1038" s="12"/>
      <c r="P1038" s="12"/>
      <c r="Q1038" s="12"/>
      <c r="R1038" s="36"/>
      <c r="S1038" s="12"/>
      <c r="T1038" s="12"/>
      <c r="U1038" s="12"/>
      <c r="V1038" s="12"/>
      <c r="W1038" s="12"/>
      <c r="X1038" s="12"/>
      <c r="Y1038" s="12"/>
      <c r="Z1038" s="12"/>
      <c r="AA1038" s="12"/>
      <c r="AB1038" s="12"/>
      <c r="AC1038" s="12"/>
      <c r="AD1038" s="12"/>
      <c r="AE1038" s="12"/>
      <c r="AF1038" s="12"/>
      <c r="AG1038" s="12"/>
      <c r="AH1038" s="12"/>
    </row>
    <row r="1039">
      <c r="J1039" s="12"/>
      <c r="K1039" s="12"/>
      <c r="L1039" s="12"/>
      <c r="M1039" s="12"/>
      <c r="N1039" s="12"/>
      <c r="O1039" s="12"/>
      <c r="P1039" s="12"/>
      <c r="Q1039" s="12"/>
      <c r="R1039" s="36"/>
      <c r="S1039" s="12"/>
      <c r="T1039" s="12"/>
      <c r="U1039" s="12"/>
      <c r="V1039" s="12"/>
      <c r="W1039" s="12"/>
      <c r="X1039" s="12"/>
      <c r="Y1039" s="12"/>
      <c r="Z1039" s="12"/>
      <c r="AA1039" s="12"/>
      <c r="AB1039" s="12"/>
      <c r="AC1039" s="12"/>
      <c r="AD1039" s="12"/>
      <c r="AE1039" s="12"/>
      <c r="AF1039" s="12"/>
      <c r="AG1039" s="12"/>
      <c r="AH1039" s="12"/>
    </row>
    <row r="1040">
      <c r="J1040" s="12"/>
      <c r="K1040" s="12"/>
      <c r="L1040" s="12"/>
      <c r="M1040" s="12"/>
      <c r="N1040" s="12"/>
      <c r="O1040" s="12"/>
      <c r="P1040" s="12"/>
      <c r="Q1040" s="12"/>
      <c r="R1040" s="36"/>
      <c r="S1040" s="12"/>
      <c r="T1040" s="12"/>
      <c r="U1040" s="12"/>
      <c r="V1040" s="12"/>
      <c r="W1040" s="12"/>
      <c r="X1040" s="12"/>
      <c r="Y1040" s="12"/>
      <c r="Z1040" s="12"/>
      <c r="AA1040" s="12"/>
      <c r="AB1040" s="12"/>
      <c r="AC1040" s="12"/>
      <c r="AD1040" s="12"/>
      <c r="AE1040" s="12"/>
      <c r="AF1040" s="12"/>
      <c r="AG1040" s="12"/>
      <c r="AH1040" s="12"/>
    </row>
    <row r="1041">
      <c r="J1041" s="12"/>
      <c r="K1041" s="12"/>
      <c r="L1041" s="12"/>
      <c r="M1041" s="12"/>
      <c r="N1041" s="12"/>
      <c r="O1041" s="12"/>
      <c r="P1041" s="12"/>
      <c r="Q1041" s="12"/>
      <c r="R1041" s="36"/>
      <c r="S1041" s="12"/>
      <c r="T1041" s="12"/>
      <c r="U1041" s="12"/>
      <c r="V1041" s="12"/>
      <c r="W1041" s="12"/>
      <c r="X1041" s="12"/>
      <c r="Y1041" s="12"/>
      <c r="Z1041" s="12"/>
      <c r="AA1041" s="12"/>
      <c r="AB1041" s="12"/>
      <c r="AC1041" s="12"/>
      <c r="AD1041" s="12"/>
      <c r="AE1041" s="12"/>
      <c r="AF1041" s="12"/>
      <c r="AG1041" s="12"/>
      <c r="AH1041" s="12"/>
    </row>
    <row r="1042">
      <c r="J1042" s="12"/>
      <c r="K1042" s="12"/>
      <c r="L1042" s="12"/>
      <c r="M1042" s="12"/>
      <c r="N1042" s="12"/>
      <c r="O1042" s="12"/>
      <c r="P1042" s="12"/>
      <c r="Q1042" s="12"/>
      <c r="R1042" s="36"/>
      <c r="S1042" s="12"/>
      <c r="T1042" s="12"/>
      <c r="U1042" s="12"/>
      <c r="V1042" s="12"/>
      <c r="W1042" s="12"/>
      <c r="X1042" s="12"/>
      <c r="Y1042" s="12"/>
      <c r="Z1042" s="12"/>
      <c r="AA1042" s="12"/>
      <c r="AB1042" s="12"/>
      <c r="AC1042" s="12"/>
      <c r="AD1042" s="12"/>
      <c r="AE1042" s="12"/>
      <c r="AF1042" s="12"/>
      <c r="AG1042" s="12"/>
      <c r="AH1042" s="12"/>
    </row>
    <row r="1043">
      <c r="J1043" s="12"/>
      <c r="K1043" s="12"/>
      <c r="L1043" s="12"/>
      <c r="M1043" s="12"/>
      <c r="N1043" s="12"/>
      <c r="O1043" s="12"/>
      <c r="P1043" s="12"/>
      <c r="Q1043" s="12"/>
      <c r="R1043" s="36"/>
      <c r="S1043" s="12"/>
      <c r="T1043" s="12"/>
      <c r="U1043" s="12"/>
      <c r="V1043" s="12"/>
      <c r="W1043" s="12"/>
      <c r="X1043" s="12"/>
      <c r="Y1043" s="12"/>
      <c r="Z1043" s="12"/>
      <c r="AA1043" s="12"/>
      <c r="AB1043" s="12"/>
      <c r="AC1043" s="12"/>
      <c r="AD1043" s="12"/>
      <c r="AE1043" s="12"/>
      <c r="AF1043" s="12"/>
      <c r="AG1043" s="12"/>
      <c r="AH1043" s="12"/>
    </row>
    <row r="1044">
      <c r="J1044" s="12"/>
      <c r="K1044" s="12"/>
      <c r="L1044" s="12"/>
      <c r="M1044" s="12"/>
      <c r="N1044" s="12"/>
      <c r="O1044" s="12"/>
      <c r="P1044" s="12"/>
      <c r="Q1044" s="12"/>
      <c r="R1044" s="36"/>
      <c r="S1044" s="12"/>
      <c r="T1044" s="12"/>
      <c r="U1044" s="12"/>
      <c r="V1044" s="12"/>
      <c r="W1044" s="12"/>
      <c r="X1044" s="12"/>
      <c r="Y1044" s="12"/>
      <c r="Z1044" s="12"/>
      <c r="AA1044" s="12"/>
      <c r="AB1044" s="12"/>
      <c r="AC1044" s="12"/>
      <c r="AD1044" s="12"/>
      <c r="AE1044" s="12"/>
      <c r="AF1044" s="12"/>
      <c r="AG1044" s="12"/>
      <c r="AH1044" s="12"/>
    </row>
    <row r="1045">
      <c r="J1045" s="12"/>
      <c r="K1045" s="12"/>
      <c r="L1045" s="12"/>
      <c r="M1045" s="12"/>
      <c r="N1045" s="12"/>
      <c r="O1045" s="12"/>
      <c r="P1045" s="12"/>
      <c r="Q1045" s="12"/>
      <c r="R1045" s="36"/>
      <c r="S1045" s="12"/>
      <c r="T1045" s="12"/>
      <c r="U1045" s="12"/>
      <c r="V1045" s="12"/>
      <c r="W1045" s="12"/>
      <c r="X1045" s="12"/>
      <c r="Y1045" s="12"/>
      <c r="Z1045" s="12"/>
      <c r="AA1045" s="12"/>
      <c r="AB1045" s="12"/>
      <c r="AC1045" s="12"/>
      <c r="AD1045" s="12"/>
      <c r="AE1045" s="12"/>
      <c r="AF1045" s="12"/>
      <c r="AG1045" s="12"/>
      <c r="AH1045" s="12"/>
    </row>
    <row r="1046">
      <c r="J1046" s="12"/>
      <c r="K1046" s="12"/>
      <c r="L1046" s="12"/>
      <c r="M1046" s="12"/>
      <c r="N1046" s="12"/>
      <c r="O1046" s="12"/>
      <c r="P1046" s="12"/>
      <c r="Q1046" s="12"/>
      <c r="R1046" s="36"/>
      <c r="S1046" s="12"/>
      <c r="T1046" s="12"/>
      <c r="U1046" s="12"/>
      <c r="V1046" s="12"/>
      <c r="W1046" s="12"/>
      <c r="X1046" s="12"/>
      <c r="Y1046" s="12"/>
      <c r="Z1046" s="12"/>
      <c r="AA1046" s="12"/>
      <c r="AB1046" s="12"/>
      <c r="AC1046" s="12"/>
      <c r="AD1046" s="12"/>
      <c r="AE1046" s="12"/>
      <c r="AF1046" s="12"/>
      <c r="AG1046" s="12"/>
      <c r="AH1046" s="12"/>
    </row>
    <row r="1047">
      <c r="J1047" s="12"/>
      <c r="K1047" s="12"/>
      <c r="L1047" s="12"/>
      <c r="M1047" s="12"/>
      <c r="N1047" s="12"/>
      <c r="O1047" s="12"/>
      <c r="P1047" s="12"/>
      <c r="Q1047" s="12"/>
      <c r="R1047" s="36"/>
      <c r="S1047" s="12"/>
      <c r="T1047" s="12"/>
      <c r="U1047" s="12"/>
      <c r="V1047" s="12"/>
      <c r="W1047" s="12"/>
      <c r="X1047" s="12"/>
      <c r="Y1047" s="12"/>
      <c r="Z1047" s="12"/>
      <c r="AA1047" s="12"/>
      <c r="AB1047" s="12"/>
      <c r="AC1047" s="12"/>
      <c r="AD1047" s="12"/>
      <c r="AE1047" s="12"/>
      <c r="AF1047" s="12"/>
      <c r="AG1047" s="12"/>
      <c r="AH1047" s="12"/>
    </row>
    <row r="1048">
      <c r="J1048" s="12"/>
      <c r="K1048" s="12"/>
      <c r="L1048" s="12"/>
      <c r="M1048" s="12"/>
      <c r="N1048" s="12"/>
      <c r="O1048" s="12"/>
      <c r="P1048" s="12"/>
      <c r="Q1048" s="12"/>
      <c r="R1048" s="36"/>
      <c r="S1048" s="12"/>
      <c r="T1048" s="12"/>
      <c r="U1048" s="12"/>
      <c r="V1048" s="12"/>
      <c r="W1048" s="12"/>
      <c r="X1048" s="12"/>
      <c r="Y1048" s="12"/>
      <c r="Z1048" s="12"/>
      <c r="AA1048" s="12"/>
      <c r="AB1048" s="12"/>
      <c r="AC1048" s="12"/>
      <c r="AD1048" s="12"/>
      <c r="AE1048" s="12"/>
      <c r="AF1048" s="12"/>
      <c r="AG1048" s="12"/>
      <c r="AH1048" s="12"/>
    </row>
    <row r="1049">
      <c r="J1049" s="12"/>
      <c r="K1049" s="12"/>
      <c r="L1049" s="12"/>
      <c r="M1049" s="12"/>
      <c r="N1049" s="12"/>
      <c r="O1049" s="12"/>
      <c r="P1049" s="12"/>
      <c r="Q1049" s="12"/>
      <c r="R1049" s="36"/>
      <c r="S1049" s="12"/>
      <c r="T1049" s="12"/>
      <c r="U1049" s="12"/>
      <c r="V1049" s="12"/>
      <c r="W1049" s="12"/>
      <c r="X1049" s="12"/>
      <c r="Y1049" s="12"/>
      <c r="Z1049" s="12"/>
      <c r="AA1049" s="12"/>
      <c r="AB1049" s="12"/>
      <c r="AC1049" s="12"/>
      <c r="AD1049" s="12"/>
      <c r="AE1049" s="12"/>
      <c r="AF1049" s="12"/>
      <c r="AG1049" s="12"/>
      <c r="AH1049" s="12"/>
    </row>
    <row r="1050">
      <c r="J1050" s="12"/>
      <c r="K1050" s="12"/>
      <c r="L1050" s="12"/>
      <c r="M1050" s="12"/>
      <c r="N1050" s="12"/>
      <c r="O1050" s="12"/>
      <c r="P1050" s="12"/>
      <c r="Q1050" s="12"/>
      <c r="R1050" s="36"/>
      <c r="S1050" s="12"/>
      <c r="T1050" s="12"/>
      <c r="U1050" s="12"/>
      <c r="V1050" s="12"/>
      <c r="W1050" s="12"/>
      <c r="X1050" s="12"/>
      <c r="Y1050" s="12"/>
      <c r="Z1050" s="12"/>
      <c r="AA1050" s="12"/>
      <c r="AB1050" s="12"/>
      <c r="AC1050" s="12"/>
      <c r="AD1050" s="12"/>
      <c r="AE1050" s="12"/>
      <c r="AF1050" s="12"/>
      <c r="AG1050" s="12"/>
      <c r="AH1050" s="12"/>
    </row>
    <row r="1051">
      <c r="J1051" s="12"/>
      <c r="K1051" s="12"/>
      <c r="L1051" s="12"/>
      <c r="M1051" s="12"/>
      <c r="N1051" s="12"/>
      <c r="O1051" s="12"/>
      <c r="P1051" s="12"/>
      <c r="Q1051" s="12"/>
      <c r="R1051" s="36"/>
      <c r="S1051" s="12"/>
      <c r="T1051" s="12"/>
      <c r="U1051" s="12"/>
      <c r="V1051" s="12"/>
      <c r="W1051" s="12"/>
      <c r="X1051" s="12"/>
      <c r="Y1051" s="12"/>
      <c r="Z1051" s="12"/>
      <c r="AA1051" s="12"/>
      <c r="AB1051" s="12"/>
      <c r="AC1051" s="12"/>
      <c r="AD1051" s="12"/>
      <c r="AE1051" s="12"/>
      <c r="AF1051" s="12"/>
      <c r="AG1051" s="12"/>
      <c r="AH1051" s="12"/>
    </row>
    <row r="1052">
      <c r="J1052" s="12"/>
      <c r="K1052" s="12"/>
      <c r="L1052" s="12"/>
      <c r="M1052" s="12"/>
      <c r="N1052" s="12"/>
      <c r="O1052" s="12"/>
      <c r="P1052" s="12"/>
      <c r="Q1052" s="12"/>
      <c r="R1052" s="36"/>
      <c r="S1052" s="12"/>
      <c r="T1052" s="12"/>
      <c r="U1052" s="12"/>
      <c r="V1052" s="12"/>
      <c r="W1052" s="12"/>
      <c r="X1052" s="12"/>
      <c r="Y1052" s="12"/>
      <c r="Z1052" s="12"/>
      <c r="AA1052" s="12"/>
      <c r="AB1052" s="12"/>
      <c r="AC1052" s="12"/>
      <c r="AD1052" s="12"/>
      <c r="AE1052" s="12"/>
      <c r="AF1052" s="12"/>
      <c r="AG1052" s="12"/>
      <c r="AH1052" s="12"/>
    </row>
    <row r="1053">
      <c r="J1053" s="12"/>
      <c r="K1053" s="12"/>
      <c r="L1053" s="12"/>
      <c r="M1053" s="12"/>
      <c r="N1053" s="12"/>
      <c r="O1053" s="12"/>
      <c r="P1053" s="12"/>
      <c r="Q1053" s="12"/>
      <c r="R1053" s="36"/>
      <c r="S1053" s="12"/>
      <c r="T1053" s="12"/>
      <c r="U1053" s="12"/>
      <c r="V1053" s="12"/>
      <c r="W1053" s="12"/>
      <c r="X1053" s="12"/>
      <c r="Y1053" s="12"/>
      <c r="Z1053" s="12"/>
      <c r="AA1053" s="12"/>
      <c r="AB1053" s="12"/>
      <c r="AC1053" s="12"/>
      <c r="AD1053" s="12"/>
      <c r="AE1053" s="12"/>
      <c r="AF1053" s="12"/>
      <c r="AG1053" s="12"/>
      <c r="AH1053" s="12"/>
    </row>
    <row r="1054">
      <c r="J1054" s="12"/>
      <c r="K1054" s="12"/>
      <c r="L1054" s="12"/>
      <c r="M1054" s="12"/>
      <c r="N1054" s="12"/>
      <c r="O1054" s="12"/>
      <c r="P1054" s="12"/>
      <c r="Q1054" s="12"/>
      <c r="R1054" s="36"/>
      <c r="S1054" s="12"/>
      <c r="T1054" s="12"/>
      <c r="U1054" s="12"/>
      <c r="V1054" s="12"/>
      <c r="W1054" s="12"/>
      <c r="X1054" s="12"/>
      <c r="Y1054" s="12"/>
      <c r="Z1054" s="12"/>
      <c r="AA1054" s="12"/>
      <c r="AB1054" s="12"/>
      <c r="AC1054" s="12"/>
      <c r="AD1054" s="12"/>
      <c r="AE1054" s="12"/>
      <c r="AF1054" s="12"/>
      <c r="AG1054" s="12"/>
      <c r="AH1054" s="12"/>
    </row>
    <row r="1055">
      <c r="J1055" s="12"/>
      <c r="K1055" s="12"/>
      <c r="L1055" s="12"/>
      <c r="M1055" s="12"/>
      <c r="N1055" s="12"/>
      <c r="O1055" s="12"/>
      <c r="P1055" s="12"/>
      <c r="Q1055" s="12"/>
      <c r="R1055" s="36"/>
      <c r="S1055" s="12"/>
      <c r="T1055" s="12"/>
      <c r="U1055" s="12"/>
      <c r="V1055" s="12"/>
      <c r="W1055" s="12"/>
      <c r="X1055" s="12"/>
      <c r="Y1055" s="12"/>
      <c r="Z1055" s="12"/>
      <c r="AA1055" s="12"/>
      <c r="AB1055" s="12"/>
      <c r="AC1055" s="12"/>
      <c r="AD1055" s="12"/>
      <c r="AE1055" s="12"/>
      <c r="AF1055" s="12"/>
      <c r="AG1055" s="12"/>
      <c r="AH1055" s="12"/>
    </row>
    <row r="1056">
      <c r="J1056" s="12"/>
      <c r="K1056" s="12"/>
      <c r="L1056" s="12"/>
      <c r="M1056" s="12"/>
      <c r="N1056" s="12"/>
      <c r="O1056" s="12"/>
      <c r="P1056" s="12"/>
      <c r="Q1056" s="12"/>
      <c r="R1056" s="36"/>
      <c r="S1056" s="12"/>
      <c r="T1056" s="12"/>
      <c r="U1056" s="12"/>
      <c r="V1056" s="12"/>
      <c r="W1056" s="12"/>
      <c r="X1056" s="12"/>
      <c r="Y1056" s="12"/>
      <c r="Z1056" s="12"/>
      <c r="AA1056" s="12"/>
      <c r="AB1056" s="12"/>
      <c r="AC1056" s="12"/>
      <c r="AD1056" s="12"/>
      <c r="AE1056" s="12"/>
      <c r="AF1056" s="12"/>
      <c r="AG1056" s="12"/>
      <c r="AH1056" s="12"/>
    </row>
    <row r="1057">
      <c r="J1057" s="12"/>
      <c r="K1057" s="12"/>
      <c r="L1057" s="12"/>
      <c r="M1057" s="12"/>
      <c r="N1057" s="12"/>
      <c r="O1057" s="12"/>
      <c r="P1057" s="12"/>
      <c r="Q1057" s="12"/>
      <c r="R1057" s="36"/>
      <c r="S1057" s="12"/>
      <c r="T1057" s="12"/>
      <c r="U1057" s="12"/>
      <c r="V1057" s="12"/>
      <c r="W1057" s="12"/>
      <c r="X1057" s="12"/>
      <c r="Y1057" s="12"/>
      <c r="Z1057" s="12"/>
      <c r="AA1057" s="12"/>
      <c r="AB1057" s="12"/>
      <c r="AC1057" s="12"/>
      <c r="AD1057" s="12"/>
      <c r="AE1057" s="12"/>
      <c r="AF1057" s="12"/>
      <c r="AG1057" s="12"/>
      <c r="AH1057" s="12"/>
    </row>
    <row r="1058">
      <c r="J1058" s="12"/>
      <c r="K1058" s="12"/>
      <c r="L1058" s="12"/>
      <c r="M1058" s="12"/>
      <c r="N1058" s="12"/>
      <c r="O1058" s="12"/>
      <c r="P1058" s="12"/>
      <c r="Q1058" s="12"/>
      <c r="R1058" s="36"/>
      <c r="S1058" s="12"/>
      <c r="T1058" s="12"/>
      <c r="U1058" s="12"/>
      <c r="V1058" s="12"/>
      <c r="W1058" s="12"/>
      <c r="X1058" s="12"/>
      <c r="Y1058" s="12"/>
      <c r="Z1058" s="12"/>
      <c r="AA1058" s="12"/>
      <c r="AB1058" s="12"/>
      <c r="AC1058" s="12"/>
      <c r="AD1058" s="12"/>
      <c r="AE1058" s="12"/>
      <c r="AF1058" s="12"/>
      <c r="AG1058" s="12"/>
      <c r="AH1058" s="12"/>
    </row>
    <row r="1059">
      <c r="J1059" s="12"/>
      <c r="K1059" s="12"/>
      <c r="L1059" s="12"/>
      <c r="M1059" s="12"/>
      <c r="N1059" s="12"/>
      <c r="O1059" s="12"/>
      <c r="P1059" s="12"/>
      <c r="Q1059" s="12"/>
      <c r="R1059" s="36"/>
      <c r="S1059" s="12"/>
      <c r="T1059" s="12"/>
      <c r="U1059" s="12"/>
      <c r="V1059" s="12"/>
      <c r="W1059" s="12"/>
      <c r="X1059" s="12"/>
      <c r="Y1059" s="12"/>
      <c r="Z1059" s="12"/>
      <c r="AA1059" s="12"/>
      <c r="AB1059" s="12"/>
      <c r="AC1059" s="12"/>
      <c r="AD1059" s="12"/>
      <c r="AE1059" s="12"/>
      <c r="AF1059" s="12"/>
      <c r="AG1059" s="12"/>
      <c r="AH1059" s="12"/>
    </row>
    <row r="1060">
      <c r="J1060" s="12"/>
      <c r="K1060" s="12"/>
      <c r="L1060" s="12"/>
      <c r="M1060" s="12"/>
      <c r="N1060" s="12"/>
      <c r="O1060" s="12"/>
      <c r="P1060" s="12"/>
      <c r="Q1060" s="12"/>
      <c r="R1060" s="36"/>
      <c r="S1060" s="12"/>
      <c r="T1060" s="12"/>
      <c r="U1060" s="12"/>
      <c r="V1060" s="12"/>
      <c r="W1060" s="12"/>
      <c r="X1060" s="12"/>
      <c r="Y1060" s="12"/>
      <c r="Z1060" s="12"/>
      <c r="AA1060" s="12"/>
      <c r="AB1060" s="12"/>
      <c r="AC1060" s="12"/>
      <c r="AD1060" s="12"/>
      <c r="AE1060" s="12"/>
      <c r="AF1060" s="12"/>
      <c r="AG1060" s="12"/>
      <c r="AH1060" s="12"/>
    </row>
    <row r="1061">
      <c r="J1061" s="12"/>
      <c r="K1061" s="12"/>
      <c r="L1061" s="12"/>
      <c r="M1061" s="12"/>
      <c r="N1061" s="12"/>
      <c r="O1061" s="12"/>
      <c r="P1061" s="12"/>
      <c r="Q1061" s="12"/>
      <c r="R1061" s="36"/>
      <c r="S1061" s="12"/>
      <c r="T1061" s="12"/>
      <c r="U1061" s="12"/>
      <c r="V1061" s="12"/>
      <c r="W1061" s="12"/>
      <c r="X1061" s="12"/>
      <c r="Y1061" s="12"/>
      <c r="Z1061" s="12"/>
      <c r="AA1061" s="12"/>
      <c r="AB1061" s="12"/>
      <c r="AC1061" s="12"/>
      <c r="AD1061" s="12"/>
      <c r="AE1061" s="12"/>
      <c r="AF1061" s="12"/>
      <c r="AG1061" s="12"/>
      <c r="AH1061" s="12"/>
    </row>
    <row r="1062">
      <c r="J1062" s="12"/>
      <c r="K1062" s="12"/>
      <c r="L1062" s="12"/>
      <c r="M1062" s="12"/>
      <c r="N1062" s="12"/>
      <c r="O1062" s="12"/>
      <c r="P1062" s="12"/>
      <c r="Q1062" s="12"/>
      <c r="R1062" s="36"/>
      <c r="S1062" s="12"/>
      <c r="T1062" s="12"/>
      <c r="U1062" s="12"/>
      <c r="V1062" s="12"/>
      <c r="W1062" s="12"/>
      <c r="X1062" s="12"/>
      <c r="Y1062" s="12"/>
      <c r="Z1062" s="12"/>
      <c r="AA1062" s="12"/>
      <c r="AB1062" s="12"/>
      <c r="AC1062" s="12"/>
      <c r="AD1062" s="12"/>
      <c r="AE1062" s="12"/>
      <c r="AF1062" s="12"/>
      <c r="AG1062" s="12"/>
      <c r="AH1062" s="12"/>
    </row>
    <row r="1063">
      <c r="J1063" s="12"/>
      <c r="K1063" s="12"/>
      <c r="L1063" s="12"/>
      <c r="M1063" s="12"/>
      <c r="N1063" s="12"/>
      <c r="O1063" s="12"/>
      <c r="P1063" s="12"/>
      <c r="Q1063" s="12"/>
      <c r="R1063" s="36"/>
      <c r="S1063" s="12"/>
      <c r="T1063" s="12"/>
      <c r="U1063" s="12"/>
      <c r="V1063" s="12"/>
      <c r="W1063" s="12"/>
      <c r="X1063" s="12"/>
      <c r="Y1063" s="12"/>
      <c r="Z1063" s="12"/>
      <c r="AA1063" s="12"/>
      <c r="AB1063" s="12"/>
      <c r="AC1063" s="12"/>
      <c r="AD1063" s="12"/>
      <c r="AE1063" s="12"/>
      <c r="AF1063" s="12"/>
      <c r="AG1063" s="12"/>
      <c r="AH1063" s="12"/>
    </row>
    <row r="1064">
      <c r="J1064" s="12"/>
      <c r="K1064" s="12"/>
      <c r="L1064" s="12"/>
      <c r="M1064" s="12"/>
      <c r="N1064" s="12"/>
      <c r="O1064" s="12"/>
      <c r="P1064" s="12"/>
      <c r="Q1064" s="12"/>
      <c r="R1064" s="36"/>
      <c r="S1064" s="12"/>
      <c r="T1064" s="12"/>
      <c r="U1064" s="12"/>
      <c r="V1064" s="12"/>
      <c r="W1064" s="12"/>
      <c r="X1064" s="12"/>
      <c r="Y1064" s="12"/>
      <c r="Z1064" s="12"/>
      <c r="AA1064" s="12"/>
      <c r="AB1064" s="12"/>
      <c r="AC1064" s="12"/>
      <c r="AD1064" s="12"/>
      <c r="AE1064" s="12"/>
      <c r="AF1064" s="12"/>
      <c r="AG1064" s="12"/>
      <c r="AH1064" s="12"/>
    </row>
    <row r="1065">
      <c r="J1065" s="12"/>
      <c r="K1065" s="12"/>
      <c r="L1065" s="12"/>
      <c r="M1065" s="12"/>
      <c r="N1065" s="12"/>
      <c r="O1065" s="12"/>
      <c r="P1065" s="12"/>
      <c r="Q1065" s="12"/>
      <c r="R1065" s="36"/>
      <c r="S1065" s="12"/>
      <c r="T1065" s="12"/>
      <c r="U1065" s="12"/>
      <c r="V1065" s="12"/>
      <c r="W1065" s="12"/>
      <c r="X1065" s="12"/>
      <c r="Y1065" s="12"/>
      <c r="Z1065" s="12"/>
      <c r="AA1065" s="12"/>
      <c r="AB1065" s="12"/>
      <c r="AC1065" s="12"/>
      <c r="AD1065" s="12"/>
      <c r="AE1065" s="12"/>
      <c r="AF1065" s="12"/>
      <c r="AG1065" s="12"/>
      <c r="AH1065" s="12"/>
    </row>
    <row r="1066">
      <c r="J1066" s="12"/>
      <c r="K1066" s="12"/>
      <c r="L1066" s="12"/>
      <c r="M1066" s="12"/>
      <c r="N1066" s="12"/>
      <c r="O1066" s="12"/>
      <c r="P1066" s="12"/>
      <c r="Q1066" s="12"/>
      <c r="R1066" s="36"/>
      <c r="S1066" s="12"/>
      <c r="T1066" s="12"/>
      <c r="U1066" s="12"/>
      <c r="V1066" s="12"/>
      <c r="W1066" s="12"/>
      <c r="X1066" s="12"/>
      <c r="Y1066" s="12"/>
      <c r="Z1066" s="12"/>
      <c r="AA1066" s="12"/>
      <c r="AB1066" s="12"/>
      <c r="AC1066" s="12"/>
      <c r="AD1066" s="12"/>
      <c r="AE1066" s="12"/>
      <c r="AF1066" s="12"/>
      <c r="AG1066" s="12"/>
      <c r="AH1066" s="12"/>
    </row>
    <row r="1067">
      <c r="J1067" s="12"/>
      <c r="K1067" s="12"/>
      <c r="L1067" s="12"/>
      <c r="M1067" s="12"/>
      <c r="N1067" s="12"/>
      <c r="O1067" s="12"/>
      <c r="P1067" s="12"/>
      <c r="Q1067" s="12"/>
      <c r="R1067" s="36"/>
      <c r="S1067" s="12"/>
      <c r="T1067" s="12"/>
      <c r="U1067" s="12"/>
      <c r="V1067" s="12"/>
      <c r="W1067" s="12"/>
      <c r="X1067" s="12"/>
      <c r="Y1067" s="12"/>
      <c r="Z1067" s="12"/>
      <c r="AA1067" s="12"/>
      <c r="AB1067" s="12"/>
      <c r="AC1067" s="12"/>
      <c r="AD1067" s="12"/>
      <c r="AE1067" s="12"/>
      <c r="AF1067" s="12"/>
      <c r="AG1067" s="12"/>
      <c r="AH1067" s="12"/>
    </row>
    <row r="1068">
      <c r="J1068" s="12"/>
      <c r="K1068" s="12"/>
      <c r="L1068" s="12"/>
      <c r="M1068" s="12"/>
      <c r="N1068" s="12"/>
      <c r="O1068" s="12"/>
      <c r="P1068" s="12"/>
      <c r="Q1068" s="12"/>
      <c r="R1068" s="36"/>
      <c r="S1068" s="12"/>
      <c r="T1068" s="12"/>
      <c r="U1068" s="12"/>
      <c r="V1068" s="12"/>
      <c r="W1068" s="12"/>
      <c r="X1068" s="12"/>
      <c r="Y1068" s="12"/>
      <c r="Z1068" s="12"/>
      <c r="AA1068" s="12"/>
      <c r="AB1068" s="12"/>
      <c r="AC1068" s="12"/>
      <c r="AD1068" s="12"/>
      <c r="AE1068" s="12"/>
      <c r="AF1068" s="12"/>
      <c r="AG1068" s="12"/>
      <c r="AH1068" s="12"/>
    </row>
    <row r="1069">
      <c r="J1069" s="12"/>
      <c r="K1069" s="12"/>
      <c r="L1069" s="12"/>
      <c r="M1069" s="12"/>
      <c r="N1069" s="12"/>
      <c r="O1069" s="12"/>
      <c r="P1069" s="12"/>
      <c r="Q1069" s="12"/>
      <c r="R1069" s="36"/>
      <c r="S1069" s="12"/>
      <c r="T1069" s="12"/>
      <c r="U1069" s="12"/>
      <c r="V1069" s="12"/>
      <c r="W1069" s="12"/>
      <c r="X1069" s="12"/>
      <c r="Y1069" s="12"/>
      <c r="Z1069" s="12"/>
      <c r="AA1069" s="12"/>
      <c r="AB1069" s="12"/>
      <c r="AC1069" s="12"/>
      <c r="AD1069" s="12"/>
      <c r="AE1069" s="12"/>
      <c r="AF1069" s="12"/>
      <c r="AG1069" s="12"/>
      <c r="AH1069" s="12"/>
    </row>
    <row r="1070">
      <c r="J1070" s="12"/>
      <c r="K1070" s="12"/>
      <c r="L1070" s="12"/>
      <c r="M1070" s="12"/>
      <c r="N1070" s="12"/>
      <c r="O1070" s="12"/>
      <c r="P1070" s="12"/>
      <c r="Q1070" s="12"/>
      <c r="R1070" s="36"/>
      <c r="S1070" s="12"/>
      <c r="T1070" s="12"/>
      <c r="U1070" s="12"/>
      <c r="V1070" s="12"/>
      <c r="W1070" s="12"/>
      <c r="X1070" s="12"/>
      <c r="Y1070" s="12"/>
      <c r="Z1070" s="12"/>
      <c r="AA1070" s="12"/>
      <c r="AB1070" s="12"/>
      <c r="AC1070" s="12"/>
      <c r="AD1070" s="12"/>
      <c r="AE1070" s="12"/>
      <c r="AF1070" s="12"/>
      <c r="AG1070" s="12"/>
      <c r="AH1070" s="12"/>
    </row>
    <row r="1071">
      <c r="J1071" s="12"/>
      <c r="K1071" s="12"/>
      <c r="L1071" s="12"/>
      <c r="M1071" s="12"/>
      <c r="N1071" s="12"/>
      <c r="O1071" s="12"/>
      <c r="P1071" s="12"/>
      <c r="Q1071" s="12"/>
      <c r="R1071" s="36"/>
      <c r="S1071" s="12"/>
      <c r="T1071" s="12"/>
      <c r="U1071" s="12"/>
      <c r="V1071" s="12"/>
      <c r="W1071" s="12"/>
      <c r="X1071" s="12"/>
      <c r="Y1071" s="12"/>
      <c r="Z1071" s="12"/>
      <c r="AA1071" s="12"/>
      <c r="AB1071" s="12"/>
      <c r="AC1071" s="12"/>
      <c r="AD1071" s="12"/>
      <c r="AE1071" s="12"/>
      <c r="AF1071" s="12"/>
      <c r="AG1071" s="12"/>
      <c r="AH1071" s="12"/>
    </row>
    <row r="1072">
      <c r="J1072" s="12"/>
      <c r="K1072" s="12"/>
      <c r="L1072" s="12"/>
      <c r="M1072" s="12"/>
      <c r="N1072" s="12"/>
      <c r="O1072" s="12"/>
      <c r="P1072" s="12"/>
      <c r="Q1072" s="12"/>
      <c r="R1072" s="36"/>
      <c r="S1072" s="12"/>
      <c r="T1072" s="12"/>
      <c r="U1072" s="12"/>
      <c r="V1072" s="12"/>
      <c r="W1072" s="12"/>
      <c r="X1072" s="12"/>
      <c r="Y1072" s="12"/>
      <c r="Z1072" s="12"/>
      <c r="AA1072" s="12"/>
      <c r="AB1072" s="12"/>
      <c r="AC1072" s="12"/>
      <c r="AD1072" s="12"/>
      <c r="AE1072" s="12"/>
      <c r="AF1072" s="12"/>
      <c r="AG1072" s="12"/>
      <c r="AH1072" s="12"/>
    </row>
    <row r="1073">
      <c r="J1073" s="12"/>
      <c r="K1073" s="12"/>
      <c r="L1073" s="12"/>
      <c r="M1073" s="12"/>
      <c r="N1073" s="12"/>
      <c r="O1073" s="12"/>
      <c r="P1073" s="12"/>
      <c r="Q1073" s="12"/>
      <c r="R1073" s="36"/>
      <c r="S1073" s="12"/>
      <c r="T1073" s="12"/>
      <c r="U1073" s="12"/>
      <c r="V1073" s="12"/>
      <c r="W1073" s="12"/>
      <c r="X1073" s="12"/>
      <c r="Y1073" s="12"/>
      <c r="Z1073" s="12"/>
      <c r="AA1073" s="12"/>
      <c r="AB1073" s="12"/>
      <c r="AC1073" s="12"/>
      <c r="AD1073" s="12"/>
      <c r="AE1073" s="12"/>
      <c r="AF1073" s="12"/>
      <c r="AG1073" s="12"/>
      <c r="AH1073" s="12"/>
    </row>
    <row r="1074">
      <c r="J1074" s="12"/>
      <c r="K1074" s="12"/>
      <c r="L1074" s="12"/>
      <c r="M1074" s="12"/>
      <c r="N1074" s="12"/>
      <c r="O1074" s="12"/>
      <c r="P1074" s="12"/>
      <c r="Q1074" s="12"/>
      <c r="R1074" s="36"/>
      <c r="S1074" s="12"/>
      <c r="T1074" s="12"/>
      <c r="U1074" s="12"/>
      <c r="V1074" s="12"/>
      <c r="W1074" s="12"/>
      <c r="X1074" s="12"/>
      <c r="Y1074" s="12"/>
      <c r="Z1074" s="12"/>
      <c r="AA1074" s="12"/>
      <c r="AB1074" s="12"/>
      <c r="AC1074" s="12"/>
      <c r="AD1074" s="12"/>
      <c r="AE1074" s="12"/>
      <c r="AF1074" s="12"/>
      <c r="AG1074" s="12"/>
      <c r="AH1074" s="12"/>
    </row>
    <row r="1075">
      <c r="J1075" s="12"/>
      <c r="K1075" s="12"/>
      <c r="L1075" s="12"/>
      <c r="M1075" s="12"/>
      <c r="N1075" s="12"/>
      <c r="O1075" s="12"/>
      <c r="P1075" s="12"/>
      <c r="Q1075" s="12"/>
      <c r="R1075" s="36"/>
      <c r="S1075" s="12"/>
      <c r="T1075" s="12"/>
      <c r="U1075" s="12"/>
      <c r="V1075" s="12"/>
      <c r="W1075" s="12"/>
      <c r="X1075" s="12"/>
      <c r="Y1075" s="12"/>
      <c r="Z1075" s="12"/>
      <c r="AA1075" s="12"/>
      <c r="AB1075" s="12"/>
      <c r="AC1075" s="12"/>
      <c r="AD1075" s="12"/>
      <c r="AE1075" s="12"/>
      <c r="AF1075" s="12"/>
      <c r="AG1075" s="12"/>
      <c r="AH1075" s="12"/>
    </row>
    <row r="1076">
      <c r="J1076" s="12"/>
      <c r="K1076" s="12"/>
      <c r="L1076" s="12"/>
      <c r="M1076" s="12"/>
      <c r="N1076" s="12"/>
      <c r="O1076" s="12"/>
      <c r="P1076" s="12"/>
      <c r="Q1076" s="12"/>
      <c r="R1076" s="36"/>
      <c r="S1076" s="12"/>
      <c r="T1076" s="12"/>
      <c r="U1076" s="12"/>
      <c r="V1076" s="12"/>
      <c r="W1076" s="12"/>
      <c r="X1076" s="12"/>
      <c r="Y1076" s="12"/>
      <c r="Z1076" s="12"/>
      <c r="AA1076" s="12"/>
      <c r="AB1076" s="12"/>
      <c r="AC1076" s="12"/>
      <c r="AD1076" s="12"/>
      <c r="AE1076" s="12"/>
      <c r="AF1076" s="12"/>
      <c r="AG1076" s="12"/>
      <c r="AH1076" s="12"/>
    </row>
    <row r="1077">
      <c r="J1077" s="12"/>
      <c r="K1077" s="12"/>
      <c r="L1077" s="12"/>
      <c r="M1077" s="12"/>
      <c r="N1077" s="12"/>
      <c r="O1077" s="12"/>
      <c r="P1077" s="12"/>
      <c r="Q1077" s="12"/>
      <c r="R1077" s="36"/>
      <c r="S1077" s="12"/>
      <c r="T1077" s="12"/>
      <c r="U1077" s="12"/>
      <c r="V1077" s="12"/>
      <c r="W1077" s="12"/>
      <c r="X1077" s="12"/>
      <c r="Y1077" s="12"/>
      <c r="Z1077" s="12"/>
      <c r="AA1077" s="12"/>
      <c r="AB1077" s="12"/>
      <c r="AC1077" s="12"/>
      <c r="AD1077" s="12"/>
      <c r="AE1077" s="12"/>
      <c r="AF1077" s="12"/>
      <c r="AG1077" s="12"/>
      <c r="AH1077" s="12"/>
    </row>
    <row r="1078">
      <c r="J1078" s="12"/>
      <c r="K1078" s="12"/>
      <c r="L1078" s="12"/>
      <c r="M1078" s="12"/>
      <c r="N1078" s="12"/>
      <c r="O1078" s="12"/>
      <c r="P1078" s="12"/>
      <c r="Q1078" s="12"/>
      <c r="R1078" s="36"/>
      <c r="S1078" s="12"/>
      <c r="T1078" s="12"/>
      <c r="U1078" s="12"/>
      <c r="V1078" s="12"/>
      <c r="W1078" s="12"/>
      <c r="X1078" s="12"/>
      <c r="Y1078" s="12"/>
      <c r="Z1078" s="12"/>
      <c r="AA1078" s="12"/>
      <c r="AB1078" s="12"/>
      <c r="AC1078" s="12"/>
      <c r="AD1078" s="12"/>
      <c r="AE1078" s="12"/>
      <c r="AF1078" s="12"/>
      <c r="AG1078" s="12"/>
      <c r="AH1078" s="12"/>
    </row>
    <row r="1079">
      <c r="J1079" s="12"/>
      <c r="K1079" s="12"/>
      <c r="L1079" s="12"/>
      <c r="M1079" s="12"/>
      <c r="N1079" s="12"/>
      <c r="O1079" s="12"/>
      <c r="P1079" s="12"/>
      <c r="Q1079" s="12"/>
      <c r="R1079" s="36"/>
      <c r="S1079" s="12"/>
      <c r="T1079" s="12"/>
      <c r="U1079" s="12"/>
      <c r="V1079" s="12"/>
      <c r="W1079" s="12"/>
      <c r="X1079" s="12"/>
      <c r="Y1079" s="12"/>
      <c r="Z1079" s="12"/>
      <c r="AA1079" s="12"/>
      <c r="AB1079" s="12"/>
      <c r="AC1079" s="12"/>
      <c r="AD1079" s="12"/>
      <c r="AE1079" s="12"/>
      <c r="AF1079" s="12"/>
      <c r="AG1079" s="12"/>
      <c r="AH1079" s="12"/>
    </row>
    <row r="1080">
      <c r="J1080" s="12"/>
      <c r="K1080" s="12"/>
      <c r="L1080" s="12"/>
      <c r="M1080" s="12"/>
      <c r="N1080" s="12"/>
      <c r="O1080" s="12"/>
      <c r="P1080" s="12"/>
      <c r="Q1080" s="12"/>
      <c r="R1080" s="36"/>
      <c r="S1080" s="12"/>
      <c r="T1080" s="12"/>
      <c r="U1080" s="12"/>
      <c r="V1080" s="12"/>
      <c r="W1080" s="12"/>
      <c r="X1080" s="12"/>
      <c r="Y1080" s="12"/>
      <c r="Z1080" s="12"/>
      <c r="AA1080" s="12"/>
      <c r="AB1080" s="12"/>
      <c r="AC1080" s="12"/>
      <c r="AD1080" s="12"/>
      <c r="AE1080" s="12"/>
      <c r="AF1080" s="12"/>
      <c r="AG1080" s="12"/>
      <c r="AH1080" s="12"/>
    </row>
  </sheetData>
  <autoFilter ref="$A$156:$C$177"/>
  <mergeCells count="1">
    <mergeCell ref="J2:L2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75"/>
  <cols>
    <col customWidth="1" min="1" max="1" width="22.57"/>
    <col customWidth="1" min="8" max="8" width="18.57"/>
  </cols>
  <sheetData>
    <row r="1">
      <c r="A1" s="45" t="s">
        <v>296</v>
      </c>
      <c r="B1" s="8">
        <v>2.0E7</v>
      </c>
      <c r="C1" s="8" t="s">
        <v>298</v>
      </c>
      <c r="D1" s="32">
        <v>46238.0</v>
      </c>
      <c r="E1" s="45"/>
      <c r="F1" s="45"/>
      <c r="G1" s="46"/>
      <c r="H1" s="46"/>
      <c r="I1" s="47"/>
      <c r="J1" s="46"/>
    </row>
    <row r="2">
      <c r="A2" s="45" t="s">
        <v>299</v>
      </c>
      <c r="B2" s="48">
        <v>46327.0</v>
      </c>
      <c r="C2" s="45"/>
      <c r="D2" s="45"/>
      <c r="E2" s="45"/>
      <c r="F2" s="45"/>
      <c r="G2" s="46"/>
      <c r="H2" s="49"/>
    </row>
    <row r="3">
      <c r="A3" s="50">
        <v>46238.0</v>
      </c>
      <c r="B3" s="51" t="s">
        <v>307</v>
      </c>
      <c r="C3" s="51" t="s">
        <v>308</v>
      </c>
      <c r="D3" s="52" t="s">
        <v>302</v>
      </c>
      <c r="E3" s="52" t="s">
        <v>303</v>
      </c>
      <c r="F3" s="52" t="s">
        <v>304</v>
      </c>
      <c r="G3" s="52" t="s">
        <v>305</v>
      </c>
      <c r="H3" s="52" t="s">
        <v>306</v>
      </c>
      <c r="I3" s="49"/>
      <c r="J3" s="49"/>
    </row>
    <row r="4">
      <c r="A4" s="53" t="s">
        <v>213</v>
      </c>
      <c r="B4" s="54">
        <v>41.0</v>
      </c>
      <c r="C4" s="55">
        <v>15857.52</v>
      </c>
      <c r="D4" s="56">
        <v>41.0</v>
      </c>
      <c r="E4" s="56">
        <f t="shared" ref="E4:E33" si="1">B4*C4</f>
        <v>650158.32</v>
      </c>
      <c r="F4" s="56">
        <f>IFERROR(__xludf.DUMMYFUNCTION("GOOGLEFINANCE(CONCAT(""NSE:"",A4))"),17308.0)</f>
        <v>17308</v>
      </c>
      <c r="G4" s="57">
        <f t="shared" ref="G4:G33" si="2">D4*F4</f>
        <v>709628</v>
      </c>
      <c r="H4" s="58">
        <f t="shared" ref="H4:H33" si="3">(G4-E4)/E4</f>
        <v>0.09146953622</v>
      </c>
      <c r="I4" s="49"/>
      <c r="J4" s="49"/>
    </row>
    <row r="5">
      <c r="A5" s="53" t="s">
        <v>238</v>
      </c>
      <c r="B5" s="54">
        <v>139.0</v>
      </c>
      <c r="C5" s="55">
        <v>4532.0</v>
      </c>
      <c r="D5" s="56">
        <v>139.0</v>
      </c>
      <c r="E5" s="56">
        <f t="shared" si="1"/>
        <v>629948</v>
      </c>
      <c r="F5" s="56">
        <f>IFERROR(__xludf.DUMMYFUNCTION("GOOGLEFINANCE(CONCAT(""NSE:"",A5))"),4397.0)</f>
        <v>4397</v>
      </c>
      <c r="G5" s="57">
        <f t="shared" si="2"/>
        <v>611183</v>
      </c>
      <c r="H5" s="58">
        <f t="shared" si="3"/>
        <v>-0.02978817299</v>
      </c>
      <c r="I5" s="49"/>
      <c r="J5" s="49"/>
    </row>
    <row r="6">
      <c r="A6" s="53" t="s">
        <v>198</v>
      </c>
      <c r="B6" s="54">
        <v>495.0</v>
      </c>
      <c r="C6" s="55">
        <v>2260.6</v>
      </c>
      <c r="D6" s="56">
        <v>495.0</v>
      </c>
      <c r="E6" s="56">
        <f t="shared" si="1"/>
        <v>1118997</v>
      </c>
      <c r="F6" s="56">
        <f>IFERROR(__xludf.DUMMYFUNCTION("GOOGLEFINANCE(CONCAT(""NSE:"",A6))"),2125.3)</f>
        <v>2125.3</v>
      </c>
      <c r="G6" s="57">
        <f t="shared" si="2"/>
        <v>1052023.5</v>
      </c>
      <c r="H6" s="58">
        <f t="shared" si="3"/>
        <v>-0.05985136689</v>
      </c>
      <c r="I6" s="49"/>
      <c r="J6" s="49"/>
    </row>
    <row r="7">
      <c r="A7" s="53" t="s">
        <v>81</v>
      </c>
      <c r="B7" s="54">
        <v>466.0</v>
      </c>
      <c r="C7" s="55">
        <v>1835.2</v>
      </c>
      <c r="D7" s="56">
        <v>466.0</v>
      </c>
      <c r="E7" s="56">
        <f t="shared" si="1"/>
        <v>855203.2</v>
      </c>
      <c r="F7" s="56">
        <f>IFERROR(__xludf.DUMMYFUNCTION("GOOGLEFINANCE(CONCAT(""NSE:"",A7))"),1944.7)</f>
        <v>1944.7</v>
      </c>
      <c r="G7" s="57">
        <f t="shared" si="2"/>
        <v>906230.2</v>
      </c>
      <c r="H7" s="58">
        <f t="shared" si="3"/>
        <v>0.05966652136</v>
      </c>
      <c r="I7" s="49"/>
      <c r="J7" s="49"/>
    </row>
    <row r="8">
      <c r="A8" s="53" t="s">
        <v>86</v>
      </c>
      <c r="B8" s="54">
        <v>244.0</v>
      </c>
      <c r="C8" s="55">
        <v>2587.32</v>
      </c>
      <c r="D8" s="56">
        <v>244.0</v>
      </c>
      <c r="E8" s="56">
        <f t="shared" si="1"/>
        <v>631306.08</v>
      </c>
      <c r="F8" s="56">
        <f>IFERROR(__xludf.DUMMYFUNCTION("GOOGLEFINANCE(CONCAT(""NSE:"",A8))"),3290.8)</f>
        <v>3290.8</v>
      </c>
      <c r="G8" s="57">
        <f t="shared" si="2"/>
        <v>802955.2</v>
      </c>
      <c r="H8" s="58">
        <f t="shared" si="3"/>
        <v>0.271895243</v>
      </c>
      <c r="I8" s="49"/>
      <c r="J8" s="49"/>
    </row>
    <row r="9">
      <c r="A9" s="53" t="s">
        <v>28</v>
      </c>
      <c r="B9" s="54">
        <v>2114.0</v>
      </c>
      <c r="C9" s="55">
        <v>381.0</v>
      </c>
      <c r="D9" s="56">
        <v>2114.0</v>
      </c>
      <c r="E9" s="56">
        <f t="shared" si="1"/>
        <v>805434</v>
      </c>
      <c r="F9" s="56">
        <f>IFERROR(__xludf.DUMMYFUNCTION("GOOGLEFINANCE(CONCAT(""NSE:"",A9))"),356.3)</f>
        <v>356.3</v>
      </c>
      <c r="G9" s="57">
        <f t="shared" si="2"/>
        <v>753218.2</v>
      </c>
      <c r="H9" s="58">
        <f t="shared" si="3"/>
        <v>-0.06482939633</v>
      </c>
      <c r="I9" s="49"/>
      <c r="J9" s="49"/>
    </row>
    <row r="10">
      <c r="A10" s="53" t="s">
        <v>11</v>
      </c>
      <c r="B10" s="54">
        <v>194.0</v>
      </c>
      <c r="C10" s="55">
        <v>4804.1</v>
      </c>
      <c r="D10" s="56">
        <v>194.0</v>
      </c>
      <c r="E10" s="56">
        <f t="shared" si="1"/>
        <v>931995.4</v>
      </c>
      <c r="F10" s="56">
        <f>IFERROR(__xludf.DUMMYFUNCTION("GOOGLEFINANCE(CONCAT(""NSE:"",A10))"),4576.0)</f>
        <v>4576</v>
      </c>
      <c r="G10" s="57">
        <f t="shared" si="2"/>
        <v>887744</v>
      </c>
      <c r="H10" s="58">
        <f t="shared" si="3"/>
        <v>-0.04748027726</v>
      </c>
      <c r="I10" s="49"/>
      <c r="J10" s="49"/>
    </row>
    <row r="11">
      <c r="A11" s="53" t="s">
        <v>91</v>
      </c>
      <c r="B11" s="54">
        <v>573.0</v>
      </c>
      <c r="C11" s="55">
        <v>1438.23</v>
      </c>
      <c r="D11" s="56">
        <v>573.0</v>
      </c>
      <c r="E11" s="56">
        <f t="shared" si="1"/>
        <v>824105.79</v>
      </c>
      <c r="F11" s="56">
        <f>IFERROR(__xludf.DUMMYFUNCTION("GOOGLEFINANCE(CONCAT(""NSE:"",A11))"),1642.0)</f>
        <v>1642</v>
      </c>
      <c r="G11" s="57">
        <f t="shared" si="2"/>
        <v>940866</v>
      </c>
      <c r="H11" s="58">
        <f t="shared" si="3"/>
        <v>0.1416810941</v>
      </c>
      <c r="I11" s="49"/>
      <c r="J11" s="49"/>
    </row>
    <row r="12">
      <c r="A12" s="53" t="s">
        <v>273</v>
      </c>
      <c r="B12" s="54">
        <v>429.0</v>
      </c>
      <c r="C12" s="55">
        <v>1769.2</v>
      </c>
      <c r="D12" s="56">
        <v>429.0</v>
      </c>
      <c r="E12" s="56">
        <f t="shared" si="1"/>
        <v>758986.8</v>
      </c>
      <c r="F12" s="56">
        <f>IFERROR(__xludf.DUMMYFUNCTION("GOOGLEFINANCE(CONCAT(""NSE:"",A12))"),2491.5)</f>
        <v>2491.5</v>
      </c>
      <c r="G12" s="57">
        <f t="shared" si="2"/>
        <v>1068853.5</v>
      </c>
      <c r="H12" s="58">
        <f t="shared" si="3"/>
        <v>0.408263622</v>
      </c>
      <c r="I12" s="49"/>
      <c r="J12" s="49"/>
    </row>
    <row r="13">
      <c r="A13" s="53" t="s">
        <v>194</v>
      </c>
      <c r="B13" s="54">
        <v>317.0</v>
      </c>
      <c r="C13" s="55">
        <v>3263.1</v>
      </c>
      <c r="D13" s="56">
        <v>317.0</v>
      </c>
      <c r="E13" s="56">
        <f t="shared" si="1"/>
        <v>1034402.7</v>
      </c>
      <c r="F13" s="56">
        <f>IFERROR(__xludf.DUMMYFUNCTION("GOOGLEFINANCE(CONCAT(""NSE:"",A13))"),3294.2)</f>
        <v>3294.2</v>
      </c>
      <c r="G13" s="57">
        <f t="shared" si="2"/>
        <v>1044261.4</v>
      </c>
      <c r="H13" s="58">
        <f t="shared" si="3"/>
        <v>0.009530814256</v>
      </c>
      <c r="I13" s="49"/>
      <c r="J13" s="49"/>
    </row>
    <row r="14">
      <c r="A14" s="53" t="s">
        <v>103</v>
      </c>
      <c r="B14" s="54">
        <v>541.0</v>
      </c>
      <c r="C14" s="55">
        <v>1650.7</v>
      </c>
      <c r="D14" s="56">
        <v>541.0</v>
      </c>
      <c r="E14" s="56">
        <f t="shared" si="1"/>
        <v>893028.7</v>
      </c>
      <c r="F14" s="56">
        <f>IFERROR(__xludf.DUMMYFUNCTION("GOOGLEFINANCE(CONCAT(""NSE:"",A14))"),1356.1)</f>
        <v>1356.1</v>
      </c>
      <c r="G14" s="57">
        <f t="shared" si="2"/>
        <v>733650.1</v>
      </c>
      <c r="H14" s="58">
        <f t="shared" si="3"/>
        <v>-0.1784697401</v>
      </c>
      <c r="I14" s="49"/>
      <c r="J14" s="49"/>
    </row>
    <row r="15">
      <c r="A15" s="53" t="s">
        <v>108</v>
      </c>
      <c r="B15" s="54">
        <v>3530.0</v>
      </c>
      <c r="C15" s="55">
        <v>210.66</v>
      </c>
      <c r="D15" s="56">
        <v>3530.0</v>
      </c>
      <c r="E15" s="56">
        <f t="shared" si="1"/>
        <v>743629.8</v>
      </c>
      <c r="F15" s="56">
        <f>IFERROR(__xludf.DUMMYFUNCTION("GOOGLEFINANCE(CONCAT(""NSE:"",A15))"),203.99)</f>
        <v>203.99</v>
      </c>
      <c r="G15" s="57">
        <f t="shared" si="2"/>
        <v>720084.7</v>
      </c>
      <c r="H15" s="58">
        <f t="shared" si="3"/>
        <v>-0.03166239438</v>
      </c>
      <c r="I15" s="49"/>
      <c r="J15" s="49"/>
    </row>
    <row r="16">
      <c r="A16" s="53" t="s">
        <v>203</v>
      </c>
      <c r="B16" s="54">
        <v>541.0</v>
      </c>
      <c r="C16" s="55">
        <v>1400.7</v>
      </c>
      <c r="D16" s="56">
        <v>541.0</v>
      </c>
      <c r="E16" s="56">
        <f t="shared" si="1"/>
        <v>757778.7</v>
      </c>
      <c r="F16" s="56">
        <f>IFERROR(__xludf.DUMMYFUNCTION("GOOGLEFINANCE(CONCAT(""NSE:"",A16))"),1365.5)</f>
        <v>1365.5</v>
      </c>
      <c r="G16" s="57">
        <f t="shared" si="2"/>
        <v>738735.5</v>
      </c>
      <c r="H16" s="58">
        <f t="shared" si="3"/>
        <v>-0.025130292</v>
      </c>
      <c r="I16" s="49"/>
      <c r="J16" s="49"/>
    </row>
    <row r="17">
      <c r="A17" s="53" t="s">
        <v>195</v>
      </c>
      <c r="B17" s="54">
        <v>933.0</v>
      </c>
      <c r="C17" s="55">
        <v>1438.5</v>
      </c>
      <c r="D17" s="56">
        <v>933.0</v>
      </c>
      <c r="E17" s="56">
        <f t="shared" si="1"/>
        <v>1342120.5</v>
      </c>
      <c r="F17" s="56">
        <f>IFERROR(__xludf.DUMMYFUNCTION("GOOGLEFINANCE(CONCAT(""NSE:"",A17))"),1542.5)</f>
        <v>1542.5</v>
      </c>
      <c r="G17" s="57">
        <f t="shared" si="2"/>
        <v>1439152.5</v>
      </c>
      <c r="H17" s="58">
        <f t="shared" si="3"/>
        <v>0.07229753215</v>
      </c>
      <c r="I17" s="49"/>
      <c r="J17" s="49"/>
    </row>
    <row r="18">
      <c r="A18" s="53" t="s">
        <v>196</v>
      </c>
      <c r="B18" s="54">
        <v>2638.0</v>
      </c>
      <c r="C18" s="55">
        <v>243.66</v>
      </c>
      <c r="D18" s="56">
        <v>2638.0</v>
      </c>
      <c r="E18" s="56">
        <f t="shared" si="1"/>
        <v>642775.08</v>
      </c>
      <c r="F18" s="56">
        <f>IFERROR(__xludf.DUMMYFUNCTION("GOOGLEFINANCE(CONCAT(""NSE:"",A18))"),231.03)</f>
        <v>231.03</v>
      </c>
      <c r="G18" s="57">
        <f t="shared" si="2"/>
        <v>609457.14</v>
      </c>
      <c r="H18" s="58">
        <f t="shared" si="3"/>
        <v>-0.05183452352</v>
      </c>
      <c r="I18" s="49"/>
      <c r="J18" s="49"/>
    </row>
    <row r="19">
      <c r="A19" s="53" t="s">
        <v>110</v>
      </c>
      <c r="B19" s="54">
        <v>341.0</v>
      </c>
      <c r="C19" s="55">
        <v>2220.64</v>
      </c>
      <c r="D19" s="56">
        <v>341.0</v>
      </c>
      <c r="E19" s="56">
        <f t="shared" si="1"/>
        <v>757238.24</v>
      </c>
      <c r="F19" s="56">
        <f>IFERROR(__xludf.DUMMYFUNCTION("GOOGLEFINANCE(CONCAT(""NSE:"",A19))"),1915.6)</f>
        <v>1915.6</v>
      </c>
      <c r="G19" s="57">
        <f t="shared" si="2"/>
        <v>653219.6</v>
      </c>
      <c r="H19" s="58">
        <f t="shared" si="3"/>
        <v>-0.1373658045</v>
      </c>
      <c r="I19" s="49"/>
      <c r="J19" s="49"/>
    </row>
    <row r="20">
      <c r="A20" s="53" t="s">
        <v>114</v>
      </c>
      <c r="B20" s="54">
        <v>1597.0</v>
      </c>
      <c r="C20" s="55">
        <v>413.0</v>
      </c>
      <c r="D20" s="56">
        <v>1597.0</v>
      </c>
      <c r="E20" s="56">
        <f t="shared" si="1"/>
        <v>659561</v>
      </c>
      <c r="F20" s="56">
        <f>IFERROR(__xludf.DUMMYFUNCTION("GOOGLEFINANCE(CONCAT(""NSE:"",A20))"),420.35)</f>
        <v>420.35</v>
      </c>
      <c r="G20" s="57">
        <f t="shared" si="2"/>
        <v>671298.95</v>
      </c>
      <c r="H20" s="58">
        <f t="shared" si="3"/>
        <v>0.01779661017</v>
      </c>
      <c r="I20" s="49"/>
      <c r="J20" s="49"/>
    </row>
    <row r="21">
      <c r="A21" s="53" t="s">
        <v>226</v>
      </c>
      <c r="B21" s="54">
        <v>615.0</v>
      </c>
      <c r="C21" s="55">
        <v>1308.2</v>
      </c>
      <c r="D21" s="56">
        <v>615.0</v>
      </c>
      <c r="E21" s="56">
        <f t="shared" si="1"/>
        <v>804543</v>
      </c>
      <c r="F21" s="56">
        <f>IFERROR(__xludf.DUMMYFUNCTION("GOOGLEFINANCE(CONCAT(""NSE:"",A21))"),1254.1)</f>
        <v>1254.1</v>
      </c>
      <c r="G21" s="57">
        <f t="shared" si="2"/>
        <v>771271.5</v>
      </c>
      <c r="H21" s="58">
        <f t="shared" si="3"/>
        <v>-0.04135453295</v>
      </c>
      <c r="I21" s="49"/>
      <c r="J21" s="49"/>
    </row>
    <row r="22">
      <c r="A22" s="53" t="s">
        <v>100</v>
      </c>
      <c r="B22" s="54">
        <v>619.0</v>
      </c>
      <c r="C22" s="55">
        <v>1311.3</v>
      </c>
      <c r="D22" s="56">
        <v>619.0</v>
      </c>
      <c r="E22" s="56">
        <f t="shared" si="1"/>
        <v>811694.7</v>
      </c>
      <c r="F22" s="56">
        <f>IFERROR(__xludf.DUMMYFUNCTION("GOOGLEFINANCE(CONCAT(""NSE:"",A22))"),1417.5)</f>
        <v>1417.5</v>
      </c>
      <c r="G22" s="57">
        <f t="shared" si="2"/>
        <v>877432.5</v>
      </c>
      <c r="H22" s="58">
        <f t="shared" si="3"/>
        <v>0.08098833219</v>
      </c>
      <c r="I22" s="49"/>
      <c r="J22" s="49"/>
    </row>
    <row r="23">
      <c r="A23" s="53" t="s">
        <v>122</v>
      </c>
      <c r="B23" s="54">
        <v>1929.0</v>
      </c>
      <c r="C23" s="55">
        <v>358.75</v>
      </c>
      <c r="D23" s="56">
        <v>1929.0</v>
      </c>
      <c r="E23" s="56">
        <f t="shared" si="1"/>
        <v>692028.75</v>
      </c>
      <c r="F23" s="56">
        <f>IFERROR(__xludf.DUMMYFUNCTION("GOOGLEFINANCE(CONCAT(""NSE:"",A23))"),339.5)</f>
        <v>339.5</v>
      </c>
      <c r="G23" s="57">
        <f t="shared" si="2"/>
        <v>654895.5</v>
      </c>
      <c r="H23" s="58">
        <f t="shared" si="3"/>
        <v>-0.05365853659</v>
      </c>
      <c r="I23" s="49"/>
      <c r="J23" s="49"/>
    </row>
    <row r="24">
      <c r="A24" s="53" t="s">
        <v>309</v>
      </c>
      <c r="B24" s="54">
        <v>828.0</v>
      </c>
      <c r="C24" s="55">
        <v>835.82</v>
      </c>
      <c r="D24" s="56">
        <v>828.0</v>
      </c>
      <c r="E24" s="56">
        <f t="shared" si="1"/>
        <v>692058.96</v>
      </c>
      <c r="F24" s="56">
        <f>IFERROR(__xludf.DUMMYFUNCTION("GOOGLEFINANCE(CONCAT(""NSE:"",A24))"),860.3)</f>
        <v>860.3</v>
      </c>
      <c r="G24" s="57">
        <f t="shared" si="2"/>
        <v>712328.4</v>
      </c>
      <c r="H24" s="58">
        <f t="shared" si="3"/>
        <v>0.02928860281</v>
      </c>
      <c r="I24" s="49"/>
      <c r="J24" s="49"/>
    </row>
    <row r="25">
      <c r="A25" s="53" t="s">
        <v>244</v>
      </c>
      <c r="B25" s="54">
        <v>5754.0</v>
      </c>
      <c r="C25" s="55">
        <v>209.34</v>
      </c>
      <c r="D25" s="56">
        <v>5754.0</v>
      </c>
      <c r="E25" s="56">
        <f t="shared" si="1"/>
        <v>1204542.36</v>
      </c>
      <c r="F25" s="56">
        <f>IFERROR(__xludf.DUMMYFUNCTION("GOOGLEFINANCE(CONCAT(""NSE:"",A25))"),213.3)</f>
        <v>213.3</v>
      </c>
      <c r="G25" s="57">
        <f t="shared" si="2"/>
        <v>1227328.2</v>
      </c>
      <c r="H25" s="58">
        <f t="shared" si="3"/>
        <v>0.01891659501</v>
      </c>
      <c r="I25" s="49"/>
      <c r="J25" s="49"/>
    </row>
    <row r="26">
      <c r="A26" s="53" t="s">
        <v>111</v>
      </c>
      <c r="B26" s="54">
        <v>1932.0</v>
      </c>
      <c r="C26" s="55">
        <v>505.1</v>
      </c>
      <c r="D26" s="56">
        <v>1932.0</v>
      </c>
      <c r="E26" s="56">
        <f t="shared" si="1"/>
        <v>975853.2</v>
      </c>
      <c r="F26" s="56">
        <f>IFERROR(__xludf.DUMMYFUNCTION("GOOGLEFINANCE(CONCAT(""NSE:"",A26))"),484.55)</f>
        <v>484.55</v>
      </c>
      <c r="G26" s="57">
        <f t="shared" si="2"/>
        <v>936150.6</v>
      </c>
      <c r="H26" s="58">
        <f t="shared" si="3"/>
        <v>-0.04068501287</v>
      </c>
      <c r="I26" s="49"/>
      <c r="J26" s="49"/>
    </row>
    <row r="27">
      <c r="A27" s="53" t="s">
        <v>310</v>
      </c>
      <c r="B27" s="54">
        <v>1325.0</v>
      </c>
      <c r="C27" s="55">
        <v>462.9</v>
      </c>
      <c r="D27" s="56">
        <v>1325.0</v>
      </c>
      <c r="E27" s="56">
        <f t="shared" si="1"/>
        <v>613342.5</v>
      </c>
      <c r="F27" s="56">
        <f>IFERROR(__xludf.DUMMYFUNCTION("GOOGLEFINANCE(CONCAT(""NSE:"",A27))"),465.25)</f>
        <v>465.25</v>
      </c>
      <c r="G27" s="57">
        <f t="shared" si="2"/>
        <v>616456.25</v>
      </c>
      <c r="H27" s="58">
        <f t="shared" si="3"/>
        <v>0.00507669043</v>
      </c>
      <c r="I27" s="49"/>
      <c r="J27" s="49"/>
    </row>
    <row r="28">
      <c r="A28" s="53" t="s">
        <v>251</v>
      </c>
      <c r="B28" s="54">
        <v>66275.0</v>
      </c>
      <c r="C28" s="55">
        <v>12.99</v>
      </c>
      <c r="D28" s="56">
        <v>66275.0</v>
      </c>
      <c r="E28" s="56">
        <f t="shared" si="1"/>
        <v>860912.25</v>
      </c>
      <c r="F28" s="56">
        <f>IFERROR(__xludf.DUMMYFUNCTION("GOOGLEFINANCE(CONCAT(""NSE:"",A28))"),14.27)</f>
        <v>14.27</v>
      </c>
      <c r="G28" s="57">
        <f t="shared" si="2"/>
        <v>945744.25</v>
      </c>
      <c r="H28" s="58">
        <f t="shared" si="3"/>
        <v>0.09853733641</v>
      </c>
      <c r="I28" s="49"/>
      <c r="J28" s="49"/>
    </row>
    <row r="29">
      <c r="A29" s="53" t="s">
        <v>311</v>
      </c>
      <c r="B29" s="54">
        <v>3805.0</v>
      </c>
      <c r="C29" s="55">
        <v>158.75</v>
      </c>
      <c r="D29" s="56">
        <v>3805.0</v>
      </c>
      <c r="E29" s="56">
        <f t="shared" si="1"/>
        <v>604043.75</v>
      </c>
      <c r="F29" s="56">
        <f>IFERROR(__xludf.DUMMYFUNCTION("GOOGLEFINANCE(CONCAT(""NSE:"",A29))"),148.92)</f>
        <v>148.92</v>
      </c>
      <c r="G29" s="57">
        <f t="shared" si="2"/>
        <v>566640.6</v>
      </c>
      <c r="H29" s="58">
        <f t="shared" si="3"/>
        <v>-0.06192125984</v>
      </c>
      <c r="I29" s="49"/>
      <c r="J29" s="49"/>
    </row>
    <row r="30">
      <c r="A30" s="53" t="s">
        <v>259</v>
      </c>
      <c r="B30" s="54">
        <v>2770.0</v>
      </c>
      <c r="C30" s="55">
        <v>304.81</v>
      </c>
      <c r="D30" s="56">
        <v>2770.0</v>
      </c>
      <c r="E30" s="56">
        <f t="shared" si="1"/>
        <v>844323.7</v>
      </c>
      <c r="F30" s="56">
        <f>IFERROR(__xludf.DUMMYFUNCTION("GOOGLEFINANCE(CONCAT(""NSE:"",A30))"),338.9)</f>
        <v>338.9</v>
      </c>
      <c r="G30" s="57">
        <f t="shared" si="2"/>
        <v>938753</v>
      </c>
      <c r="H30" s="58">
        <f t="shared" si="3"/>
        <v>0.1118401627</v>
      </c>
      <c r="I30" s="49"/>
      <c r="J30" s="49"/>
    </row>
    <row r="31">
      <c r="A31" s="53" t="s">
        <v>264</v>
      </c>
      <c r="B31" s="54">
        <v>318.0</v>
      </c>
      <c r="C31" s="55">
        <v>2744.5</v>
      </c>
      <c r="D31" s="56">
        <v>318.0</v>
      </c>
      <c r="E31" s="56">
        <f t="shared" si="1"/>
        <v>872751</v>
      </c>
      <c r="F31" s="56">
        <f>IFERROR(__xludf.DUMMYFUNCTION("GOOGLEFINANCE(CONCAT(""NSE:"",A31))"),2422.4)</f>
        <v>2422.4</v>
      </c>
      <c r="G31" s="57">
        <f t="shared" si="2"/>
        <v>770323.2</v>
      </c>
      <c r="H31" s="58">
        <f t="shared" si="3"/>
        <v>-0.1173619967</v>
      </c>
      <c r="I31" s="49"/>
      <c r="J31" s="49"/>
    </row>
    <row r="32">
      <c r="A32" s="53" t="s">
        <v>121</v>
      </c>
      <c r="B32" s="54">
        <v>647.0</v>
      </c>
      <c r="C32" s="55">
        <v>1096.3</v>
      </c>
      <c r="D32" s="56">
        <v>647.0</v>
      </c>
      <c r="E32" s="56">
        <f t="shared" si="1"/>
        <v>709306.1</v>
      </c>
      <c r="F32" s="56">
        <f>IFERROR(__xludf.DUMMYFUNCTION("GOOGLEFINANCE(CONCAT(""NSE:"",A32))"),989.1)</f>
        <v>989.1</v>
      </c>
      <c r="G32" s="57">
        <f t="shared" si="2"/>
        <v>639947.7</v>
      </c>
      <c r="H32" s="58">
        <f t="shared" si="3"/>
        <v>-0.09778345343</v>
      </c>
      <c r="I32" s="49"/>
      <c r="J32" s="49"/>
    </row>
    <row r="33">
      <c r="A33" s="53" t="s">
        <v>160</v>
      </c>
      <c r="B33" s="54">
        <v>852.0</v>
      </c>
      <c r="C33" s="55">
        <v>796.97</v>
      </c>
      <c r="D33" s="56">
        <v>852.0</v>
      </c>
      <c r="E33" s="56">
        <f t="shared" si="1"/>
        <v>679018.44</v>
      </c>
      <c r="F33" s="56">
        <f>IFERROR(__xludf.DUMMYFUNCTION("GOOGLEFINANCE(CONCAT(""NSE:"",A33))"),786.05)</f>
        <v>786.05</v>
      </c>
      <c r="G33" s="57">
        <f t="shared" si="2"/>
        <v>669714.6</v>
      </c>
      <c r="H33" s="58">
        <f t="shared" si="3"/>
        <v>-0.01370189593</v>
      </c>
      <c r="I33" s="49"/>
      <c r="J33" s="49"/>
    </row>
    <row r="34">
      <c r="B34" s="48"/>
      <c r="C34" s="45"/>
      <c r="D34" s="45"/>
      <c r="E34" s="45"/>
      <c r="F34" s="45"/>
      <c r="G34" s="46"/>
      <c r="H34" s="49"/>
      <c r="I34" s="49"/>
      <c r="J34" s="49"/>
    </row>
    <row r="35">
      <c r="A35" s="66">
        <v>46146.0</v>
      </c>
      <c r="B35" s="67" t="s">
        <v>307</v>
      </c>
      <c r="C35" s="67" t="s">
        <v>308</v>
      </c>
      <c r="D35" s="40" t="s">
        <v>302</v>
      </c>
      <c r="E35" s="40" t="s">
        <v>303</v>
      </c>
      <c r="F35" s="40" t="s">
        <v>304</v>
      </c>
      <c r="G35" s="40" t="s">
        <v>305</v>
      </c>
      <c r="H35" s="40" t="s">
        <v>306</v>
      </c>
      <c r="I35" s="1"/>
      <c r="J35" s="1"/>
      <c r="K35" s="1"/>
      <c r="L35" s="68"/>
      <c r="M35" s="1"/>
      <c r="N35" s="17"/>
      <c r="O35" s="17"/>
      <c r="P35" s="17"/>
      <c r="Q35" s="69"/>
      <c r="R35" s="69"/>
      <c r="S35" s="69"/>
      <c r="T35" s="69"/>
      <c r="U35" s="69"/>
      <c r="V35" s="69"/>
      <c r="W35" s="69"/>
      <c r="X35" s="69"/>
      <c r="Y35" s="69"/>
      <c r="Z35" s="69"/>
    </row>
    <row r="36">
      <c r="A36" s="70" t="s">
        <v>37</v>
      </c>
      <c r="B36" s="71">
        <v>1639.0</v>
      </c>
      <c r="C36" s="8">
        <v>357.33</v>
      </c>
      <c r="D36" s="40">
        <f t="shared" ref="D36:D65" si="4">B36</f>
        <v>1639</v>
      </c>
      <c r="E36" s="40">
        <f t="shared" ref="E36:E65" si="5">B36*C36</f>
        <v>585663.87</v>
      </c>
      <c r="F36" s="40">
        <f>IFERROR(__xludf.DUMMYFUNCTION("GOOGLEFINANCE(CONCAT(""NSE:"",A36))"),386.35)</f>
        <v>386.35</v>
      </c>
      <c r="G36" s="40">
        <f t="shared" ref="G36:G65" si="6">D36*F36</f>
        <v>633227.65</v>
      </c>
      <c r="H36" s="72">
        <f t="shared" ref="H36:H65" si="7">(G36-E36)/E36</f>
        <v>0.08121344416</v>
      </c>
      <c r="I36" s="1" t="s">
        <v>199</v>
      </c>
      <c r="J36" s="1" t="s">
        <v>214</v>
      </c>
      <c r="K36" s="1" t="s">
        <v>215</v>
      </c>
      <c r="L36" s="68" t="s">
        <v>37</v>
      </c>
      <c r="M36" s="1" t="s">
        <v>216</v>
      </c>
      <c r="N36" s="17">
        <v>1639.0</v>
      </c>
      <c r="O36" s="17">
        <v>424.35</v>
      </c>
      <c r="P36" s="17">
        <v>695509.7</v>
      </c>
      <c r="Q36" s="69"/>
      <c r="R36" s="69"/>
      <c r="S36" s="69"/>
      <c r="T36" s="69"/>
      <c r="U36" s="69"/>
      <c r="V36" s="69"/>
      <c r="W36" s="69"/>
      <c r="X36" s="69"/>
      <c r="Y36" s="69"/>
      <c r="Z36" s="69"/>
    </row>
    <row r="37">
      <c r="A37" s="70" t="s">
        <v>34</v>
      </c>
      <c r="B37" s="71">
        <v>203.0</v>
      </c>
      <c r="C37" s="8">
        <v>3615.0</v>
      </c>
      <c r="D37" s="40">
        <f t="shared" si="4"/>
        <v>203</v>
      </c>
      <c r="E37" s="40">
        <f t="shared" si="5"/>
        <v>733845</v>
      </c>
      <c r="F37" s="40">
        <f>IFERROR(__xludf.DUMMYFUNCTION("GOOGLEFINANCE(CONCAT(""NSE:"",A37))"),2211.9)</f>
        <v>2211.9</v>
      </c>
      <c r="G37" s="40">
        <f t="shared" si="6"/>
        <v>449015.7</v>
      </c>
      <c r="H37" s="72">
        <f t="shared" si="7"/>
        <v>-0.3881327801</v>
      </c>
      <c r="I37" s="1" t="s">
        <v>199</v>
      </c>
      <c r="J37" s="1" t="s">
        <v>214</v>
      </c>
      <c r="K37" s="1" t="s">
        <v>312</v>
      </c>
      <c r="L37" s="68" t="s">
        <v>291</v>
      </c>
      <c r="M37" s="73"/>
      <c r="N37" s="17">
        <v>1167.0</v>
      </c>
      <c r="O37" s="17">
        <v>619.55</v>
      </c>
      <c r="P37" s="17">
        <v>723014.9</v>
      </c>
      <c r="Q37" s="69"/>
      <c r="R37" s="69"/>
      <c r="S37" s="69"/>
      <c r="T37" s="69"/>
      <c r="U37" s="69"/>
      <c r="V37" s="69"/>
      <c r="W37" s="69"/>
      <c r="X37" s="69"/>
      <c r="Y37" s="69"/>
      <c r="Z37" s="69"/>
    </row>
    <row r="38">
      <c r="A38" s="70" t="s">
        <v>46</v>
      </c>
      <c r="B38" s="71">
        <v>171.0</v>
      </c>
      <c r="C38" s="8">
        <v>3703.0</v>
      </c>
      <c r="D38" s="40">
        <f t="shared" si="4"/>
        <v>171</v>
      </c>
      <c r="E38" s="40">
        <f t="shared" si="5"/>
        <v>633213</v>
      </c>
      <c r="F38" s="40">
        <f>IFERROR(__xludf.DUMMYFUNCTION("GOOGLEFINANCE(CONCAT(""NSE:"",A38))"),3271.6)</f>
        <v>3271.6</v>
      </c>
      <c r="G38" s="40">
        <f t="shared" si="6"/>
        <v>559443.6</v>
      </c>
      <c r="H38" s="72">
        <f t="shared" si="7"/>
        <v>-0.116500135</v>
      </c>
      <c r="I38" s="1" t="s">
        <v>199</v>
      </c>
      <c r="J38" s="1" t="s">
        <v>214</v>
      </c>
      <c r="K38" s="1" t="s">
        <v>220</v>
      </c>
      <c r="L38" s="68" t="s">
        <v>108</v>
      </c>
      <c r="M38" s="1" t="s">
        <v>221</v>
      </c>
      <c r="N38" s="17">
        <v>3368.0</v>
      </c>
      <c r="O38" s="17">
        <v>213.65</v>
      </c>
      <c r="P38" s="17">
        <v>719573.2</v>
      </c>
      <c r="Q38" s="69"/>
      <c r="R38" s="69"/>
      <c r="S38" s="69"/>
      <c r="T38" s="69"/>
      <c r="U38" s="69"/>
      <c r="V38" s="69"/>
      <c r="W38" s="69"/>
      <c r="X38" s="69"/>
      <c r="Y38" s="69"/>
      <c r="Z38" s="69"/>
    </row>
    <row r="39">
      <c r="A39" s="70" t="s">
        <v>100</v>
      </c>
      <c r="B39" s="71">
        <v>613.0</v>
      </c>
      <c r="C39" s="8">
        <v>1112.2</v>
      </c>
      <c r="D39" s="40">
        <f t="shared" si="4"/>
        <v>613</v>
      </c>
      <c r="E39" s="40">
        <f t="shared" si="5"/>
        <v>681778.6</v>
      </c>
      <c r="F39" s="40">
        <f>IFERROR(__xludf.DUMMYFUNCTION("GOOGLEFINANCE(CONCAT(""NSE:"",A39))"),1417.5)</f>
        <v>1417.5</v>
      </c>
      <c r="G39" s="40">
        <f t="shared" si="6"/>
        <v>868927.5</v>
      </c>
      <c r="H39" s="72">
        <f t="shared" si="7"/>
        <v>0.274500989</v>
      </c>
      <c r="I39" s="1" t="s">
        <v>199</v>
      </c>
      <c r="J39" s="1" t="s">
        <v>214</v>
      </c>
      <c r="K39" s="1" t="s">
        <v>222</v>
      </c>
      <c r="L39" s="68" t="s">
        <v>34</v>
      </c>
      <c r="M39" s="1" t="s">
        <v>223</v>
      </c>
      <c r="N39" s="17">
        <v>203.0</v>
      </c>
      <c r="O39" s="17">
        <v>2058.7</v>
      </c>
      <c r="P39" s="17">
        <v>417916.1</v>
      </c>
      <c r="Q39" s="69"/>
      <c r="R39" s="69"/>
      <c r="S39" s="69"/>
      <c r="T39" s="69"/>
      <c r="U39" s="69"/>
      <c r="V39" s="69"/>
      <c r="W39" s="69"/>
      <c r="X39" s="69"/>
      <c r="Y39" s="69"/>
      <c r="Z39" s="69"/>
    </row>
    <row r="40">
      <c r="A40" s="70" t="s">
        <v>67</v>
      </c>
      <c r="B40" s="71">
        <v>46.0</v>
      </c>
      <c r="C40" s="8">
        <v>19235.19</v>
      </c>
      <c r="D40" s="40">
        <f t="shared" si="4"/>
        <v>46</v>
      </c>
      <c r="E40" s="40">
        <f t="shared" si="5"/>
        <v>884818.74</v>
      </c>
      <c r="F40" s="40">
        <f>IFERROR(__xludf.DUMMYFUNCTION("GOOGLEFINANCE(CONCAT(""NSE:"",A40))"),17516.0)</f>
        <v>17516</v>
      </c>
      <c r="G40" s="40">
        <f t="shared" si="6"/>
        <v>805736</v>
      </c>
      <c r="H40" s="72">
        <f t="shared" si="7"/>
        <v>-0.08937733394</v>
      </c>
      <c r="I40" s="1" t="s">
        <v>199</v>
      </c>
      <c r="J40" s="1" t="s">
        <v>214</v>
      </c>
      <c r="K40" s="1" t="s">
        <v>224</v>
      </c>
      <c r="L40" s="68" t="s">
        <v>213</v>
      </c>
      <c r="M40" s="1" t="s">
        <v>225</v>
      </c>
      <c r="N40" s="17">
        <v>72.0</v>
      </c>
      <c r="O40" s="17">
        <v>14746.0</v>
      </c>
      <c r="P40" s="17">
        <v>1061712.0</v>
      </c>
      <c r="Q40" s="69"/>
      <c r="R40" s="69"/>
      <c r="S40" s="69"/>
      <c r="T40" s="69"/>
      <c r="U40" s="69"/>
      <c r="V40" s="69"/>
      <c r="W40" s="69"/>
      <c r="X40" s="69"/>
      <c r="Y40" s="69"/>
      <c r="Z40" s="69"/>
    </row>
    <row r="41">
      <c r="A41" s="70" t="s">
        <v>109</v>
      </c>
      <c r="B41" s="71">
        <v>1413.0</v>
      </c>
      <c r="C41" s="8">
        <v>737.6</v>
      </c>
      <c r="D41" s="40">
        <f t="shared" si="4"/>
        <v>1413</v>
      </c>
      <c r="E41" s="40">
        <f t="shared" si="5"/>
        <v>1042228.8</v>
      </c>
      <c r="F41" s="40">
        <f>IFERROR(__xludf.DUMMYFUNCTION("GOOGLEFINANCE(CONCAT(""NSE:"",A41))"),549.9)</f>
        <v>549.9</v>
      </c>
      <c r="G41" s="40">
        <f t="shared" si="6"/>
        <v>777008.7</v>
      </c>
      <c r="H41" s="72">
        <f t="shared" si="7"/>
        <v>-0.2544739696</v>
      </c>
      <c r="I41" s="1" t="s">
        <v>199</v>
      </c>
      <c r="J41" s="1" t="s">
        <v>214</v>
      </c>
      <c r="K41" s="1" t="s">
        <v>229</v>
      </c>
      <c r="L41" s="68" t="s">
        <v>46</v>
      </c>
      <c r="M41" s="1" t="s">
        <v>230</v>
      </c>
      <c r="N41" s="17">
        <v>171.0</v>
      </c>
      <c r="O41" s="17">
        <v>3575.0</v>
      </c>
      <c r="P41" s="17">
        <v>611325.0</v>
      </c>
      <c r="Q41" s="69"/>
      <c r="R41" s="69"/>
      <c r="S41" s="69"/>
      <c r="T41" s="69"/>
      <c r="U41" s="69"/>
      <c r="V41" s="69"/>
      <c r="W41" s="69"/>
      <c r="X41" s="69"/>
      <c r="Y41" s="69"/>
      <c r="Z41" s="69"/>
    </row>
    <row r="42">
      <c r="A42" s="70" t="s">
        <v>60</v>
      </c>
      <c r="B42" s="71">
        <v>217.0</v>
      </c>
      <c r="C42" s="8">
        <v>2797.0</v>
      </c>
      <c r="D42" s="40">
        <f t="shared" si="4"/>
        <v>217</v>
      </c>
      <c r="E42" s="40">
        <f t="shared" si="5"/>
        <v>606949</v>
      </c>
      <c r="F42" s="40">
        <f>IFERROR(__xludf.DUMMYFUNCTION("GOOGLEFINANCE(CONCAT(""NSE:"",A42))"),2337.0)</f>
        <v>2337</v>
      </c>
      <c r="G42" s="40">
        <f t="shared" si="6"/>
        <v>507129</v>
      </c>
      <c r="H42" s="72">
        <f t="shared" si="7"/>
        <v>-0.1644619235</v>
      </c>
      <c r="I42" s="1" t="s">
        <v>199</v>
      </c>
      <c r="J42" s="1" t="s">
        <v>214</v>
      </c>
      <c r="K42" s="1" t="s">
        <v>313</v>
      </c>
      <c r="L42" s="68" t="s">
        <v>99</v>
      </c>
      <c r="M42" s="1" t="s">
        <v>314</v>
      </c>
      <c r="N42" s="17">
        <v>621.0</v>
      </c>
      <c r="O42" s="17">
        <v>1152.4</v>
      </c>
      <c r="P42" s="17">
        <v>715640.4</v>
      </c>
      <c r="Q42" s="69"/>
      <c r="R42" s="69"/>
      <c r="S42" s="69"/>
      <c r="T42" s="69"/>
      <c r="U42" s="69"/>
      <c r="V42" s="69"/>
      <c r="W42" s="69"/>
      <c r="X42" s="69"/>
      <c r="Y42" s="69"/>
      <c r="Z42" s="69"/>
    </row>
    <row r="43">
      <c r="A43" s="70" t="s">
        <v>9</v>
      </c>
      <c r="B43" s="71">
        <v>236.0</v>
      </c>
      <c r="C43" s="8">
        <v>4565.0</v>
      </c>
      <c r="D43" s="40">
        <f t="shared" si="4"/>
        <v>236</v>
      </c>
      <c r="E43" s="40">
        <f t="shared" si="5"/>
        <v>1077340</v>
      </c>
      <c r="F43" s="40">
        <f>IFERROR(__xludf.DUMMYFUNCTION("GOOGLEFINANCE(CONCAT(""NSE:"",A43))"),4297.0)</f>
        <v>4297</v>
      </c>
      <c r="G43" s="40">
        <f t="shared" si="6"/>
        <v>1014092</v>
      </c>
      <c r="H43" s="72">
        <f t="shared" si="7"/>
        <v>-0.0587075575</v>
      </c>
      <c r="I43" s="1" t="s">
        <v>199</v>
      </c>
      <c r="J43" s="1" t="s">
        <v>214</v>
      </c>
      <c r="K43" s="1" t="s">
        <v>231</v>
      </c>
      <c r="L43" s="68" t="s">
        <v>100</v>
      </c>
      <c r="M43" s="1" t="s">
        <v>232</v>
      </c>
      <c r="N43" s="17">
        <v>613.0</v>
      </c>
      <c r="O43" s="17">
        <v>1325.5</v>
      </c>
      <c r="P43" s="17">
        <v>812531.5</v>
      </c>
      <c r="Q43" s="69"/>
      <c r="R43" s="69"/>
      <c r="S43" s="69"/>
      <c r="T43" s="69"/>
      <c r="U43" s="69"/>
      <c r="V43" s="69"/>
      <c r="W43" s="69"/>
      <c r="X43" s="69"/>
      <c r="Y43" s="69"/>
      <c r="Z43" s="69"/>
    </row>
    <row r="44">
      <c r="A44" s="70" t="s">
        <v>111</v>
      </c>
      <c r="B44" s="71">
        <v>1921.0</v>
      </c>
      <c r="C44" s="8">
        <v>533.55</v>
      </c>
      <c r="D44" s="40">
        <f t="shared" si="4"/>
        <v>1921</v>
      </c>
      <c r="E44" s="40">
        <f t="shared" si="5"/>
        <v>1024949.55</v>
      </c>
      <c r="F44" s="40">
        <f>IFERROR(__xludf.DUMMYFUNCTION("GOOGLEFINANCE(CONCAT(""NSE:"",A44))"),484.55)</f>
        <v>484.55</v>
      </c>
      <c r="G44" s="40">
        <f t="shared" si="6"/>
        <v>930820.55</v>
      </c>
      <c r="H44" s="72">
        <f t="shared" si="7"/>
        <v>-0.09183769094</v>
      </c>
      <c r="I44" s="1" t="s">
        <v>199</v>
      </c>
      <c r="J44" s="1" t="s">
        <v>214</v>
      </c>
      <c r="K44" s="1" t="s">
        <v>234</v>
      </c>
      <c r="L44" s="68" t="s">
        <v>118</v>
      </c>
      <c r="M44" s="1" t="s">
        <v>235</v>
      </c>
      <c r="N44" s="17">
        <v>117.0</v>
      </c>
      <c r="O44" s="17">
        <v>5550.0</v>
      </c>
      <c r="P44" s="17">
        <v>649350.0</v>
      </c>
      <c r="Q44" s="69"/>
      <c r="R44" s="69"/>
      <c r="S44" s="69"/>
      <c r="T44" s="69"/>
      <c r="U44" s="69"/>
      <c r="V44" s="69"/>
      <c r="W44" s="69"/>
      <c r="X44" s="69"/>
      <c r="Y44" s="69"/>
      <c r="Z44" s="69"/>
    </row>
    <row r="45">
      <c r="A45" s="70" t="s">
        <v>81</v>
      </c>
      <c r="B45" s="71">
        <v>506.0</v>
      </c>
      <c r="C45" s="8">
        <v>1169.5</v>
      </c>
      <c r="D45" s="40">
        <f t="shared" si="4"/>
        <v>506</v>
      </c>
      <c r="E45" s="40">
        <f t="shared" si="5"/>
        <v>591767</v>
      </c>
      <c r="F45" s="40">
        <f>IFERROR(__xludf.DUMMYFUNCTION("GOOGLEFINANCE(CONCAT(""NSE:"",A45))"),1944.7)</f>
        <v>1944.7</v>
      </c>
      <c r="G45" s="40">
        <f t="shared" si="6"/>
        <v>984018.2</v>
      </c>
      <c r="H45" s="72">
        <f t="shared" si="7"/>
        <v>0.6628473707</v>
      </c>
      <c r="I45" s="1" t="s">
        <v>199</v>
      </c>
      <c r="J45" s="1" t="s">
        <v>214</v>
      </c>
      <c r="K45" s="1" t="s">
        <v>315</v>
      </c>
      <c r="L45" s="68" t="s">
        <v>238</v>
      </c>
      <c r="M45" s="1" t="s">
        <v>316</v>
      </c>
      <c r="N45" s="17">
        <v>179.0</v>
      </c>
      <c r="O45" s="17">
        <v>4428.8</v>
      </c>
      <c r="P45" s="17">
        <v>792755.2</v>
      </c>
      <c r="Q45" s="69"/>
      <c r="R45" s="69"/>
      <c r="S45" s="69"/>
      <c r="T45" s="69"/>
      <c r="U45" s="69"/>
      <c r="V45" s="69"/>
      <c r="W45" s="69"/>
      <c r="X45" s="69"/>
      <c r="Y45" s="69"/>
      <c r="Z45" s="69"/>
    </row>
    <row r="46">
      <c r="A46" s="70" t="s">
        <v>86</v>
      </c>
      <c r="B46" s="71">
        <v>327.0</v>
      </c>
      <c r="C46" s="8">
        <v>2903.52</v>
      </c>
      <c r="D46" s="40">
        <f t="shared" si="4"/>
        <v>327</v>
      </c>
      <c r="E46" s="40">
        <f t="shared" si="5"/>
        <v>949451.04</v>
      </c>
      <c r="F46" s="40">
        <f>IFERROR(__xludf.DUMMYFUNCTION("GOOGLEFINANCE(CONCAT(""NSE:"",A46))"),3290.8)</f>
        <v>3290.8</v>
      </c>
      <c r="G46" s="40">
        <f t="shared" si="6"/>
        <v>1076091.6</v>
      </c>
      <c r="H46" s="72">
        <f t="shared" si="7"/>
        <v>0.1333829283</v>
      </c>
      <c r="I46" s="1" t="s">
        <v>199</v>
      </c>
      <c r="J46" s="1" t="s">
        <v>214</v>
      </c>
      <c r="K46" s="1" t="s">
        <v>236</v>
      </c>
      <c r="L46" s="68" t="s">
        <v>67</v>
      </c>
      <c r="M46" s="1" t="s">
        <v>237</v>
      </c>
      <c r="N46" s="17">
        <v>46.0</v>
      </c>
      <c r="O46" s="17">
        <v>18494.0</v>
      </c>
      <c r="P46" s="17">
        <v>850724.0</v>
      </c>
      <c r="Q46" s="69"/>
      <c r="R46" s="69"/>
      <c r="S46" s="69"/>
      <c r="T46" s="69"/>
      <c r="U46" s="69"/>
      <c r="V46" s="69"/>
      <c r="W46" s="69"/>
      <c r="X46" s="69"/>
      <c r="Y46" s="69"/>
      <c r="Z46" s="69"/>
    </row>
    <row r="47">
      <c r="A47" s="70" t="s">
        <v>11</v>
      </c>
      <c r="B47" s="71">
        <v>271.0</v>
      </c>
      <c r="C47" s="8">
        <v>4071.3</v>
      </c>
      <c r="D47" s="40">
        <f t="shared" si="4"/>
        <v>271</v>
      </c>
      <c r="E47" s="40">
        <f t="shared" si="5"/>
        <v>1103322.3</v>
      </c>
      <c r="F47" s="40">
        <f>IFERROR(__xludf.DUMMYFUNCTION("GOOGLEFINANCE(CONCAT(""NSE:"",A47))"),4576.0)</f>
        <v>4576</v>
      </c>
      <c r="G47" s="40">
        <f t="shared" si="6"/>
        <v>1240096</v>
      </c>
      <c r="H47" s="72">
        <f t="shared" si="7"/>
        <v>0.1239653182</v>
      </c>
      <c r="I47" s="1" t="s">
        <v>199</v>
      </c>
      <c r="J47" s="1" t="s">
        <v>214</v>
      </c>
      <c r="K47" s="1" t="s">
        <v>239</v>
      </c>
      <c r="L47" s="68" t="s">
        <v>197</v>
      </c>
      <c r="M47" s="68" t="s">
        <v>240</v>
      </c>
      <c r="N47" s="17">
        <v>793.0</v>
      </c>
      <c r="O47" s="17">
        <v>1527.4</v>
      </c>
      <c r="P47" s="17">
        <v>1211228.0</v>
      </c>
      <c r="Q47" s="69"/>
      <c r="R47" s="69"/>
      <c r="S47" s="69"/>
      <c r="T47" s="69"/>
      <c r="U47" s="69"/>
      <c r="V47" s="69"/>
      <c r="W47" s="69"/>
      <c r="X47" s="69"/>
      <c r="Y47" s="69"/>
      <c r="Z47" s="69"/>
    </row>
    <row r="48">
      <c r="A48" s="70" t="s">
        <v>15</v>
      </c>
      <c r="B48" s="71">
        <v>28.0</v>
      </c>
      <c r="C48" s="8">
        <v>34025.0</v>
      </c>
      <c r="D48" s="40">
        <f t="shared" si="4"/>
        <v>28</v>
      </c>
      <c r="E48" s="40">
        <f t="shared" si="5"/>
        <v>952700</v>
      </c>
      <c r="F48" s="40">
        <f>IFERROR(__xludf.DUMMYFUNCTION("GOOGLEFINANCE(CONCAT(""NSE:"",A48))"),30810.0)</f>
        <v>30810</v>
      </c>
      <c r="G48" s="40">
        <f t="shared" si="6"/>
        <v>862680</v>
      </c>
      <c r="H48" s="72">
        <f t="shared" si="7"/>
        <v>-0.09448934607</v>
      </c>
      <c r="I48" s="1" t="s">
        <v>199</v>
      </c>
      <c r="J48" s="1" t="s">
        <v>214</v>
      </c>
      <c r="K48" s="1" t="s">
        <v>317</v>
      </c>
      <c r="L48" s="68" t="s">
        <v>292</v>
      </c>
      <c r="M48" s="68"/>
      <c r="N48" s="17">
        <v>884.0</v>
      </c>
      <c r="O48" s="17">
        <v>627.6</v>
      </c>
      <c r="P48" s="17">
        <v>554798.4</v>
      </c>
      <c r="Q48" s="69"/>
      <c r="R48" s="69"/>
      <c r="S48" s="69"/>
      <c r="T48" s="69"/>
      <c r="U48" s="69"/>
      <c r="V48" s="69"/>
      <c r="W48" s="69"/>
      <c r="X48" s="69"/>
      <c r="Y48" s="69"/>
      <c r="Z48" s="69"/>
    </row>
    <row r="49">
      <c r="A49" s="70" t="s">
        <v>291</v>
      </c>
      <c r="B49" s="71">
        <v>1167.0</v>
      </c>
      <c r="C49" s="8">
        <v>540.23</v>
      </c>
      <c r="D49" s="40">
        <f t="shared" si="4"/>
        <v>1167</v>
      </c>
      <c r="E49" s="40">
        <f t="shared" si="5"/>
        <v>630448.41</v>
      </c>
      <c r="F49" s="40">
        <f>IFERROR(__xludf.DUMMYFUNCTION("GOOGLEFINANCE(CONCAT(""NSE:"",A49))"),647.1)</f>
        <v>647.1</v>
      </c>
      <c r="G49" s="40">
        <f t="shared" si="6"/>
        <v>755165.7</v>
      </c>
      <c r="H49" s="72">
        <f t="shared" si="7"/>
        <v>0.1978231494</v>
      </c>
      <c r="I49" s="1" t="s">
        <v>199</v>
      </c>
      <c r="J49" s="1" t="s">
        <v>214</v>
      </c>
      <c r="K49" s="1" t="s">
        <v>133</v>
      </c>
      <c r="L49" s="68" t="s">
        <v>59</v>
      </c>
      <c r="M49" s="1" t="s">
        <v>134</v>
      </c>
      <c r="N49" s="17">
        <v>372.0</v>
      </c>
      <c r="O49" s="17">
        <v>1398.4</v>
      </c>
      <c r="P49" s="17">
        <v>520204.8</v>
      </c>
      <c r="Q49" s="69"/>
      <c r="R49" s="69"/>
      <c r="S49" s="69"/>
      <c r="T49" s="69"/>
      <c r="U49" s="69"/>
      <c r="V49" s="69"/>
      <c r="W49" s="69"/>
      <c r="X49" s="69"/>
      <c r="Y49" s="69"/>
      <c r="Z49" s="69"/>
    </row>
    <row r="50">
      <c r="A50" s="70" t="s">
        <v>108</v>
      </c>
      <c r="B50" s="71">
        <v>3368.0</v>
      </c>
      <c r="C50" s="8">
        <v>233.0</v>
      </c>
      <c r="D50" s="40">
        <f t="shared" si="4"/>
        <v>3368</v>
      </c>
      <c r="E50" s="40">
        <f t="shared" si="5"/>
        <v>784744</v>
      </c>
      <c r="F50" s="40">
        <f>IFERROR(__xludf.DUMMYFUNCTION("GOOGLEFINANCE(CONCAT(""NSE:"",A50))"),203.99)</f>
        <v>203.99</v>
      </c>
      <c r="G50" s="40">
        <f t="shared" si="6"/>
        <v>687038.32</v>
      </c>
      <c r="H50" s="72">
        <f t="shared" si="7"/>
        <v>-0.1245064378</v>
      </c>
      <c r="I50" s="1" t="s">
        <v>199</v>
      </c>
      <c r="J50" s="1" t="s">
        <v>214</v>
      </c>
      <c r="K50" s="1" t="s">
        <v>241</v>
      </c>
      <c r="L50" s="68" t="s">
        <v>109</v>
      </c>
      <c r="M50" s="1" t="s">
        <v>242</v>
      </c>
      <c r="N50" s="17">
        <v>1413.0</v>
      </c>
      <c r="O50" s="17">
        <v>561.0</v>
      </c>
      <c r="P50" s="17">
        <v>792693.0</v>
      </c>
      <c r="Q50" s="69"/>
      <c r="R50" s="69"/>
      <c r="S50" s="69"/>
      <c r="T50" s="69"/>
      <c r="U50" s="69"/>
      <c r="V50" s="69"/>
      <c r="W50" s="69"/>
      <c r="X50" s="69"/>
      <c r="Y50" s="69"/>
      <c r="Z50" s="69"/>
    </row>
    <row r="51">
      <c r="A51" s="70" t="s">
        <v>213</v>
      </c>
      <c r="B51" s="71">
        <v>72.0</v>
      </c>
      <c r="C51" s="8">
        <v>12685.0</v>
      </c>
      <c r="D51" s="40">
        <f t="shared" si="4"/>
        <v>72</v>
      </c>
      <c r="E51" s="40">
        <f t="shared" si="5"/>
        <v>913320</v>
      </c>
      <c r="F51" s="40">
        <f>IFERROR(__xludf.DUMMYFUNCTION("GOOGLEFINANCE(CONCAT(""NSE:"",A51))"),17308.0)</f>
        <v>17308</v>
      </c>
      <c r="G51" s="40">
        <f t="shared" si="6"/>
        <v>1246176</v>
      </c>
      <c r="H51" s="72">
        <f t="shared" si="7"/>
        <v>0.3644461963</v>
      </c>
      <c r="I51" s="1" t="s">
        <v>199</v>
      </c>
      <c r="J51" s="1" t="s">
        <v>214</v>
      </c>
      <c r="K51" s="1" t="s">
        <v>135</v>
      </c>
      <c r="L51" s="68" t="s">
        <v>58</v>
      </c>
      <c r="M51" s="1" t="s">
        <v>136</v>
      </c>
      <c r="N51" s="17">
        <v>1909.0</v>
      </c>
      <c r="O51" s="17">
        <v>244.37</v>
      </c>
      <c r="P51" s="17">
        <v>466502.3</v>
      </c>
      <c r="Q51" s="69"/>
      <c r="R51" s="69"/>
      <c r="S51" s="69"/>
      <c r="T51" s="69"/>
      <c r="U51" s="69"/>
      <c r="V51" s="69"/>
      <c r="W51" s="69"/>
      <c r="X51" s="69"/>
      <c r="Y51" s="69"/>
      <c r="Z51" s="69"/>
    </row>
    <row r="52">
      <c r="A52" s="70" t="s">
        <v>99</v>
      </c>
      <c r="B52" s="71">
        <v>621.0</v>
      </c>
      <c r="C52" s="8">
        <v>1167.4</v>
      </c>
      <c r="D52" s="40">
        <f t="shared" si="4"/>
        <v>621</v>
      </c>
      <c r="E52" s="40">
        <f t="shared" si="5"/>
        <v>724955.4</v>
      </c>
      <c r="F52" s="40">
        <f>IFERROR(__xludf.DUMMYFUNCTION("GOOGLEFINANCE(CONCAT(""NSE:"",A52))"),1065.3)</f>
        <v>1065.3</v>
      </c>
      <c r="G52" s="40">
        <f t="shared" si="6"/>
        <v>661551.3</v>
      </c>
      <c r="H52" s="72">
        <f t="shared" si="7"/>
        <v>-0.08745931129</v>
      </c>
      <c r="I52" s="1" t="s">
        <v>199</v>
      </c>
      <c r="J52" s="1" t="s">
        <v>214</v>
      </c>
      <c r="K52" s="1" t="s">
        <v>318</v>
      </c>
      <c r="L52" s="68" t="s">
        <v>60</v>
      </c>
      <c r="M52" s="1" t="s">
        <v>319</v>
      </c>
      <c r="N52" s="17">
        <v>217.0</v>
      </c>
      <c r="O52" s="17">
        <v>2582.7</v>
      </c>
      <c r="P52" s="17">
        <v>560445.9</v>
      </c>
      <c r="Q52" s="69"/>
      <c r="R52" s="69"/>
      <c r="S52" s="69"/>
      <c r="T52" s="69"/>
      <c r="U52" s="69"/>
      <c r="V52" s="69"/>
      <c r="W52" s="69"/>
      <c r="X52" s="69"/>
      <c r="Y52" s="69"/>
      <c r="Z52" s="69"/>
    </row>
    <row r="53">
      <c r="A53" s="70" t="s">
        <v>118</v>
      </c>
      <c r="B53" s="71">
        <v>117.0</v>
      </c>
      <c r="C53" s="8">
        <v>5252.48</v>
      </c>
      <c r="D53" s="40">
        <f t="shared" si="4"/>
        <v>117</v>
      </c>
      <c r="E53" s="40">
        <f t="shared" si="5"/>
        <v>614540.16</v>
      </c>
      <c r="F53" s="40">
        <f>IFERROR(__xludf.DUMMYFUNCTION("GOOGLEFINANCE(CONCAT(""NSE:"",A53))"),5003.0)</f>
        <v>5003</v>
      </c>
      <c r="G53" s="40">
        <f t="shared" si="6"/>
        <v>585351</v>
      </c>
      <c r="H53" s="72">
        <f t="shared" si="7"/>
        <v>-0.04749756306</v>
      </c>
      <c r="I53" s="1" t="s">
        <v>199</v>
      </c>
      <c r="J53" s="1" t="s">
        <v>214</v>
      </c>
      <c r="K53" s="1" t="s">
        <v>243</v>
      </c>
      <c r="L53" s="68" t="s">
        <v>9</v>
      </c>
      <c r="M53" s="1" t="s">
        <v>245</v>
      </c>
      <c r="N53" s="17">
        <v>236.0</v>
      </c>
      <c r="O53" s="17">
        <v>4370.0</v>
      </c>
      <c r="P53" s="17">
        <v>1031320.0</v>
      </c>
      <c r="Q53" s="69"/>
      <c r="R53" s="69"/>
      <c r="S53" s="69"/>
      <c r="T53" s="69"/>
      <c r="U53" s="69"/>
      <c r="V53" s="69"/>
      <c r="W53" s="69"/>
      <c r="X53" s="69"/>
      <c r="Y53" s="69"/>
      <c r="Z53" s="69"/>
    </row>
    <row r="54">
      <c r="A54" s="70" t="s">
        <v>238</v>
      </c>
      <c r="B54" s="71">
        <v>179.0</v>
      </c>
      <c r="C54" s="8">
        <v>4131.13</v>
      </c>
      <c r="D54" s="40">
        <f t="shared" si="4"/>
        <v>179</v>
      </c>
      <c r="E54" s="40">
        <f t="shared" si="5"/>
        <v>739472.27</v>
      </c>
      <c r="F54" s="40">
        <f>IFERROR(__xludf.DUMMYFUNCTION("GOOGLEFINANCE(CONCAT(""NSE:"",A54))"),4397.0)</f>
        <v>4397</v>
      </c>
      <c r="G54" s="40">
        <f t="shared" si="6"/>
        <v>787063</v>
      </c>
      <c r="H54" s="72">
        <f t="shared" si="7"/>
        <v>0.0643576939</v>
      </c>
      <c r="I54" s="1" t="s">
        <v>199</v>
      </c>
      <c r="J54" s="1" t="s">
        <v>214</v>
      </c>
      <c r="K54" s="1" t="s">
        <v>320</v>
      </c>
      <c r="L54" s="68" t="s">
        <v>293</v>
      </c>
      <c r="M54" s="1" t="s">
        <v>321</v>
      </c>
      <c r="N54" s="17">
        <v>786.0</v>
      </c>
      <c r="O54" s="17">
        <v>739.2</v>
      </c>
      <c r="P54" s="17">
        <v>581011.2</v>
      </c>
      <c r="Q54" s="69"/>
      <c r="R54" s="69"/>
      <c r="S54" s="69"/>
      <c r="T54" s="69"/>
      <c r="U54" s="69"/>
      <c r="V54" s="69"/>
      <c r="W54" s="69"/>
      <c r="X54" s="69"/>
      <c r="Y54" s="69"/>
      <c r="Z54" s="69"/>
    </row>
    <row r="55">
      <c r="A55" s="70" t="s">
        <v>197</v>
      </c>
      <c r="B55" s="71">
        <v>793.0</v>
      </c>
      <c r="C55" s="8">
        <v>1045.4</v>
      </c>
      <c r="D55" s="40">
        <f t="shared" si="4"/>
        <v>793</v>
      </c>
      <c r="E55" s="40">
        <f t="shared" si="5"/>
        <v>829002.2</v>
      </c>
      <c r="F55" s="40">
        <f>IFERROR(__xludf.DUMMYFUNCTION("GOOGLEFINANCE(CONCAT(""NSE:"",A55))"),1287.7)</f>
        <v>1287.7</v>
      </c>
      <c r="G55" s="40">
        <f t="shared" si="6"/>
        <v>1021146.1</v>
      </c>
      <c r="H55" s="72">
        <f t="shared" si="7"/>
        <v>0.2317773101</v>
      </c>
      <c r="I55" s="1" t="s">
        <v>199</v>
      </c>
      <c r="J55" s="1" t="s">
        <v>214</v>
      </c>
      <c r="K55" s="1" t="s">
        <v>248</v>
      </c>
      <c r="L55" s="68" t="s">
        <v>111</v>
      </c>
      <c r="M55" s="1" t="s">
        <v>249</v>
      </c>
      <c r="N55" s="17">
        <v>1921.0</v>
      </c>
      <c r="O55" s="17">
        <v>495.05</v>
      </c>
      <c r="P55" s="17">
        <v>950991.1</v>
      </c>
      <c r="Q55" s="69"/>
      <c r="R55" s="69"/>
      <c r="S55" s="69"/>
      <c r="T55" s="69"/>
      <c r="U55" s="69"/>
      <c r="V55" s="69"/>
      <c r="W55" s="69"/>
      <c r="X55" s="69"/>
      <c r="Y55" s="69"/>
      <c r="Z55" s="69"/>
    </row>
    <row r="56">
      <c r="A56" s="70" t="s">
        <v>292</v>
      </c>
      <c r="B56" s="71">
        <v>884.0</v>
      </c>
      <c r="C56" s="8">
        <v>879.54</v>
      </c>
      <c r="D56" s="40">
        <f t="shared" si="4"/>
        <v>884</v>
      </c>
      <c r="E56" s="40">
        <f t="shared" si="5"/>
        <v>777513.36</v>
      </c>
      <c r="F56" s="40">
        <f>IFERROR(__xludf.DUMMYFUNCTION("GOOGLEFINANCE(CONCAT(""NSE:"",A56))"),534.15)</f>
        <v>534.15</v>
      </c>
      <c r="G56" s="40">
        <f t="shared" si="6"/>
        <v>472188.6</v>
      </c>
      <c r="H56" s="72">
        <f t="shared" si="7"/>
        <v>-0.3926939082</v>
      </c>
      <c r="I56" s="1" t="s">
        <v>199</v>
      </c>
      <c r="J56" s="1" t="s">
        <v>214</v>
      </c>
      <c r="K56" s="1" t="s">
        <v>253</v>
      </c>
      <c r="L56" s="68" t="s">
        <v>198</v>
      </c>
      <c r="M56" s="1" t="s">
        <v>254</v>
      </c>
      <c r="N56" s="17">
        <v>526.0</v>
      </c>
      <c r="O56" s="17">
        <v>2225.2</v>
      </c>
      <c r="P56" s="17">
        <v>1170455.0</v>
      </c>
      <c r="Q56" s="69"/>
      <c r="R56" s="69"/>
      <c r="S56" s="69"/>
      <c r="T56" s="69"/>
      <c r="U56" s="69"/>
      <c r="V56" s="69"/>
      <c r="W56" s="69"/>
      <c r="X56" s="69"/>
      <c r="Y56" s="69"/>
      <c r="Z56" s="69"/>
    </row>
    <row r="57">
      <c r="A57" s="70" t="s">
        <v>59</v>
      </c>
      <c r="B57" s="71">
        <v>372.0</v>
      </c>
      <c r="C57" s="8">
        <v>1526.7</v>
      </c>
      <c r="D57" s="40">
        <f t="shared" si="4"/>
        <v>372</v>
      </c>
      <c r="E57" s="40">
        <f t="shared" si="5"/>
        <v>567932.4</v>
      </c>
      <c r="F57" s="40">
        <f>IFERROR(__xludf.DUMMYFUNCTION("GOOGLEFINANCE(CONCAT(""NSE:"",A57))"),1405.4)</f>
        <v>1405.4</v>
      </c>
      <c r="G57" s="40">
        <f t="shared" si="6"/>
        <v>522808.8</v>
      </c>
      <c r="H57" s="72">
        <f t="shared" si="7"/>
        <v>-0.0794524137</v>
      </c>
      <c r="I57" s="1" t="s">
        <v>199</v>
      </c>
      <c r="J57" s="1" t="s">
        <v>214</v>
      </c>
      <c r="K57" s="1" t="s">
        <v>255</v>
      </c>
      <c r="L57" s="68" t="s">
        <v>81</v>
      </c>
      <c r="M57" s="1" t="s">
        <v>256</v>
      </c>
      <c r="N57" s="17">
        <v>506.0</v>
      </c>
      <c r="O57" s="17">
        <v>1811.4</v>
      </c>
      <c r="P57" s="17">
        <v>916568.4</v>
      </c>
      <c r="Q57" s="69"/>
      <c r="R57" s="69"/>
      <c r="S57" s="69"/>
      <c r="T57" s="69"/>
      <c r="U57" s="69"/>
      <c r="V57" s="69"/>
      <c r="W57" s="69"/>
      <c r="X57" s="69"/>
      <c r="Y57" s="69"/>
      <c r="Z57" s="69"/>
    </row>
    <row r="58">
      <c r="A58" s="70" t="s">
        <v>58</v>
      </c>
      <c r="B58" s="71">
        <v>1909.0</v>
      </c>
      <c r="C58" s="8">
        <v>302.55</v>
      </c>
      <c r="D58" s="40">
        <f t="shared" si="4"/>
        <v>1909</v>
      </c>
      <c r="E58" s="40">
        <f t="shared" si="5"/>
        <v>577567.95</v>
      </c>
      <c r="F58" s="40">
        <f>IFERROR(__xludf.DUMMYFUNCTION("GOOGLEFINANCE(CONCAT(""NSE:"",A58))"),238.04)</f>
        <v>238.04</v>
      </c>
      <c r="G58" s="40">
        <f t="shared" si="6"/>
        <v>454418.36</v>
      </c>
      <c r="H58" s="72">
        <f t="shared" si="7"/>
        <v>-0.2132209552</v>
      </c>
      <c r="I58" s="1" t="s">
        <v>199</v>
      </c>
      <c r="J58" s="1" t="s">
        <v>214</v>
      </c>
      <c r="K58" s="1" t="s">
        <v>260</v>
      </c>
      <c r="L58" s="68" t="s">
        <v>86</v>
      </c>
      <c r="M58" s="1" t="s">
        <v>261</v>
      </c>
      <c r="N58" s="17">
        <v>327.0</v>
      </c>
      <c r="O58" s="17">
        <v>2642.1</v>
      </c>
      <c r="P58" s="17">
        <v>863966.7</v>
      </c>
      <c r="Q58" s="69"/>
      <c r="R58" s="69"/>
      <c r="S58" s="69"/>
      <c r="T58" s="69"/>
      <c r="U58" s="69"/>
      <c r="V58" s="69"/>
      <c r="W58" s="69"/>
      <c r="X58" s="69"/>
      <c r="Y58" s="69"/>
      <c r="Z58" s="69"/>
    </row>
    <row r="59">
      <c r="A59" s="70" t="s">
        <v>293</v>
      </c>
      <c r="B59" s="71">
        <v>786.0</v>
      </c>
      <c r="C59" s="8">
        <v>798.0</v>
      </c>
      <c r="D59" s="40">
        <f t="shared" si="4"/>
        <v>786</v>
      </c>
      <c r="E59" s="40">
        <f t="shared" si="5"/>
        <v>627228</v>
      </c>
      <c r="F59" s="40">
        <f>IFERROR(__xludf.DUMMYFUNCTION("GOOGLEFINANCE(CONCAT(""NSE:"",A59))"),749.35)</f>
        <v>749.35</v>
      </c>
      <c r="G59" s="40">
        <f t="shared" si="6"/>
        <v>588989.1</v>
      </c>
      <c r="H59" s="72">
        <f t="shared" si="7"/>
        <v>-0.06096491228</v>
      </c>
      <c r="I59" s="1" t="s">
        <v>199</v>
      </c>
      <c r="J59" s="1" t="s">
        <v>214</v>
      </c>
      <c r="K59" s="1" t="s">
        <v>156</v>
      </c>
      <c r="L59" s="68" t="s">
        <v>28</v>
      </c>
      <c r="M59" s="1" t="s">
        <v>157</v>
      </c>
      <c r="N59" s="17">
        <v>2278.0</v>
      </c>
      <c r="O59" s="17">
        <v>369.0</v>
      </c>
      <c r="P59" s="17">
        <v>840582.0</v>
      </c>
      <c r="Q59" s="69"/>
      <c r="R59" s="69"/>
      <c r="S59" s="69"/>
      <c r="T59" s="69"/>
      <c r="U59" s="69"/>
      <c r="V59" s="69"/>
      <c r="W59" s="69"/>
      <c r="X59" s="69"/>
      <c r="Y59" s="69"/>
      <c r="Z59" s="69"/>
    </row>
    <row r="60">
      <c r="A60" s="70" t="s">
        <v>198</v>
      </c>
      <c r="B60" s="71">
        <v>526.0</v>
      </c>
      <c r="C60" s="8">
        <v>1736.57</v>
      </c>
      <c r="D60" s="40">
        <f t="shared" si="4"/>
        <v>526</v>
      </c>
      <c r="E60" s="40">
        <f t="shared" si="5"/>
        <v>913435.82</v>
      </c>
      <c r="F60" s="40">
        <f>IFERROR(__xludf.DUMMYFUNCTION("GOOGLEFINANCE(CONCAT(""NSE:"",A60))"),2125.3)</f>
        <v>2125.3</v>
      </c>
      <c r="G60" s="40">
        <f t="shared" si="6"/>
        <v>1117907.8</v>
      </c>
      <c r="H60" s="72">
        <f t="shared" si="7"/>
        <v>0.2238493121</v>
      </c>
      <c r="I60" s="1" t="s">
        <v>199</v>
      </c>
      <c r="J60" s="1" t="s">
        <v>214</v>
      </c>
      <c r="K60" s="1" t="s">
        <v>265</v>
      </c>
      <c r="L60" s="68" t="s">
        <v>11</v>
      </c>
      <c r="M60" s="1" t="s">
        <v>266</v>
      </c>
      <c r="N60" s="17">
        <v>271.0</v>
      </c>
      <c r="O60" s="17">
        <v>4586.0</v>
      </c>
      <c r="P60" s="17">
        <v>1242806.0</v>
      </c>
      <c r="Q60" s="69"/>
      <c r="R60" s="69"/>
      <c r="S60" s="69"/>
      <c r="T60" s="69"/>
      <c r="U60" s="69"/>
      <c r="V60" s="69"/>
      <c r="W60" s="69"/>
      <c r="X60" s="69"/>
      <c r="Y60" s="69"/>
      <c r="Z60" s="69"/>
    </row>
    <row r="61">
      <c r="A61" s="70" t="s">
        <v>28</v>
      </c>
      <c r="B61" s="71">
        <v>2278.0</v>
      </c>
      <c r="C61" s="8">
        <v>407.65</v>
      </c>
      <c r="D61" s="40">
        <f t="shared" si="4"/>
        <v>2278</v>
      </c>
      <c r="E61" s="40">
        <f t="shared" si="5"/>
        <v>928626.7</v>
      </c>
      <c r="F61" s="40">
        <f>IFERROR(__xludf.DUMMYFUNCTION("GOOGLEFINANCE(CONCAT(""NSE:"",A61))"),356.3)</f>
        <v>356.3</v>
      </c>
      <c r="G61" s="40">
        <f t="shared" si="6"/>
        <v>811651.4</v>
      </c>
      <c r="H61" s="72">
        <f t="shared" si="7"/>
        <v>-0.1259659021</v>
      </c>
      <c r="I61" s="1" t="s">
        <v>199</v>
      </c>
      <c r="J61" s="1" t="s">
        <v>214</v>
      </c>
      <c r="K61" s="1" t="s">
        <v>267</v>
      </c>
      <c r="L61" s="68" t="s">
        <v>15</v>
      </c>
      <c r="M61" s="1" t="s">
        <v>268</v>
      </c>
      <c r="N61" s="17">
        <v>28.0</v>
      </c>
      <c r="O61" s="17">
        <v>32000.0</v>
      </c>
      <c r="P61" s="17">
        <v>896000.0</v>
      </c>
      <c r="Q61" s="69"/>
      <c r="R61" s="69"/>
      <c r="S61" s="69"/>
      <c r="T61" s="69"/>
      <c r="U61" s="69"/>
      <c r="V61" s="69"/>
      <c r="W61" s="69"/>
      <c r="X61" s="69"/>
      <c r="Y61" s="69"/>
      <c r="Z61" s="69"/>
    </row>
    <row r="62">
      <c r="A62" s="70" t="s">
        <v>31</v>
      </c>
      <c r="B62" s="71">
        <v>647.0</v>
      </c>
      <c r="C62" s="8">
        <v>1347.9</v>
      </c>
      <c r="D62" s="40">
        <f t="shared" si="4"/>
        <v>647</v>
      </c>
      <c r="E62" s="40">
        <f t="shared" si="5"/>
        <v>872091.3</v>
      </c>
      <c r="F62" s="40">
        <f>IFERROR(__xludf.DUMMYFUNCTION("GOOGLEFINANCE(CONCAT(""NSE:"",A62))"),1193.0)</f>
        <v>1193</v>
      </c>
      <c r="G62" s="40">
        <f t="shared" si="6"/>
        <v>771871</v>
      </c>
      <c r="H62" s="72">
        <f t="shared" si="7"/>
        <v>-0.1149195044</v>
      </c>
      <c r="I62" s="1" t="s">
        <v>199</v>
      </c>
      <c r="J62" s="1" t="s">
        <v>214</v>
      </c>
      <c r="K62" s="1" t="s">
        <v>269</v>
      </c>
      <c r="L62" s="68" t="s">
        <v>31</v>
      </c>
      <c r="M62" s="1" t="s">
        <v>270</v>
      </c>
      <c r="N62" s="17">
        <v>647.0</v>
      </c>
      <c r="O62" s="17">
        <v>1346.1</v>
      </c>
      <c r="P62" s="17">
        <v>870926.7</v>
      </c>
      <c r="Q62" s="69"/>
      <c r="R62" s="69"/>
      <c r="S62" s="69"/>
      <c r="T62" s="69"/>
      <c r="U62" s="69"/>
      <c r="V62" s="69"/>
      <c r="W62" s="69"/>
      <c r="X62" s="69"/>
      <c r="Y62" s="69"/>
      <c r="Z62" s="69"/>
    </row>
    <row r="63">
      <c r="A63" s="70" t="s">
        <v>294</v>
      </c>
      <c r="B63" s="71">
        <v>2321.0</v>
      </c>
      <c r="C63" s="8">
        <v>326.5</v>
      </c>
      <c r="D63" s="40">
        <f t="shared" si="4"/>
        <v>2321</v>
      </c>
      <c r="E63" s="40">
        <f t="shared" si="5"/>
        <v>757806.5</v>
      </c>
      <c r="F63" s="40">
        <f>IFERROR(__xludf.DUMMYFUNCTION("GOOGLEFINANCE(CONCAT(""NSE:"",A63))"),268.05)</f>
        <v>268.05</v>
      </c>
      <c r="G63" s="40">
        <f t="shared" si="6"/>
        <v>622144.05</v>
      </c>
      <c r="H63" s="72">
        <f t="shared" si="7"/>
        <v>-0.1790199081</v>
      </c>
      <c r="I63" s="1" t="s">
        <v>199</v>
      </c>
      <c r="J63" s="1" t="s">
        <v>214</v>
      </c>
      <c r="K63" s="1" t="s">
        <v>322</v>
      </c>
      <c r="L63" s="68" t="s">
        <v>294</v>
      </c>
      <c r="M63" s="1" t="s">
        <v>323</v>
      </c>
      <c r="N63" s="17">
        <v>2321.0</v>
      </c>
      <c r="O63" s="17">
        <v>292.65</v>
      </c>
      <c r="P63" s="17">
        <v>679240.7</v>
      </c>
      <c r="Q63" s="69"/>
      <c r="R63" s="69"/>
      <c r="S63" s="69"/>
      <c r="T63" s="69"/>
      <c r="U63" s="69"/>
      <c r="V63" s="69"/>
      <c r="W63" s="69"/>
      <c r="X63" s="69"/>
      <c r="Y63" s="69"/>
      <c r="Z63" s="69"/>
    </row>
    <row r="64">
      <c r="A64" s="70" t="s">
        <v>91</v>
      </c>
      <c r="B64" s="71">
        <v>863.0</v>
      </c>
      <c r="C64" s="8">
        <v>1037.85</v>
      </c>
      <c r="D64" s="40">
        <f t="shared" si="4"/>
        <v>863</v>
      </c>
      <c r="E64" s="40">
        <f t="shared" si="5"/>
        <v>895664.55</v>
      </c>
      <c r="F64" s="40">
        <f>IFERROR(__xludf.DUMMYFUNCTION("GOOGLEFINANCE(CONCAT(""NSE:"",A64))"),1642.0)</f>
        <v>1642</v>
      </c>
      <c r="G64" s="40">
        <f t="shared" si="6"/>
        <v>1417046</v>
      </c>
      <c r="H64" s="72">
        <f t="shared" si="7"/>
        <v>0.5821168762</v>
      </c>
      <c r="I64" s="1" t="s">
        <v>199</v>
      </c>
      <c r="J64" s="1" t="s">
        <v>214</v>
      </c>
      <c r="K64" s="1" t="s">
        <v>271</v>
      </c>
      <c r="L64" s="68" t="s">
        <v>91</v>
      </c>
      <c r="M64" s="1" t="s">
        <v>272</v>
      </c>
      <c r="N64" s="17">
        <v>863.0</v>
      </c>
      <c r="O64" s="17">
        <v>1360.6</v>
      </c>
      <c r="P64" s="17">
        <v>1174198.0</v>
      </c>
      <c r="Q64" s="69"/>
      <c r="R64" s="69"/>
      <c r="S64" s="69"/>
      <c r="T64" s="69"/>
      <c r="U64" s="69"/>
      <c r="V64" s="69"/>
      <c r="W64" s="69"/>
      <c r="X64" s="69"/>
      <c r="Y64" s="69"/>
      <c r="Z64" s="69"/>
    </row>
    <row r="65">
      <c r="A65" s="70" t="s">
        <v>273</v>
      </c>
      <c r="B65" s="71">
        <v>463.0</v>
      </c>
      <c r="C65" s="8">
        <v>1240.4</v>
      </c>
      <c r="D65" s="40">
        <f t="shared" si="4"/>
        <v>463</v>
      </c>
      <c r="E65" s="40">
        <f t="shared" si="5"/>
        <v>574305.2</v>
      </c>
      <c r="F65" s="40">
        <f>IFERROR(__xludf.DUMMYFUNCTION("GOOGLEFINANCE(CONCAT(""NSE:"",A65))"),2491.5)</f>
        <v>2491.5</v>
      </c>
      <c r="G65" s="40">
        <f t="shared" si="6"/>
        <v>1153564.5</v>
      </c>
      <c r="H65" s="72">
        <f t="shared" si="7"/>
        <v>1.00862625</v>
      </c>
      <c r="I65" s="1" t="s">
        <v>199</v>
      </c>
      <c r="J65" s="1" t="s">
        <v>214</v>
      </c>
      <c r="K65" s="1" t="s">
        <v>324</v>
      </c>
      <c r="L65" s="68" t="s">
        <v>273</v>
      </c>
      <c r="M65" s="1" t="s">
        <v>325</v>
      </c>
      <c r="N65" s="17">
        <v>463.0</v>
      </c>
      <c r="O65" s="17">
        <v>1715.3</v>
      </c>
      <c r="P65" s="17">
        <v>794183.9</v>
      </c>
      <c r="Q65" s="69"/>
      <c r="R65" s="69"/>
      <c r="S65" s="69"/>
      <c r="T65" s="69"/>
      <c r="U65" s="69"/>
      <c r="V65" s="69"/>
      <c r="W65" s="69"/>
      <c r="X65" s="69"/>
      <c r="Y65" s="69"/>
      <c r="Z65" s="69"/>
    </row>
    <row r="66">
      <c r="A66" s="75"/>
      <c r="B66" s="75"/>
      <c r="C66" s="75"/>
      <c r="D66" s="40"/>
      <c r="E66" s="40"/>
      <c r="F66" s="40"/>
      <c r="G66" s="40"/>
      <c r="H66" s="40"/>
      <c r="I66" s="76"/>
      <c r="J66" s="77"/>
      <c r="K66" s="78"/>
      <c r="L66" s="79"/>
      <c r="M66" s="78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</row>
    <row r="67">
      <c r="A67" s="66">
        <v>46057.0</v>
      </c>
      <c r="B67" s="67" t="s">
        <v>307</v>
      </c>
      <c r="C67" s="67" t="s">
        <v>308</v>
      </c>
      <c r="D67" s="40" t="s">
        <v>302</v>
      </c>
      <c r="E67" s="40" t="s">
        <v>303</v>
      </c>
      <c r="F67" s="40" t="s">
        <v>304</v>
      </c>
      <c r="G67" s="40" t="s">
        <v>305</v>
      </c>
      <c r="H67" s="40" t="s">
        <v>306</v>
      </c>
      <c r="I67" s="76"/>
      <c r="J67" s="77"/>
      <c r="K67" s="78"/>
      <c r="L67" s="79"/>
      <c r="M67" s="78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</row>
    <row r="68">
      <c r="A68" s="70" t="s">
        <v>34</v>
      </c>
      <c r="B68" s="80">
        <v>204.0</v>
      </c>
      <c r="C68" s="80">
        <v>2946.7</v>
      </c>
      <c r="D68" s="76">
        <f t="shared" ref="D68:D97" si="8">B68</f>
        <v>204</v>
      </c>
      <c r="E68" s="81">
        <f t="shared" ref="E68:E97" si="9">B68*C68</f>
        <v>601126.8</v>
      </c>
      <c r="F68" s="81">
        <f>IFERROR(__xludf.DUMMYFUNCTION("GOOGLEFINANCE(CONCAT(""NSE:"",A68))"),2211.9)</f>
        <v>2211.9</v>
      </c>
      <c r="G68" s="77">
        <f t="shared" ref="G68:G97" si="10">D68*F68</f>
        <v>451227.6</v>
      </c>
      <c r="H68" s="83">
        <f t="shared" ref="H68:H97" si="11">(G68-E68)/E68</f>
        <v>-0.249363695</v>
      </c>
      <c r="I68" s="76"/>
      <c r="J68" s="1" t="s">
        <v>37</v>
      </c>
      <c r="K68" s="1" t="s">
        <v>216</v>
      </c>
      <c r="L68" s="82">
        <v>2115.0</v>
      </c>
      <c r="M68" s="17">
        <v>348.45</v>
      </c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</row>
    <row r="69">
      <c r="A69" s="70" t="s">
        <v>46</v>
      </c>
      <c r="B69" s="80">
        <v>193.0</v>
      </c>
      <c r="C69" s="80">
        <v>2852.4</v>
      </c>
      <c r="D69" s="76">
        <f t="shared" si="8"/>
        <v>193</v>
      </c>
      <c r="E69" s="81">
        <f t="shared" si="9"/>
        <v>550513.2</v>
      </c>
      <c r="F69" s="81">
        <f>IFERROR(__xludf.DUMMYFUNCTION("GOOGLEFINANCE(CONCAT(""NSE:"",A69))"),3271.6)</f>
        <v>3271.6</v>
      </c>
      <c r="G69" s="77">
        <f t="shared" si="10"/>
        <v>631418.8</v>
      </c>
      <c r="H69" s="83">
        <f t="shared" si="11"/>
        <v>0.1469639602</v>
      </c>
      <c r="I69" s="76"/>
      <c r="J69" s="1" t="s">
        <v>34</v>
      </c>
      <c r="K69" s="1" t="s">
        <v>223</v>
      </c>
      <c r="L69" s="82">
        <v>204.0</v>
      </c>
      <c r="M69" s="17">
        <v>3586.5</v>
      </c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</row>
    <row r="70">
      <c r="A70" s="70" t="s">
        <v>52</v>
      </c>
      <c r="B70" s="80">
        <v>115.0</v>
      </c>
      <c r="C70" s="80">
        <v>4461.92</v>
      </c>
      <c r="D70" s="76">
        <f t="shared" si="8"/>
        <v>115</v>
      </c>
      <c r="E70" s="81">
        <f t="shared" si="9"/>
        <v>513120.8</v>
      </c>
      <c r="F70" s="81">
        <f>IFERROR(__xludf.DUMMYFUNCTION("GOOGLEFINANCE(CONCAT(""NSE:"",A70))"),1993.1)</f>
        <v>1993.1</v>
      </c>
      <c r="G70" s="77">
        <f t="shared" si="10"/>
        <v>229206.5</v>
      </c>
      <c r="H70" s="83">
        <f t="shared" si="11"/>
        <v>-0.5533088894</v>
      </c>
      <c r="I70" s="76"/>
      <c r="J70" s="1" t="s">
        <v>93</v>
      </c>
      <c r="K70" s="1" t="s">
        <v>326</v>
      </c>
      <c r="L70" s="82">
        <v>584.0</v>
      </c>
      <c r="M70" s="17">
        <v>850.6</v>
      </c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</row>
    <row r="71">
      <c r="A71" s="70" t="s">
        <v>60</v>
      </c>
      <c r="B71" s="80">
        <v>322.0</v>
      </c>
      <c r="C71" s="80">
        <v>2440.3</v>
      </c>
      <c r="D71" s="76">
        <f t="shared" si="8"/>
        <v>322</v>
      </c>
      <c r="E71" s="81">
        <f t="shared" si="9"/>
        <v>785776.6</v>
      </c>
      <c r="F71" s="81">
        <f>IFERROR(__xludf.DUMMYFUNCTION("GOOGLEFINANCE(CONCAT(""NSE:"",A71))"),2337.0)</f>
        <v>2337</v>
      </c>
      <c r="G71" s="77">
        <f t="shared" si="10"/>
        <v>752514</v>
      </c>
      <c r="H71" s="83">
        <f t="shared" si="11"/>
        <v>-0.04233086096</v>
      </c>
      <c r="I71" s="76"/>
      <c r="J71" s="1" t="s">
        <v>51</v>
      </c>
      <c r="K71" s="1" t="s">
        <v>327</v>
      </c>
      <c r="L71" s="82">
        <v>4011.0</v>
      </c>
      <c r="M71" s="17">
        <v>165.73</v>
      </c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</row>
    <row r="72">
      <c r="A72" s="70" t="s">
        <v>9</v>
      </c>
      <c r="B72" s="80">
        <v>253.0</v>
      </c>
      <c r="C72" s="80">
        <v>3521.2</v>
      </c>
      <c r="D72" s="76">
        <f t="shared" si="8"/>
        <v>253</v>
      </c>
      <c r="E72" s="81">
        <f t="shared" si="9"/>
        <v>890863.6</v>
      </c>
      <c r="F72" s="81">
        <f>IFERROR(__xludf.DUMMYFUNCTION("GOOGLEFINANCE(CONCAT(""NSE:"",A72))"),4297.0)</f>
        <v>4297</v>
      </c>
      <c r="G72" s="77">
        <f t="shared" si="10"/>
        <v>1087141</v>
      </c>
      <c r="H72" s="83">
        <f t="shared" si="11"/>
        <v>0.2203226173</v>
      </c>
      <c r="I72" s="76"/>
      <c r="J72" s="1" t="s">
        <v>54</v>
      </c>
      <c r="K72" s="1" t="s">
        <v>328</v>
      </c>
      <c r="L72" s="82">
        <v>594.0</v>
      </c>
      <c r="M72" s="17">
        <v>1017.65</v>
      </c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</row>
    <row r="73">
      <c r="A73" s="70" t="s">
        <v>81</v>
      </c>
      <c r="B73" s="80">
        <v>581.0</v>
      </c>
      <c r="C73" s="80">
        <v>961.95</v>
      </c>
      <c r="D73" s="76">
        <f t="shared" si="8"/>
        <v>581</v>
      </c>
      <c r="E73" s="81">
        <f t="shared" si="9"/>
        <v>558892.95</v>
      </c>
      <c r="F73" s="81">
        <f>IFERROR(__xludf.DUMMYFUNCTION("GOOGLEFINANCE(CONCAT(""NSE:"",A73))"),1944.7)</f>
        <v>1944.7</v>
      </c>
      <c r="G73" s="77">
        <f t="shared" si="10"/>
        <v>1129870.7</v>
      </c>
      <c r="H73" s="83">
        <f t="shared" si="11"/>
        <v>1.021622745</v>
      </c>
      <c r="I73" s="76"/>
      <c r="J73" s="1" t="s">
        <v>57</v>
      </c>
      <c r="K73" s="1" t="s">
        <v>330</v>
      </c>
      <c r="L73" s="82">
        <v>1228.0</v>
      </c>
      <c r="M73" s="17">
        <v>437.55</v>
      </c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</row>
    <row r="74">
      <c r="A74" s="70" t="s">
        <v>82</v>
      </c>
      <c r="B74" s="80">
        <v>2408.0</v>
      </c>
      <c r="C74" s="80">
        <v>279.4</v>
      </c>
      <c r="D74" s="76">
        <f t="shared" si="8"/>
        <v>2408</v>
      </c>
      <c r="E74" s="81">
        <f t="shared" si="9"/>
        <v>672795.2</v>
      </c>
      <c r="F74" s="81">
        <f>IFERROR(__xludf.DUMMYFUNCTION("GOOGLEFINANCE(CONCAT(""NSE:"",A74))"),298.85)</f>
        <v>298.85</v>
      </c>
      <c r="G74" s="77">
        <f t="shared" si="10"/>
        <v>719630.8</v>
      </c>
      <c r="H74" s="83">
        <f t="shared" si="11"/>
        <v>0.06961345741</v>
      </c>
      <c r="I74" s="76"/>
      <c r="J74" s="1" t="s">
        <v>46</v>
      </c>
      <c r="K74" s="1" t="s">
        <v>230</v>
      </c>
      <c r="L74" s="82">
        <v>193.0</v>
      </c>
      <c r="M74" s="17">
        <v>3635.7</v>
      </c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</row>
    <row r="75">
      <c r="A75" s="70" t="s">
        <v>84</v>
      </c>
      <c r="B75" s="80">
        <v>163.0</v>
      </c>
      <c r="C75" s="80">
        <v>3583.61</v>
      </c>
      <c r="D75" s="76">
        <f t="shared" si="8"/>
        <v>163</v>
      </c>
      <c r="E75" s="81">
        <f t="shared" si="9"/>
        <v>584128.43</v>
      </c>
      <c r="F75" s="81">
        <f>IFERROR(__xludf.DUMMYFUNCTION("GOOGLEFINANCE(CONCAT(""NSE:"",A75))"),2752.2)</f>
        <v>2752.2</v>
      </c>
      <c r="G75" s="77">
        <f t="shared" si="10"/>
        <v>448608.6</v>
      </c>
      <c r="H75" s="83">
        <f t="shared" si="11"/>
        <v>-0.2320034825</v>
      </c>
      <c r="I75" s="76"/>
      <c r="J75" s="1" t="s">
        <v>62</v>
      </c>
      <c r="K75" s="1" t="s">
        <v>331</v>
      </c>
      <c r="L75" s="82">
        <v>3741.0</v>
      </c>
      <c r="M75" s="17">
        <v>137.06</v>
      </c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</row>
    <row r="76">
      <c r="A76" s="70" t="s">
        <v>88</v>
      </c>
      <c r="B76" s="80">
        <v>2350.0</v>
      </c>
      <c r="C76" s="80">
        <v>304.05</v>
      </c>
      <c r="D76" s="76">
        <f t="shared" si="8"/>
        <v>2350</v>
      </c>
      <c r="E76" s="81">
        <f t="shared" si="9"/>
        <v>714517.5</v>
      </c>
      <c r="F76" s="81">
        <f>IFERROR(__xludf.DUMMYFUNCTION("GOOGLEFINANCE(CONCAT(""NSE:"",A76))"),406.85)</f>
        <v>406.85</v>
      </c>
      <c r="G76" s="77">
        <f t="shared" si="10"/>
        <v>956097.5</v>
      </c>
      <c r="H76" s="83">
        <f t="shared" si="11"/>
        <v>0.3381022858</v>
      </c>
      <c r="I76" s="76"/>
      <c r="J76" s="1" t="s">
        <v>99</v>
      </c>
      <c r="K76" s="1" t="s">
        <v>314</v>
      </c>
      <c r="L76" s="82">
        <v>604.0</v>
      </c>
      <c r="M76" s="17">
        <v>1125.1</v>
      </c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</row>
    <row r="77">
      <c r="A77" s="70" t="s">
        <v>67</v>
      </c>
      <c r="B77" s="80">
        <v>77.0</v>
      </c>
      <c r="C77" s="80">
        <v>0.0</v>
      </c>
      <c r="D77" s="76">
        <f t="shared" si="8"/>
        <v>77</v>
      </c>
      <c r="E77" s="81">
        <f t="shared" si="9"/>
        <v>0</v>
      </c>
      <c r="F77" s="81">
        <f>IFERROR(__xludf.DUMMYFUNCTION("GOOGLEFINANCE(CONCAT(""NSE:"",A77))"),17516.0)</f>
        <v>17516</v>
      </c>
      <c r="G77" s="77">
        <f t="shared" si="10"/>
        <v>1348732</v>
      </c>
      <c r="H77" s="83" t="str">
        <f t="shared" si="11"/>
        <v>#DIV/0!</v>
      </c>
      <c r="I77" s="76"/>
      <c r="J77" s="1" t="s">
        <v>100</v>
      </c>
      <c r="K77" s="1" t="s">
        <v>232</v>
      </c>
      <c r="L77" s="82">
        <v>863.0</v>
      </c>
      <c r="M77" s="17">
        <v>1139.5</v>
      </c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</row>
    <row r="78">
      <c r="A78" s="70" t="s">
        <v>15</v>
      </c>
      <c r="B78" s="80">
        <v>37.0</v>
      </c>
      <c r="C78" s="80">
        <v>0.0</v>
      </c>
      <c r="D78" s="76">
        <f t="shared" si="8"/>
        <v>37</v>
      </c>
      <c r="E78" s="81">
        <f t="shared" si="9"/>
        <v>0</v>
      </c>
      <c r="F78" s="81">
        <f>IFERROR(__xludf.DUMMYFUNCTION("GOOGLEFINANCE(CONCAT(""NSE:"",A78))"),30810.0)</f>
        <v>30810</v>
      </c>
      <c r="G78" s="77">
        <f t="shared" si="10"/>
        <v>1139970</v>
      </c>
      <c r="H78" s="83" t="str">
        <f t="shared" si="11"/>
        <v>#DIV/0!</v>
      </c>
      <c r="I78" s="76"/>
      <c r="J78" s="1" t="s">
        <v>106</v>
      </c>
      <c r="K78" s="1" t="s">
        <v>332</v>
      </c>
      <c r="L78" s="82">
        <v>94.0</v>
      </c>
      <c r="M78" s="17">
        <v>7750.5</v>
      </c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</row>
    <row r="79">
      <c r="A79" s="70" t="s">
        <v>37</v>
      </c>
      <c r="B79" s="80">
        <v>2115.0</v>
      </c>
      <c r="C79" s="80">
        <v>341.35</v>
      </c>
      <c r="D79" s="76">
        <f t="shared" si="8"/>
        <v>2115</v>
      </c>
      <c r="E79" s="81">
        <f t="shared" si="9"/>
        <v>721955.25</v>
      </c>
      <c r="F79" s="81">
        <f>IFERROR(__xludf.DUMMYFUNCTION("GOOGLEFINANCE(CONCAT(""NSE:"",A79))"),386.35)</f>
        <v>386.35</v>
      </c>
      <c r="G79" s="77">
        <f t="shared" si="10"/>
        <v>817130.25</v>
      </c>
      <c r="H79" s="83">
        <f t="shared" si="11"/>
        <v>0.1318295005</v>
      </c>
      <c r="I79" s="76"/>
      <c r="J79" s="1" t="s">
        <v>107</v>
      </c>
      <c r="K79" s="1" t="s">
        <v>333</v>
      </c>
      <c r="L79" s="82">
        <v>2007.0</v>
      </c>
      <c r="M79" s="17">
        <v>277.37</v>
      </c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</row>
    <row r="80">
      <c r="A80" s="70" t="s">
        <v>93</v>
      </c>
      <c r="B80" s="80">
        <v>584.0</v>
      </c>
      <c r="C80" s="80">
        <v>948.19</v>
      </c>
      <c r="D80" s="76">
        <f t="shared" si="8"/>
        <v>584</v>
      </c>
      <c r="E80" s="81">
        <f t="shared" si="9"/>
        <v>553742.96</v>
      </c>
      <c r="F80" s="81">
        <f>IFERROR(__xludf.DUMMYFUNCTION("GOOGLEFINANCE(CONCAT(""NSE:"",A80))"),951.65)</f>
        <v>951.65</v>
      </c>
      <c r="G80" s="77">
        <f t="shared" si="10"/>
        <v>555763.6</v>
      </c>
      <c r="H80" s="83">
        <f t="shared" si="11"/>
        <v>0.003649057678</v>
      </c>
      <c r="I80" s="76"/>
      <c r="J80" s="1" t="s">
        <v>52</v>
      </c>
      <c r="K80" s="1" t="s">
        <v>334</v>
      </c>
      <c r="L80" s="82">
        <v>230.0</v>
      </c>
      <c r="M80" s="17">
        <v>1416.2</v>
      </c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</row>
    <row r="81">
      <c r="A81" s="70" t="s">
        <v>51</v>
      </c>
      <c r="B81" s="80">
        <v>4011.0</v>
      </c>
      <c r="C81" s="80">
        <v>199.98</v>
      </c>
      <c r="D81" s="76">
        <f t="shared" si="8"/>
        <v>4011</v>
      </c>
      <c r="E81" s="81">
        <f t="shared" si="9"/>
        <v>802119.78</v>
      </c>
      <c r="F81" s="81">
        <f>IFERROR(__xludf.DUMMYFUNCTION("GOOGLEFINANCE(CONCAT(""NSE:"",A81))"),157.53)</f>
        <v>157.53</v>
      </c>
      <c r="G81" s="77">
        <f t="shared" si="10"/>
        <v>631852.83</v>
      </c>
      <c r="H81" s="83">
        <f t="shared" si="11"/>
        <v>-0.2122712271</v>
      </c>
      <c r="I81" s="76"/>
      <c r="J81" s="1" t="s">
        <v>67</v>
      </c>
      <c r="K81" s="1" t="s">
        <v>237</v>
      </c>
      <c r="L81" s="82">
        <v>77.0</v>
      </c>
      <c r="M81" s="17">
        <v>20985.0</v>
      </c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</row>
    <row r="82">
      <c r="A82" s="70" t="s">
        <v>54</v>
      </c>
      <c r="B82" s="80">
        <v>594.0</v>
      </c>
      <c r="C82" s="80">
        <v>981.73</v>
      </c>
      <c r="D82" s="76">
        <f t="shared" si="8"/>
        <v>594</v>
      </c>
      <c r="E82" s="81">
        <f t="shared" si="9"/>
        <v>583147.62</v>
      </c>
      <c r="F82" s="81">
        <f>IFERROR(__xludf.DUMMYFUNCTION("GOOGLEFINANCE(CONCAT(""NSE:"",A82))"),1036.2)</f>
        <v>1036.2</v>
      </c>
      <c r="G82" s="77">
        <f t="shared" si="10"/>
        <v>615502.8</v>
      </c>
      <c r="H82" s="83">
        <f t="shared" si="11"/>
        <v>0.05548368696</v>
      </c>
      <c r="I82" s="76"/>
      <c r="J82" s="1" t="s">
        <v>109</v>
      </c>
      <c r="K82" s="1" t="s">
        <v>242</v>
      </c>
      <c r="L82" s="82">
        <v>1440.0</v>
      </c>
      <c r="M82" s="17">
        <v>740.05</v>
      </c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</row>
    <row r="83">
      <c r="A83" s="70" t="s">
        <v>57</v>
      </c>
      <c r="B83" s="80">
        <v>1228.0</v>
      </c>
      <c r="C83" s="80">
        <v>428.05</v>
      </c>
      <c r="D83" s="76">
        <f t="shared" si="8"/>
        <v>1228</v>
      </c>
      <c r="E83" s="81">
        <f t="shared" si="9"/>
        <v>525645.4</v>
      </c>
      <c r="F83" s="81">
        <f>IFERROR(__xludf.DUMMYFUNCTION("GOOGLEFINANCE(CONCAT(""NSE:"",A83))"),392.8)</f>
        <v>392.8</v>
      </c>
      <c r="G83" s="77">
        <f t="shared" si="10"/>
        <v>482358.4</v>
      </c>
      <c r="H83" s="83">
        <f t="shared" si="11"/>
        <v>-0.08235019273</v>
      </c>
      <c r="I83" s="76"/>
      <c r="J83" s="1" t="s">
        <v>60</v>
      </c>
      <c r="K83" s="1" t="s">
        <v>319</v>
      </c>
      <c r="L83" s="82">
        <v>322.0</v>
      </c>
      <c r="M83" s="17">
        <v>3072.7</v>
      </c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</row>
    <row r="84">
      <c r="A84" s="70" t="s">
        <v>62</v>
      </c>
      <c r="B84" s="80">
        <v>3741.0</v>
      </c>
      <c r="C84" s="80">
        <v>147.23</v>
      </c>
      <c r="D84" s="76">
        <f t="shared" si="8"/>
        <v>3741</v>
      </c>
      <c r="E84" s="81">
        <f t="shared" si="9"/>
        <v>550787.43</v>
      </c>
      <c r="F84" s="81">
        <f>IFERROR(__xludf.DUMMYFUNCTION("GOOGLEFINANCE(CONCAT(""NSE:"",A84))"),122.6)</f>
        <v>122.6</v>
      </c>
      <c r="G84" s="77">
        <f t="shared" si="10"/>
        <v>458646.6</v>
      </c>
      <c r="H84" s="83">
        <f t="shared" si="11"/>
        <v>-0.1672892753</v>
      </c>
      <c r="I84" s="76"/>
      <c r="J84" s="1" t="s">
        <v>9</v>
      </c>
      <c r="K84" s="1" t="s">
        <v>245</v>
      </c>
      <c r="L84" s="82">
        <v>253.0</v>
      </c>
      <c r="M84" s="17">
        <v>4479.4</v>
      </c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</row>
    <row r="85">
      <c r="A85" s="70" t="s">
        <v>99</v>
      </c>
      <c r="B85" s="80">
        <v>604.0</v>
      </c>
      <c r="C85" s="80">
        <v>981.45</v>
      </c>
      <c r="D85" s="76">
        <f t="shared" si="8"/>
        <v>604</v>
      </c>
      <c r="E85" s="81">
        <f t="shared" si="9"/>
        <v>592795.8</v>
      </c>
      <c r="F85" s="81">
        <f>IFERROR(__xludf.DUMMYFUNCTION("GOOGLEFINANCE(CONCAT(""NSE:"",A85))"),1065.3)</f>
        <v>1065.3</v>
      </c>
      <c r="G85" s="77">
        <f t="shared" si="10"/>
        <v>643441.2</v>
      </c>
      <c r="H85" s="83">
        <f t="shared" si="11"/>
        <v>0.08543481583</v>
      </c>
      <c r="I85" s="76"/>
      <c r="J85" s="1" t="s">
        <v>111</v>
      </c>
      <c r="K85" s="1" t="s">
        <v>249</v>
      </c>
      <c r="L85" s="82">
        <v>1979.0</v>
      </c>
      <c r="M85" s="17">
        <v>555.25</v>
      </c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</row>
    <row r="86">
      <c r="A86" s="70" t="s">
        <v>100</v>
      </c>
      <c r="B86" s="80">
        <v>863.0</v>
      </c>
      <c r="C86" s="80">
        <v>901.9</v>
      </c>
      <c r="D86" s="76">
        <f t="shared" si="8"/>
        <v>863</v>
      </c>
      <c r="E86" s="81">
        <f t="shared" si="9"/>
        <v>778339.7</v>
      </c>
      <c r="F86" s="81">
        <f>IFERROR(__xludf.DUMMYFUNCTION("GOOGLEFINANCE(CONCAT(""NSE:"",A86))"),1417.5)</f>
        <v>1417.5</v>
      </c>
      <c r="G86" s="77">
        <f t="shared" si="10"/>
        <v>1223302.5</v>
      </c>
      <c r="H86" s="83">
        <f t="shared" si="11"/>
        <v>0.5716820047</v>
      </c>
      <c r="I86" s="76"/>
      <c r="J86" s="1" t="s">
        <v>113</v>
      </c>
      <c r="K86" s="1" t="s">
        <v>337</v>
      </c>
      <c r="L86" s="82">
        <v>1530.0</v>
      </c>
      <c r="M86" s="17">
        <v>401.85</v>
      </c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</row>
    <row r="87">
      <c r="A87" s="70" t="s">
        <v>106</v>
      </c>
      <c r="B87" s="80">
        <v>94.0</v>
      </c>
      <c r="C87" s="80">
        <v>7794.5</v>
      </c>
      <c r="D87" s="76">
        <f t="shared" si="8"/>
        <v>94</v>
      </c>
      <c r="E87" s="81">
        <f t="shared" si="9"/>
        <v>732683</v>
      </c>
      <c r="F87" s="81">
        <f>IFERROR(__xludf.DUMMYFUNCTION("GOOGLEFINANCE(CONCAT(""NSE:"",A87))"),10943.0)</f>
        <v>10943</v>
      </c>
      <c r="G87" s="77">
        <f t="shared" si="10"/>
        <v>1028642</v>
      </c>
      <c r="H87" s="83">
        <f t="shared" si="11"/>
        <v>0.4039386747</v>
      </c>
      <c r="I87" s="76"/>
      <c r="J87" s="1" t="s">
        <v>115</v>
      </c>
      <c r="K87" s="1" t="s">
        <v>339</v>
      </c>
      <c r="L87" s="82">
        <v>1210.0</v>
      </c>
      <c r="M87" s="17">
        <v>406.95</v>
      </c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</row>
    <row r="88">
      <c r="A88" s="70" t="s">
        <v>107</v>
      </c>
      <c r="B88" s="80">
        <v>2007.0</v>
      </c>
      <c r="C88" s="80">
        <v>293.46</v>
      </c>
      <c r="D88" s="76">
        <f t="shared" si="8"/>
        <v>2007</v>
      </c>
      <c r="E88" s="81">
        <f t="shared" si="9"/>
        <v>588974.22</v>
      </c>
      <c r="F88" s="81">
        <f>IFERROR(__xludf.DUMMYFUNCTION("GOOGLEFINANCE(CONCAT(""NSE:"",A88))"),232.4)</f>
        <v>232.4</v>
      </c>
      <c r="G88" s="77">
        <f t="shared" si="10"/>
        <v>466426.8</v>
      </c>
      <c r="H88" s="83">
        <f t="shared" si="11"/>
        <v>-0.2080692428</v>
      </c>
      <c r="I88" s="76"/>
      <c r="J88" s="1" t="s">
        <v>81</v>
      </c>
      <c r="K88" s="1" t="s">
        <v>256</v>
      </c>
      <c r="L88" s="82">
        <v>581.0</v>
      </c>
      <c r="M88" s="17">
        <v>1106.1</v>
      </c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</row>
    <row r="89">
      <c r="A89" s="70" t="s">
        <v>109</v>
      </c>
      <c r="B89" s="80">
        <v>1440.0</v>
      </c>
      <c r="C89" s="80">
        <v>608.74</v>
      </c>
      <c r="D89" s="76">
        <f t="shared" si="8"/>
        <v>1440</v>
      </c>
      <c r="E89" s="81">
        <f t="shared" si="9"/>
        <v>876585.6</v>
      </c>
      <c r="F89" s="81">
        <f>IFERROR(__xludf.DUMMYFUNCTION("GOOGLEFINANCE(CONCAT(""NSE:"",A89))"),549.9)</f>
        <v>549.9</v>
      </c>
      <c r="G89" s="77">
        <f t="shared" si="10"/>
        <v>791856</v>
      </c>
      <c r="H89" s="83">
        <f t="shared" si="11"/>
        <v>-0.09665867201</v>
      </c>
      <c r="I89" s="76"/>
      <c r="J89" s="1" t="s">
        <v>82</v>
      </c>
      <c r="K89" s="1" t="s">
        <v>258</v>
      </c>
      <c r="L89" s="82">
        <v>2408.0</v>
      </c>
      <c r="M89" s="17">
        <v>285.42</v>
      </c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</row>
    <row r="90">
      <c r="A90" s="70" t="s">
        <v>111</v>
      </c>
      <c r="B90" s="80">
        <v>1979.0</v>
      </c>
      <c r="C90" s="80">
        <v>584.85</v>
      </c>
      <c r="D90" s="76">
        <f t="shared" si="8"/>
        <v>1979</v>
      </c>
      <c r="E90" s="81">
        <f t="shared" si="9"/>
        <v>1157418.15</v>
      </c>
      <c r="F90" s="81">
        <f>IFERROR(__xludf.DUMMYFUNCTION("GOOGLEFINANCE(CONCAT(""NSE:"",A90))"),484.55)</f>
        <v>484.55</v>
      </c>
      <c r="G90" s="77">
        <f t="shared" si="10"/>
        <v>958924.45</v>
      </c>
      <c r="H90" s="83">
        <f t="shared" si="11"/>
        <v>-0.171496965</v>
      </c>
      <c r="I90" s="76"/>
      <c r="J90" s="1" t="s">
        <v>86</v>
      </c>
      <c r="K90" s="1" t="s">
        <v>261</v>
      </c>
      <c r="L90" s="82">
        <v>372.0</v>
      </c>
      <c r="M90" s="17">
        <v>2968.3</v>
      </c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</row>
    <row r="91">
      <c r="A91" s="70" t="s">
        <v>113</v>
      </c>
      <c r="B91" s="80">
        <v>1530.0</v>
      </c>
      <c r="C91" s="80">
        <v>448.88</v>
      </c>
      <c r="D91" s="76">
        <f t="shared" si="8"/>
        <v>1530</v>
      </c>
      <c r="E91" s="81">
        <f t="shared" si="9"/>
        <v>686786.4</v>
      </c>
      <c r="F91" s="81">
        <f>IFERROR(__xludf.DUMMYFUNCTION("GOOGLEFINANCE(CONCAT(""NSE:"",A91))"),349.75)</f>
        <v>349.75</v>
      </c>
      <c r="G91" s="77">
        <f t="shared" si="10"/>
        <v>535117.5</v>
      </c>
      <c r="H91" s="83">
        <f t="shared" si="11"/>
        <v>-0.2208385315</v>
      </c>
      <c r="I91" s="76"/>
      <c r="J91" s="1" t="s">
        <v>84</v>
      </c>
      <c r="K91" s="1" t="s">
        <v>340</v>
      </c>
      <c r="L91" s="82">
        <v>163.0</v>
      </c>
      <c r="M91" s="17">
        <v>3461.1</v>
      </c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</row>
    <row r="92">
      <c r="A92" s="70" t="s">
        <v>115</v>
      </c>
      <c r="B92" s="80">
        <v>1210.0</v>
      </c>
      <c r="C92" s="80">
        <v>526.47</v>
      </c>
      <c r="D92" s="76">
        <f t="shared" si="8"/>
        <v>1210</v>
      </c>
      <c r="E92" s="81">
        <f t="shared" si="9"/>
        <v>637028.7</v>
      </c>
      <c r="F92" s="81">
        <f>IFERROR(__xludf.DUMMYFUNCTION("GOOGLEFINANCE(CONCAT(""NSE:"",A92))"),346.1)</f>
        <v>346.1</v>
      </c>
      <c r="G92" s="77">
        <f t="shared" si="10"/>
        <v>418781</v>
      </c>
      <c r="H92" s="83">
        <f t="shared" si="11"/>
        <v>-0.3426026174</v>
      </c>
      <c r="I92" s="76"/>
      <c r="J92" s="1" t="s">
        <v>28</v>
      </c>
      <c r="K92" s="1" t="s">
        <v>157</v>
      </c>
      <c r="L92" s="82">
        <v>2172.0</v>
      </c>
      <c r="M92" s="17">
        <v>433.3</v>
      </c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</row>
    <row r="93">
      <c r="A93" s="70" t="s">
        <v>86</v>
      </c>
      <c r="B93" s="80">
        <v>372.0</v>
      </c>
      <c r="C93" s="80">
        <v>2354.0</v>
      </c>
      <c r="D93" s="76">
        <f t="shared" si="8"/>
        <v>372</v>
      </c>
      <c r="E93" s="81">
        <f t="shared" si="9"/>
        <v>875688</v>
      </c>
      <c r="F93" s="81">
        <f>IFERROR(__xludf.DUMMYFUNCTION("GOOGLEFINANCE(CONCAT(""NSE:"",A93))"),3290.8)</f>
        <v>3290.8</v>
      </c>
      <c r="G93" s="77">
        <f t="shared" si="10"/>
        <v>1224177.6</v>
      </c>
      <c r="H93" s="83">
        <f t="shared" si="11"/>
        <v>0.3979609176</v>
      </c>
      <c r="I93" s="76"/>
      <c r="J93" s="1" t="s">
        <v>11</v>
      </c>
      <c r="K93" s="1" t="s">
        <v>266</v>
      </c>
      <c r="L93" s="82">
        <v>292.0</v>
      </c>
      <c r="M93" s="17">
        <v>4031.0</v>
      </c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</row>
    <row r="94">
      <c r="A94" s="70" t="s">
        <v>28</v>
      </c>
      <c r="B94" s="80">
        <v>2172.0</v>
      </c>
      <c r="C94" s="80">
        <v>353.6</v>
      </c>
      <c r="D94" s="76">
        <f t="shared" si="8"/>
        <v>2172</v>
      </c>
      <c r="E94" s="81">
        <f t="shared" si="9"/>
        <v>768019.2</v>
      </c>
      <c r="F94" s="81">
        <f>IFERROR(__xludf.DUMMYFUNCTION("GOOGLEFINANCE(CONCAT(""NSE:"",A94))"),356.3)</f>
        <v>356.3</v>
      </c>
      <c r="G94" s="77">
        <f t="shared" si="10"/>
        <v>773883.6</v>
      </c>
      <c r="H94" s="83">
        <f t="shared" si="11"/>
        <v>0.007635746606</v>
      </c>
      <c r="I94" s="76"/>
      <c r="J94" s="1" t="s">
        <v>15</v>
      </c>
      <c r="K94" s="1" t="s">
        <v>268</v>
      </c>
      <c r="L94" s="82">
        <v>37.0</v>
      </c>
      <c r="M94" s="17">
        <v>32885.0</v>
      </c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</row>
    <row r="95">
      <c r="A95" s="70" t="s">
        <v>11</v>
      </c>
      <c r="B95" s="80">
        <v>292.0</v>
      </c>
      <c r="C95" s="80">
        <v>3057.7</v>
      </c>
      <c r="D95" s="76">
        <f t="shared" si="8"/>
        <v>292</v>
      </c>
      <c r="E95" s="81">
        <f t="shared" si="9"/>
        <v>892848.4</v>
      </c>
      <c r="F95" s="81">
        <f>IFERROR(__xludf.DUMMYFUNCTION("GOOGLEFINANCE(CONCAT(""NSE:"",A95))"),4576.0)</f>
        <v>4576</v>
      </c>
      <c r="G95" s="77">
        <f t="shared" si="10"/>
        <v>1336192</v>
      </c>
      <c r="H95" s="83">
        <f t="shared" si="11"/>
        <v>0.4965496942</v>
      </c>
      <c r="I95" s="76"/>
      <c r="J95" s="1" t="s">
        <v>88</v>
      </c>
      <c r="K95" s="1" t="s">
        <v>342</v>
      </c>
      <c r="L95" s="82">
        <v>2350.0</v>
      </c>
      <c r="M95" s="17">
        <v>341.2</v>
      </c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</row>
    <row r="96">
      <c r="A96" s="70" t="s">
        <v>121</v>
      </c>
      <c r="B96" s="80">
        <v>660.0</v>
      </c>
      <c r="C96" s="80">
        <v>990.1</v>
      </c>
      <c r="D96" s="76">
        <f t="shared" si="8"/>
        <v>660</v>
      </c>
      <c r="E96" s="81">
        <f t="shared" si="9"/>
        <v>653466</v>
      </c>
      <c r="F96" s="81">
        <f>IFERROR(__xludf.DUMMYFUNCTION("GOOGLEFINANCE(CONCAT(""NSE:"",A96))"),989.1)</f>
        <v>989.1</v>
      </c>
      <c r="G96" s="77">
        <f t="shared" si="10"/>
        <v>652806</v>
      </c>
      <c r="H96" s="83">
        <f t="shared" si="11"/>
        <v>-0.00100999899</v>
      </c>
      <c r="I96" s="76"/>
      <c r="J96" s="1" t="s">
        <v>121</v>
      </c>
      <c r="K96" s="1" t="s">
        <v>343</v>
      </c>
      <c r="L96" s="82">
        <v>660.0</v>
      </c>
      <c r="M96" s="17">
        <v>956.85</v>
      </c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</row>
    <row r="97">
      <c r="A97" s="70" t="s">
        <v>98</v>
      </c>
      <c r="B97" s="80">
        <v>3104.0</v>
      </c>
      <c r="C97" s="80">
        <v>177.14</v>
      </c>
      <c r="D97" s="76">
        <f t="shared" si="8"/>
        <v>3104</v>
      </c>
      <c r="E97" s="81">
        <f t="shared" si="9"/>
        <v>549842.56</v>
      </c>
      <c r="F97" s="81">
        <f>IFERROR(__xludf.DUMMYFUNCTION("GOOGLEFINANCE(CONCAT(""NSE:"",A97))"),177.15)</f>
        <v>177.15</v>
      </c>
      <c r="G97" s="77">
        <f t="shared" si="10"/>
        <v>549873.6</v>
      </c>
      <c r="H97" s="83">
        <f t="shared" si="11"/>
        <v>0.00005645252343</v>
      </c>
      <c r="I97" s="76"/>
      <c r="J97" s="1" t="s">
        <v>98</v>
      </c>
      <c r="K97" s="1" t="s">
        <v>345</v>
      </c>
      <c r="L97" s="82">
        <v>3104.0</v>
      </c>
      <c r="M97" s="17">
        <v>167.31</v>
      </c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</row>
    <row r="98">
      <c r="A98" s="84"/>
      <c r="B98" s="85"/>
      <c r="C98" s="85"/>
      <c r="D98" s="76"/>
      <c r="E98" s="81"/>
      <c r="F98" s="81"/>
      <c r="G98" s="77"/>
      <c r="H98" s="81"/>
      <c r="I98" s="76"/>
      <c r="J98" s="81"/>
      <c r="K98" s="78"/>
      <c r="L98" s="79"/>
      <c r="M98" s="78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</row>
    <row r="99">
      <c r="A99" s="84"/>
      <c r="B99" s="85"/>
      <c r="C99" s="85"/>
      <c r="D99" s="76"/>
      <c r="E99" s="81"/>
      <c r="F99" s="81"/>
      <c r="G99" s="77"/>
      <c r="H99" s="81"/>
      <c r="I99" s="76"/>
      <c r="J99" s="81"/>
      <c r="K99" s="78"/>
      <c r="L99" s="79"/>
      <c r="M99" s="78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</row>
    <row r="100">
      <c r="A100" s="66">
        <v>45962.0</v>
      </c>
      <c r="B100" s="67" t="s">
        <v>307</v>
      </c>
      <c r="C100" s="67" t="s">
        <v>308</v>
      </c>
      <c r="D100" s="40" t="s">
        <v>302</v>
      </c>
      <c r="E100" s="40" t="s">
        <v>303</v>
      </c>
      <c r="F100" s="40" t="s">
        <v>304</v>
      </c>
      <c r="G100" s="40" t="s">
        <v>305</v>
      </c>
      <c r="H100" s="40" t="s">
        <v>306</v>
      </c>
      <c r="I100" s="76"/>
      <c r="J100" s="81"/>
      <c r="K100" s="78"/>
      <c r="L100" s="79"/>
      <c r="M100" s="78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</row>
    <row r="101">
      <c r="A101" s="70" t="s">
        <v>43</v>
      </c>
      <c r="B101" s="80">
        <v>1041.0</v>
      </c>
      <c r="C101" s="80">
        <v>691.92</v>
      </c>
      <c r="D101" s="76">
        <f t="shared" ref="D101:D130" si="12">B101</f>
        <v>1041</v>
      </c>
      <c r="E101" s="81">
        <f t="shared" ref="E101:E130" si="13">B101*C101</f>
        <v>720288.72</v>
      </c>
      <c r="F101" s="81">
        <f>IFERROR(__xludf.DUMMYFUNCTION("GOOGLEFINANCE(CONCAT(""NSE:"",A101))"),758.0)</f>
        <v>758</v>
      </c>
      <c r="G101" s="77">
        <f t="shared" ref="G101:G130" si="14">F101*D101</f>
        <v>789078</v>
      </c>
      <c r="H101" s="83">
        <f t="shared" ref="H101:H130" si="15">(G101-E101)/E101</f>
        <v>0.09550237022</v>
      </c>
      <c r="I101" s="76"/>
      <c r="J101" s="81"/>
      <c r="K101" s="78"/>
      <c r="L101" s="79"/>
      <c r="M101" s="78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</row>
    <row r="102">
      <c r="A102" s="70" t="s">
        <v>46</v>
      </c>
      <c r="B102" s="80">
        <v>325.0</v>
      </c>
      <c r="C102" s="80">
        <v>2508.3</v>
      </c>
      <c r="D102" s="76">
        <f t="shared" si="12"/>
        <v>325</v>
      </c>
      <c r="E102" s="81">
        <f t="shared" si="13"/>
        <v>815197.5</v>
      </c>
      <c r="F102" s="81">
        <f>IFERROR(__xludf.DUMMYFUNCTION("GOOGLEFINANCE(CONCAT(""NSE:"",A102))"),3271.6)</f>
        <v>3271.6</v>
      </c>
      <c r="G102" s="77">
        <f t="shared" si="14"/>
        <v>1063270</v>
      </c>
      <c r="H102" s="83">
        <f t="shared" si="15"/>
        <v>0.3043096918</v>
      </c>
      <c r="I102" s="76"/>
      <c r="J102" s="81"/>
      <c r="K102" s="78"/>
      <c r="L102" s="79"/>
      <c r="M102" s="78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</row>
    <row r="103">
      <c r="A103" s="70" t="s">
        <v>55</v>
      </c>
      <c r="B103" s="80">
        <v>721.0</v>
      </c>
      <c r="C103" s="80">
        <v>1030.8</v>
      </c>
      <c r="D103" s="76">
        <f t="shared" si="12"/>
        <v>721</v>
      </c>
      <c r="E103" s="81">
        <f t="shared" si="13"/>
        <v>743206.8</v>
      </c>
      <c r="F103" s="81">
        <f>IFERROR(__xludf.DUMMYFUNCTION("GOOGLEFINANCE(CONCAT(""NSE:"",A103))"),888.05)</f>
        <v>888.05</v>
      </c>
      <c r="G103" s="77">
        <f t="shared" si="14"/>
        <v>640284.05</v>
      </c>
      <c r="H103" s="83">
        <f t="shared" si="15"/>
        <v>-0.1384846721</v>
      </c>
      <c r="I103" s="76"/>
      <c r="J103" s="81"/>
      <c r="K103" s="78"/>
      <c r="L103" s="79"/>
      <c r="M103" s="78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</row>
    <row r="104">
      <c r="A104" s="70" t="s">
        <v>75</v>
      </c>
      <c r="B104" s="80">
        <v>715.0</v>
      </c>
      <c r="C104" s="80">
        <v>1298.6</v>
      </c>
      <c r="D104" s="76">
        <f t="shared" si="12"/>
        <v>715</v>
      </c>
      <c r="E104" s="81">
        <f t="shared" si="13"/>
        <v>928499</v>
      </c>
      <c r="F104" s="81">
        <f>IFERROR(__xludf.DUMMYFUNCTION("GOOGLEFINANCE(CONCAT(""NSE:"",A104))"),1761.4)</f>
        <v>1761.4</v>
      </c>
      <c r="G104" s="77">
        <f t="shared" si="14"/>
        <v>1259401</v>
      </c>
      <c r="H104" s="83">
        <f t="shared" si="15"/>
        <v>0.3563837979</v>
      </c>
      <c r="I104" s="76"/>
      <c r="J104" s="81"/>
      <c r="K104" s="78"/>
      <c r="L104" s="79"/>
      <c r="M104" s="78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</row>
    <row r="105">
      <c r="A105" s="70" t="s">
        <v>15</v>
      </c>
      <c r="B105" s="80">
        <v>37.0</v>
      </c>
      <c r="C105" s="80">
        <v>17941.0</v>
      </c>
      <c r="D105" s="76">
        <f t="shared" si="12"/>
        <v>37</v>
      </c>
      <c r="E105" s="81">
        <f t="shared" si="13"/>
        <v>663817</v>
      </c>
      <c r="F105" s="81">
        <f>IFERROR(__xludf.DUMMYFUNCTION("GOOGLEFINANCE(CONCAT(""NSE:"",A105))"),30810.0)</f>
        <v>30810</v>
      </c>
      <c r="G105" s="77">
        <f t="shared" si="14"/>
        <v>1139970</v>
      </c>
      <c r="H105" s="83">
        <f t="shared" si="15"/>
        <v>0.71729558</v>
      </c>
      <c r="I105" s="76"/>
      <c r="J105" s="81"/>
      <c r="K105" s="78"/>
      <c r="L105" s="79"/>
      <c r="M105" s="78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</row>
    <row r="106">
      <c r="A106" s="70" t="s">
        <v>82</v>
      </c>
      <c r="B106" s="80">
        <v>2643.0</v>
      </c>
      <c r="C106" s="80">
        <v>275.7</v>
      </c>
      <c r="D106" s="76">
        <f t="shared" si="12"/>
        <v>2643</v>
      </c>
      <c r="E106" s="81">
        <f t="shared" si="13"/>
        <v>728675.1</v>
      </c>
      <c r="F106" s="81">
        <f>IFERROR(__xludf.DUMMYFUNCTION("GOOGLEFINANCE(CONCAT(""NSE:"",A106))"),298.85)</f>
        <v>298.85</v>
      </c>
      <c r="G106" s="77">
        <f t="shared" si="14"/>
        <v>789860.55</v>
      </c>
      <c r="H106" s="83">
        <f t="shared" si="15"/>
        <v>0.08396808125</v>
      </c>
      <c r="I106" s="76"/>
      <c r="J106" s="81"/>
      <c r="K106" s="78"/>
      <c r="L106" s="79"/>
      <c r="M106" s="78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</row>
    <row r="107">
      <c r="A107" s="70" t="s">
        <v>37</v>
      </c>
      <c r="B107" s="80">
        <v>2030.0</v>
      </c>
      <c r="C107" s="80">
        <v>335.65</v>
      </c>
      <c r="D107" s="76">
        <f t="shared" si="12"/>
        <v>2030</v>
      </c>
      <c r="E107" s="81">
        <f t="shared" si="13"/>
        <v>681369.5</v>
      </c>
      <c r="F107" s="81">
        <f>IFERROR(__xludf.DUMMYFUNCTION("GOOGLEFINANCE(CONCAT(""NSE:"",A107))"),386.35)</f>
        <v>386.35</v>
      </c>
      <c r="G107" s="77">
        <f t="shared" si="14"/>
        <v>784290.5</v>
      </c>
      <c r="H107" s="83">
        <f t="shared" si="15"/>
        <v>0.1510502011</v>
      </c>
      <c r="I107" s="76"/>
      <c r="J107" s="81"/>
      <c r="K107" s="78"/>
      <c r="L107" s="79"/>
      <c r="M107" s="78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</row>
    <row r="108">
      <c r="A108" s="70" t="s">
        <v>34</v>
      </c>
      <c r="B108" s="80">
        <v>213.0</v>
      </c>
      <c r="C108" s="80">
        <v>3083.1</v>
      </c>
      <c r="D108" s="76">
        <f t="shared" si="12"/>
        <v>213</v>
      </c>
      <c r="E108" s="81">
        <f t="shared" si="13"/>
        <v>656700.3</v>
      </c>
      <c r="F108" s="81">
        <f>IFERROR(__xludf.DUMMYFUNCTION("GOOGLEFINANCE(CONCAT(""NSE:"",A108))"),2211.9)</f>
        <v>2211.9</v>
      </c>
      <c r="G108" s="77">
        <f t="shared" si="14"/>
        <v>471134.7</v>
      </c>
      <c r="H108" s="83">
        <f t="shared" si="15"/>
        <v>-0.2825727352</v>
      </c>
      <c r="I108" s="76"/>
      <c r="J108" s="81"/>
      <c r="K108" s="78"/>
      <c r="L108" s="79"/>
      <c r="M108" s="78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</row>
    <row r="109">
      <c r="A109" s="70" t="s">
        <v>44</v>
      </c>
      <c r="B109" s="80">
        <v>416.0</v>
      </c>
      <c r="C109" s="80">
        <v>1525.79</v>
      </c>
      <c r="D109" s="76">
        <f t="shared" si="12"/>
        <v>416</v>
      </c>
      <c r="E109" s="81">
        <f t="shared" si="13"/>
        <v>634728.64</v>
      </c>
      <c r="F109" s="81">
        <f>IFERROR(__xludf.DUMMYFUNCTION("GOOGLEFINANCE(CONCAT(""NSE:"",A109))"),1144.0)</f>
        <v>1144</v>
      </c>
      <c r="G109" s="77">
        <f t="shared" si="14"/>
        <v>475904</v>
      </c>
      <c r="H109" s="83">
        <f t="shared" si="15"/>
        <v>-0.2502244739</v>
      </c>
      <c r="I109" s="76"/>
      <c r="J109" s="81"/>
      <c r="K109" s="78"/>
      <c r="L109" s="79"/>
      <c r="M109" s="78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</row>
    <row r="110">
      <c r="A110" s="70" t="s">
        <v>45</v>
      </c>
      <c r="B110" s="80">
        <v>873.0</v>
      </c>
      <c r="C110" s="80">
        <v>679.29</v>
      </c>
      <c r="D110" s="76">
        <f t="shared" si="12"/>
        <v>873</v>
      </c>
      <c r="E110" s="81">
        <f t="shared" si="13"/>
        <v>593020.17</v>
      </c>
      <c r="F110" s="81">
        <f>IFERROR(__xludf.DUMMYFUNCTION("GOOGLEFINANCE(CONCAT(""NSE:"",A110))"),572.9)</f>
        <v>572.9</v>
      </c>
      <c r="G110" s="77">
        <f t="shared" si="14"/>
        <v>500141.7</v>
      </c>
      <c r="H110" s="83">
        <f t="shared" si="15"/>
        <v>-0.1566194114</v>
      </c>
      <c r="I110" s="76"/>
      <c r="J110" s="81"/>
      <c r="K110" s="78"/>
      <c r="L110" s="79"/>
      <c r="M110" s="78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</row>
    <row r="111">
      <c r="A111" s="70" t="s">
        <v>47</v>
      </c>
      <c r="B111" s="80">
        <v>143.0</v>
      </c>
      <c r="C111" s="80">
        <v>4059.83</v>
      </c>
      <c r="D111" s="76">
        <f t="shared" si="12"/>
        <v>143</v>
      </c>
      <c r="E111" s="81">
        <f t="shared" si="13"/>
        <v>580555.69</v>
      </c>
      <c r="F111" s="81">
        <f>IFERROR(__xludf.DUMMYFUNCTION("GOOGLEFINANCE(CONCAT(""NSE:"",A111))"),3319.6)</f>
        <v>3319.6</v>
      </c>
      <c r="G111" s="77">
        <f t="shared" si="14"/>
        <v>474702.8</v>
      </c>
      <c r="H111" s="83">
        <f t="shared" si="15"/>
        <v>-0.1823302946</v>
      </c>
      <c r="I111" s="76"/>
      <c r="J111" s="81"/>
      <c r="K111" s="78"/>
      <c r="L111" s="79"/>
      <c r="M111" s="78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</row>
    <row r="112">
      <c r="A112" s="70" t="s">
        <v>48</v>
      </c>
      <c r="B112" s="80">
        <v>879.0</v>
      </c>
      <c r="C112" s="80">
        <v>825.55</v>
      </c>
      <c r="D112" s="76">
        <f t="shared" si="12"/>
        <v>879</v>
      </c>
      <c r="E112" s="81">
        <f t="shared" si="13"/>
        <v>725658.45</v>
      </c>
      <c r="F112" s="81">
        <f>IFERROR(__xludf.DUMMYFUNCTION("GOOGLEFINANCE(CONCAT(""NSE:"",A112))"),725.55)</f>
        <v>725.55</v>
      </c>
      <c r="G112" s="77">
        <f t="shared" si="14"/>
        <v>637758.45</v>
      </c>
      <c r="H112" s="83">
        <f t="shared" si="15"/>
        <v>-0.121131367</v>
      </c>
      <c r="I112" s="76"/>
      <c r="J112" s="81"/>
      <c r="K112" s="78"/>
      <c r="L112" s="79"/>
      <c r="M112" s="78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</row>
    <row r="113">
      <c r="A113" s="70" t="s">
        <v>50</v>
      </c>
      <c r="B113" s="80">
        <v>550.0</v>
      </c>
      <c r="C113" s="80">
        <v>1412.5</v>
      </c>
      <c r="D113" s="76">
        <f t="shared" si="12"/>
        <v>550</v>
      </c>
      <c r="E113" s="81">
        <f t="shared" si="13"/>
        <v>776875</v>
      </c>
      <c r="F113" s="81">
        <f>IFERROR(__xludf.DUMMYFUNCTION("GOOGLEFINANCE(CONCAT(""NSE:"",A113))"),1386.6)</f>
        <v>1386.6</v>
      </c>
      <c r="G113" s="77">
        <f t="shared" si="14"/>
        <v>762630</v>
      </c>
      <c r="H113" s="83">
        <f t="shared" si="15"/>
        <v>-0.01833628319</v>
      </c>
      <c r="I113" s="76"/>
      <c r="J113" s="81"/>
      <c r="K113" s="78"/>
      <c r="L113" s="79"/>
      <c r="M113" s="78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</row>
    <row r="114">
      <c r="A114" s="70" t="s">
        <v>52</v>
      </c>
      <c r="B114" s="80">
        <v>159.0</v>
      </c>
      <c r="C114" s="80">
        <v>4730.0</v>
      </c>
      <c r="D114" s="76">
        <f t="shared" si="12"/>
        <v>159</v>
      </c>
      <c r="E114" s="81">
        <f t="shared" si="13"/>
        <v>752070</v>
      </c>
      <c r="F114" s="81">
        <f>IFERROR(__xludf.DUMMYFUNCTION("GOOGLEFINANCE(CONCAT(""NSE:"",A114))"),1993.1)</f>
        <v>1993.1</v>
      </c>
      <c r="G114" s="77">
        <f t="shared" si="14"/>
        <v>316902.9</v>
      </c>
      <c r="H114" s="83">
        <f t="shared" si="15"/>
        <v>-0.5786257928</v>
      </c>
      <c r="I114" s="76"/>
      <c r="J114" s="81"/>
      <c r="K114" s="78"/>
      <c r="L114" s="79"/>
      <c r="M114" s="78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</row>
    <row r="115">
      <c r="A115" s="70" t="s">
        <v>67</v>
      </c>
      <c r="B115" s="80">
        <v>77.0</v>
      </c>
      <c r="C115" s="80">
        <v>18466.94</v>
      </c>
      <c r="D115" s="76">
        <f t="shared" si="12"/>
        <v>77</v>
      </c>
      <c r="E115" s="81">
        <f t="shared" si="13"/>
        <v>1421954.38</v>
      </c>
      <c r="F115" s="81">
        <f>IFERROR(__xludf.DUMMYFUNCTION("GOOGLEFINANCE(CONCAT(""NSE:"",A115))"),17516.0)</f>
        <v>17516</v>
      </c>
      <c r="G115" s="77">
        <f t="shared" si="14"/>
        <v>1348732</v>
      </c>
      <c r="H115" s="83">
        <f t="shared" si="15"/>
        <v>-0.05149418366</v>
      </c>
      <c r="I115" s="76"/>
      <c r="J115" s="81"/>
      <c r="K115" s="78"/>
      <c r="L115" s="79"/>
      <c r="M115" s="78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</row>
    <row r="116">
      <c r="A116" s="70" t="s">
        <v>109</v>
      </c>
      <c r="B116" s="80">
        <v>1366.0</v>
      </c>
      <c r="C116" s="80">
        <v>599.8</v>
      </c>
      <c r="D116" s="76">
        <f t="shared" si="12"/>
        <v>1366</v>
      </c>
      <c r="E116" s="81">
        <f t="shared" si="13"/>
        <v>819326.8</v>
      </c>
      <c r="F116" s="81">
        <f>IFERROR(__xludf.DUMMYFUNCTION("GOOGLEFINANCE(CONCAT(""NSE:"",A116))"),549.9)</f>
        <v>549.9</v>
      </c>
      <c r="G116" s="77">
        <f t="shared" si="14"/>
        <v>751163.4</v>
      </c>
      <c r="H116" s="83">
        <f t="shared" si="15"/>
        <v>-0.08319439813</v>
      </c>
      <c r="I116" s="76"/>
      <c r="J116" s="81"/>
      <c r="K116" s="78"/>
      <c r="L116" s="79"/>
      <c r="M116" s="78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</row>
    <row r="117">
      <c r="A117" s="70" t="s">
        <v>58</v>
      </c>
      <c r="B117" s="80">
        <v>2042.0</v>
      </c>
      <c r="C117" s="80">
        <v>280.69</v>
      </c>
      <c r="D117" s="76">
        <f t="shared" si="12"/>
        <v>2042</v>
      </c>
      <c r="E117" s="81">
        <f t="shared" si="13"/>
        <v>573168.98</v>
      </c>
      <c r="F117" s="81">
        <f>IFERROR(__xludf.DUMMYFUNCTION("GOOGLEFINANCE(CONCAT(""NSE:"",A117))"),238.04)</f>
        <v>238.04</v>
      </c>
      <c r="G117" s="77">
        <f t="shared" si="14"/>
        <v>486077.68</v>
      </c>
      <c r="H117" s="83">
        <f t="shared" si="15"/>
        <v>-0.1519469878</v>
      </c>
      <c r="I117" s="76"/>
      <c r="J117" s="81"/>
      <c r="K117" s="78"/>
      <c r="L117" s="79"/>
      <c r="M117" s="78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</row>
    <row r="118">
      <c r="A118" s="70" t="s">
        <v>60</v>
      </c>
      <c r="B118" s="80">
        <v>362.0</v>
      </c>
      <c r="C118" s="80">
        <v>2572.65</v>
      </c>
      <c r="D118" s="76">
        <f t="shared" si="12"/>
        <v>362</v>
      </c>
      <c r="E118" s="81">
        <f t="shared" si="13"/>
        <v>931299.3</v>
      </c>
      <c r="F118" s="81">
        <f>IFERROR(__xludf.DUMMYFUNCTION("GOOGLEFINANCE(CONCAT(""NSE:"",A118))"),2337.0)</f>
        <v>2337</v>
      </c>
      <c r="G118" s="77">
        <f t="shared" si="14"/>
        <v>845994</v>
      </c>
      <c r="H118" s="83">
        <f t="shared" si="15"/>
        <v>-0.09159815754</v>
      </c>
      <c r="I118" s="76"/>
      <c r="J118" s="81"/>
      <c r="K118" s="78"/>
      <c r="L118" s="79"/>
      <c r="M118" s="78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</row>
    <row r="119">
      <c r="A119" s="70" t="s">
        <v>9</v>
      </c>
      <c r="B119" s="80">
        <v>281.0</v>
      </c>
      <c r="C119" s="80">
        <v>3202.7</v>
      </c>
      <c r="D119" s="76">
        <f t="shared" si="12"/>
        <v>281</v>
      </c>
      <c r="E119" s="81">
        <f t="shared" si="13"/>
        <v>899958.7</v>
      </c>
      <c r="F119" s="81">
        <f>IFERROR(__xludf.DUMMYFUNCTION("GOOGLEFINANCE(CONCAT(""NSE:"",A119))"),4297.0)</f>
        <v>4297</v>
      </c>
      <c r="G119" s="77">
        <f t="shared" si="14"/>
        <v>1207457</v>
      </c>
      <c r="H119" s="83">
        <f t="shared" si="15"/>
        <v>0.3416804571</v>
      </c>
      <c r="I119" s="76"/>
      <c r="J119" s="81"/>
      <c r="K119" s="78"/>
      <c r="L119" s="79"/>
      <c r="M119" s="78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</row>
    <row r="120">
      <c r="A120" s="70" t="s">
        <v>74</v>
      </c>
      <c r="B120" s="80">
        <v>611.0</v>
      </c>
      <c r="C120" s="80">
        <v>1204.38</v>
      </c>
      <c r="D120" s="76">
        <f t="shared" si="12"/>
        <v>611</v>
      </c>
      <c r="E120" s="81">
        <f t="shared" si="13"/>
        <v>735876.18</v>
      </c>
      <c r="F120" s="81">
        <f>IFERROR(__xludf.DUMMYFUNCTION("GOOGLEFINANCE(CONCAT(""NSE:"",A120))"),662.3)</f>
        <v>662.3</v>
      </c>
      <c r="G120" s="77">
        <f t="shared" si="14"/>
        <v>404665.3</v>
      </c>
      <c r="H120" s="83">
        <f t="shared" si="15"/>
        <v>-0.450090503</v>
      </c>
      <c r="I120" s="76"/>
      <c r="J120" s="81"/>
      <c r="K120" s="78"/>
      <c r="L120" s="79"/>
      <c r="M120" s="78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</row>
    <row r="121">
      <c r="A121" s="70" t="s">
        <v>78</v>
      </c>
      <c r="B121" s="80">
        <v>2475.0</v>
      </c>
      <c r="C121" s="80">
        <v>323.5</v>
      </c>
      <c r="D121" s="76">
        <f t="shared" si="12"/>
        <v>2475</v>
      </c>
      <c r="E121" s="81">
        <f t="shared" si="13"/>
        <v>800662.5</v>
      </c>
      <c r="F121" s="81">
        <f>IFERROR(__xludf.DUMMYFUNCTION("GOOGLEFINANCE(CONCAT(""NSE:"",A121))"),255.1)</f>
        <v>255.1</v>
      </c>
      <c r="G121" s="77">
        <f t="shared" si="14"/>
        <v>631372.5</v>
      </c>
      <c r="H121" s="83">
        <f t="shared" si="15"/>
        <v>-0.2114374034</v>
      </c>
      <c r="I121" s="76"/>
      <c r="J121" s="81"/>
      <c r="K121" s="78"/>
      <c r="L121" s="79"/>
      <c r="M121" s="78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</row>
    <row r="122">
      <c r="A122" s="70" t="s">
        <v>80</v>
      </c>
      <c r="B122" s="80">
        <v>92.0</v>
      </c>
      <c r="C122" s="80">
        <v>5722.0</v>
      </c>
      <c r="D122" s="76">
        <f t="shared" si="12"/>
        <v>92</v>
      </c>
      <c r="E122" s="81">
        <f t="shared" si="13"/>
        <v>526424</v>
      </c>
      <c r="F122" s="81">
        <f>IFERROR(__xludf.DUMMYFUNCTION("GOOGLEFINANCE(CONCAT(""NSE:"",A122))"),4876.0)</f>
        <v>4876</v>
      </c>
      <c r="G122" s="77">
        <f t="shared" si="14"/>
        <v>448592</v>
      </c>
      <c r="H122" s="83">
        <f t="shared" si="15"/>
        <v>-0.147850402</v>
      </c>
      <c r="I122" s="76"/>
      <c r="J122" s="81"/>
      <c r="K122" s="78"/>
      <c r="L122" s="79"/>
      <c r="M122" s="78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</row>
    <row r="123">
      <c r="A123" s="70" t="s">
        <v>81</v>
      </c>
      <c r="B123" s="80">
        <v>1025.0</v>
      </c>
      <c r="C123" s="80">
        <v>989.89</v>
      </c>
      <c r="D123" s="76">
        <f t="shared" si="12"/>
        <v>1025</v>
      </c>
      <c r="E123" s="81">
        <f t="shared" si="13"/>
        <v>1014637.25</v>
      </c>
      <c r="F123" s="81">
        <f>IFERROR(__xludf.DUMMYFUNCTION("GOOGLEFINANCE(CONCAT(""NSE:"",A123))"),1944.7)</f>
        <v>1944.7</v>
      </c>
      <c r="G123" s="77">
        <f t="shared" si="14"/>
        <v>1993317.5</v>
      </c>
      <c r="H123" s="83">
        <f t="shared" si="15"/>
        <v>0.964561719</v>
      </c>
      <c r="I123" s="76"/>
      <c r="J123" s="81"/>
      <c r="K123" s="78"/>
      <c r="L123" s="79"/>
      <c r="M123" s="78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</row>
    <row r="124">
      <c r="A124" s="70" t="s">
        <v>83</v>
      </c>
      <c r="B124" s="80">
        <v>3149.0</v>
      </c>
      <c r="C124" s="80">
        <v>268.49</v>
      </c>
      <c r="D124" s="76">
        <f t="shared" si="12"/>
        <v>3149</v>
      </c>
      <c r="E124" s="81">
        <f t="shared" si="13"/>
        <v>845475.01</v>
      </c>
      <c r="F124" s="81">
        <f>IFERROR(__xludf.DUMMYFUNCTION("GOOGLEFINANCE(CONCAT(""NSE:"",A124))"),317.0)</f>
        <v>317</v>
      </c>
      <c r="G124" s="77">
        <f t="shared" si="14"/>
        <v>998233</v>
      </c>
      <c r="H124" s="83">
        <f t="shared" si="15"/>
        <v>0.1806771202</v>
      </c>
      <c r="I124" s="76"/>
      <c r="J124" s="81"/>
      <c r="K124" s="78"/>
      <c r="L124" s="79"/>
      <c r="M124" s="78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</row>
    <row r="125">
      <c r="A125" s="70" t="s">
        <v>72</v>
      </c>
      <c r="B125" s="80">
        <v>223.0</v>
      </c>
      <c r="C125" s="80">
        <v>2665.8</v>
      </c>
      <c r="D125" s="76">
        <f t="shared" si="12"/>
        <v>223</v>
      </c>
      <c r="E125" s="81">
        <f t="shared" si="13"/>
        <v>594473.4</v>
      </c>
      <c r="F125" s="81">
        <f>IFERROR(__xludf.DUMMYFUNCTION("GOOGLEFINANCE(CONCAT(""NSE:"",A125))"),2203.2)</f>
        <v>2203.2</v>
      </c>
      <c r="G125" s="77">
        <f t="shared" si="14"/>
        <v>491313.6</v>
      </c>
      <c r="H125" s="83">
        <f t="shared" si="15"/>
        <v>-0.1735313977</v>
      </c>
      <c r="I125" s="76"/>
      <c r="J125" s="81"/>
      <c r="K125" s="78"/>
      <c r="L125" s="79"/>
      <c r="M125" s="78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</row>
    <row r="126">
      <c r="A126" s="70" t="s">
        <v>84</v>
      </c>
      <c r="B126" s="80">
        <v>255.0</v>
      </c>
      <c r="C126" s="80">
        <v>3193.1</v>
      </c>
      <c r="D126" s="76">
        <f t="shared" si="12"/>
        <v>255</v>
      </c>
      <c r="E126" s="81">
        <f t="shared" si="13"/>
        <v>814240.5</v>
      </c>
      <c r="F126" s="81">
        <f>IFERROR(__xludf.DUMMYFUNCTION("GOOGLEFINANCE(CONCAT(""NSE:"",A126))"),2752.2)</f>
        <v>2752.2</v>
      </c>
      <c r="G126" s="77">
        <f t="shared" si="14"/>
        <v>701811</v>
      </c>
      <c r="H126" s="83">
        <f t="shared" si="15"/>
        <v>-0.1380789828</v>
      </c>
      <c r="I126" s="76"/>
      <c r="J126" s="81"/>
      <c r="K126" s="78"/>
      <c r="L126" s="79"/>
      <c r="M126" s="78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</row>
    <row r="127">
      <c r="A127" s="70" t="s">
        <v>87</v>
      </c>
      <c r="B127" s="80">
        <v>151.0</v>
      </c>
      <c r="C127" s="80">
        <v>6046.0</v>
      </c>
      <c r="D127" s="76">
        <f t="shared" si="12"/>
        <v>151</v>
      </c>
      <c r="E127" s="81">
        <f t="shared" si="13"/>
        <v>912946</v>
      </c>
      <c r="F127" s="81">
        <f>IFERROR(__xludf.DUMMYFUNCTION("GOOGLEFINANCE(CONCAT(""NSE:"",A127))"),8211.0)</f>
        <v>8211</v>
      </c>
      <c r="G127" s="77">
        <f t="shared" si="14"/>
        <v>1239861</v>
      </c>
      <c r="H127" s="83">
        <f t="shared" si="15"/>
        <v>0.3580879921</v>
      </c>
      <c r="I127" s="76"/>
      <c r="J127" s="81"/>
      <c r="K127" s="78"/>
      <c r="L127" s="79"/>
      <c r="M127" s="78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</row>
    <row r="128">
      <c r="A128" s="70" t="s">
        <v>11</v>
      </c>
      <c r="B128" s="80">
        <v>201.0</v>
      </c>
      <c r="C128" s="80">
        <v>3548.2</v>
      </c>
      <c r="D128" s="76">
        <f t="shared" si="12"/>
        <v>201</v>
      </c>
      <c r="E128" s="81">
        <f t="shared" si="13"/>
        <v>713188.2</v>
      </c>
      <c r="F128" s="81">
        <f>IFERROR(__xludf.DUMMYFUNCTION("GOOGLEFINANCE(CONCAT(""NSE:"",A128))"),4576.0)</f>
        <v>4576</v>
      </c>
      <c r="G128" s="77">
        <f t="shared" si="14"/>
        <v>919776</v>
      </c>
      <c r="H128" s="83">
        <f t="shared" si="15"/>
        <v>0.2896680007</v>
      </c>
      <c r="I128" s="76"/>
      <c r="J128" s="81"/>
      <c r="K128" s="78"/>
      <c r="L128" s="79"/>
      <c r="M128" s="78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</row>
    <row r="129">
      <c r="A129" s="70" t="s">
        <v>88</v>
      </c>
      <c r="B129" s="80">
        <v>3009.0</v>
      </c>
      <c r="C129" s="80">
        <v>330.1</v>
      </c>
      <c r="D129" s="76">
        <f t="shared" si="12"/>
        <v>3009</v>
      </c>
      <c r="E129" s="81">
        <f t="shared" si="13"/>
        <v>993270.9</v>
      </c>
      <c r="F129" s="81">
        <f>IFERROR(__xludf.DUMMYFUNCTION("GOOGLEFINANCE(CONCAT(""NSE:"",A129))"),406.85)</f>
        <v>406.85</v>
      </c>
      <c r="G129" s="77">
        <f t="shared" si="14"/>
        <v>1224211.65</v>
      </c>
      <c r="H129" s="83">
        <f t="shared" si="15"/>
        <v>0.2325053014</v>
      </c>
      <c r="I129" s="76"/>
      <c r="J129" s="81"/>
      <c r="K129" s="78"/>
      <c r="L129" s="79"/>
      <c r="M129" s="78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</row>
    <row r="130">
      <c r="A130" s="70" t="s">
        <v>91</v>
      </c>
      <c r="B130" s="80">
        <v>1033.0</v>
      </c>
      <c r="C130" s="80">
        <v>808.5</v>
      </c>
      <c r="D130" s="76">
        <f t="shared" si="12"/>
        <v>1033</v>
      </c>
      <c r="E130" s="81">
        <f t="shared" si="13"/>
        <v>835180.5</v>
      </c>
      <c r="F130" s="81">
        <f>IFERROR(__xludf.DUMMYFUNCTION("GOOGLEFINANCE(CONCAT(""NSE:"",A130))"),1642.0)</f>
        <v>1642</v>
      </c>
      <c r="G130" s="77">
        <f t="shared" si="14"/>
        <v>1696186</v>
      </c>
      <c r="H130" s="83">
        <f t="shared" si="15"/>
        <v>1.030921459</v>
      </c>
      <c r="I130" s="76"/>
      <c r="J130" s="81"/>
      <c r="K130" s="78"/>
      <c r="L130" s="79"/>
      <c r="M130" s="78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</row>
    <row r="131">
      <c r="A131" s="84"/>
      <c r="B131" s="85"/>
      <c r="C131" s="85"/>
      <c r="D131" s="76"/>
      <c r="E131" s="81"/>
      <c r="F131" s="81"/>
      <c r="G131" s="77">
        <f>SUM(G101:G130)</f>
        <v>25494092.28</v>
      </c>
      <c r="H131" s="81"/>
      <c r="I131" s="76"/>
      <c r="J131" s="81"/>
      <c r="K131" s="78"/>
      <c r="L131" s="79"/>
      <c r="M131" s="78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</row>
    <row r="132">
      <c r="A132" s="66">
        <v>45870.0</v>
      </c>
      <c r="B132" s="67" t="s">
        <v>307</v>
      </c>
      <c r="C132" s="67" t="s">
        <v>308</v>
      </c>
      <c r="D132" s="40" t="s">
        <v>302</v>
      </c>
      <c r="E132" s="40" t="s">
        <v>303</v>
      </c>
      <c r="F132" s="40" t="s">
        <v>304</v>
      </c>
      <c r="G132" s="40" t="s">
        <v>305</v>
      </c>
      <c r="H132" s="40" t="s">
        <v>306</v>
      </c>
      <c r="I132" s="76"/>
      <c r="J132" s="81"/>
      <c r="K132" s="78"/>
      <c r="L132" s="79"/>
      <c r="M132" s="78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</row>
    <row r="133">
      <c r="A133" s="70" t="s">
        <v>341</v>
      </c>
      <c r="B133" s="80">
        <v>349.0</v>
      </c>
      <c r="C133" s="80">
        <v>1842.07</v>
      </c>
      <c r="D133" s="76">
        <f t="shared" ref="D133:D162" si="16">B133</f>
        <v>349</v>
      </c>
      <c r="E133" s="81">
        <f t="shared" ref="E133:E162" si="17">B133*C133</f>
        <v>642882.43</v>
      </c>
      <c r="F133" s="81">
        <f>IFERROR(__xludf.DUMMYFUNCTION("GOOGLEFINANCE(CONCAT(""NSE:"",A133))"),1473.0)</f>
        <v>1473</v>
      </c>
      <c r="G133" s="77">
        <f t="shared" ref="G133:G162" si="18">F133*D133</f>
        <v>514077</v>
      </c>
      <c r="H133" s="83">
        <f t="shared" ref="H133:H162" si="19">(G133-E133)/E133</f>
        <v>-0.2003561211</v>
      </c>
      <c r="I133" s="76"/>
      <c r="J133" s="81"/>
      <c r="K133" s="78"/>
      <c r="L133" s="79"/>
      <c r="M133" s="78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</row>
    <row r="134">
      <c r="A134" s="70" t="s">
        <v>379</v>
      </c>
      <c r="B134" s="80">
        <v>239.0</v>
      </c>
      <c r="C134" s="80">
        <v>2567.2</v>
      </c>
      <c r="D134" s="76">
        <f t="shared" si="16"/>
        <v>239</v>
      </c>
      <c r="E134" s="81">
        <f t="shared" si="17"/>
        <v>613560.8</v>
      </c>
      <c r="F134" s="81">
        <f>IFERROR(__xludf.DUMMYFUNCTION("GOOGLEFINANCE(CONCAT(""NSE:"",A134))"),1931.9)</f>
        <v>1931.9</v>
      </c>
      <c r="G134" s="77">
        <f t="shared" si="18"/>
        <v>461724.1</v>
      </c>
      <c r="H134" s="83">
        <f t="shared" si="19"/>
        <v>-0.2474680586</v>
      </c>
      <c r="I134" s="76"/>
      <c r="J134" s="81"/>
      <c r="K134" s="78"/>
      <c r="L134" s="79"/>
      <c r="M134" s="78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</row>
    <row r="135">
      <c r="A135" s="70" t="s">
        <v>56</v>
      </c>
      <c r="B135" s="80">
        <v>497.0</v>
      </c>
      <c r="C135" s="80">
        <v>1568.42</v>
      </c>
      <c r="D135" s="76">
        <f t="shared" si="16"/>
        <v>497</v>
      </c>
      <c r="E135" s="81">
        <f t="shared" si="17"/>
        <v>779504.74</v>
      </c>
      <c r="F135" s="81">
        <f>IFERROR(__xludf.DUMMYFUNCTION("GOOGLEFINANCE(CONCAT(""NSE:"",A135))"),1330.2)</f>
        <v>1330.2</v>
      </c>
      <c r="G135" s="77">
        <f t="shared" si="18"/>
        <v>661109.4</v>
      </c>
      <c r="H135" s="83">
        <f t="shared" si="19"/>
        <v>-0.1518853368</v>
      </c>
      <c r="I135" s="76"/>
      <c r="J135" s="81"/>
      <c r="K135" s="78"/>
      <c r="L135" s="79"/>
      <c r="M135" s="78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</row>
    <row r="136">
      <c r="A136" s="70" t="s">
        <v>14</v>
      </c>
      <c r="B136" s="80">
        <v>35.0</v>
      </c>
      <c r="C136" s="80">
        <v>17035.0</v>
      </c>
      <c r="D136" s="76">
        <f t="shared" si="16"/>
        <v>35</v>
      </c>
      <c r="E136" s="81">
        <f t="shared" si="17"/>
        <v>596225</v>
      </c>
      <c r="F136" s="81">
        <f>IFERROR(__xludf.DUMMYFUNCTION("GOOGLEFINANCE(CONCAT(""NSE:"",A136))"),13282.0)</f>
        <v>13282</v>
      </c>
      <c r="G136" s="77">
        <f t="shared" si="18"/>
        <v>464870</v>
      </c>
      <c r="H136" s="83">
        <f t="shared" si="19"/>
        <v>-0.2203111242</v>
      </c>
      <c r="I136" s="76"/>
      <c r="J136" s="81"/>
      <c r="K136" s="78"/>
      <c r="L136" s="79"/>
      <c r="M136" s="78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</row>
    <row r="137">
      <c r="A137" s="70" t="s">
        <v>7</v>
      </c>
      <c r="B137" s="80">
        <v>114.0</v>
      </c>
      <c r="C137" s="80">
        <v>9734.77</v>
      </c>
      <c r="D137" s="76">
        <f t="shared" si="16"/>
        <v>114</v>
      </c>
      <c r="E137" s="81">
        <f t="shared" si="17"/>
        <v>1109763.78</v>
      </c>
      <c r="F137" s="81">
        <f>IFERROR(__xludf.DUMMYFUNCTION("GOOGLEFINANCE(CONCAT(""NSE:"",A137))"),1938.6)</f>
        <v>1938.6</v>
      </c>
      <c r="G137" s="77">
        <f t="shared" si="18"/>
        <v>221000.4</v>
      </c>
      <c r="H137" s="83">
        <f t="shared" si="19"/>
        <v>-0.800858161</v>
      </c>
      <c r="I137" s="76"/>
      <c r="J137" s="81"/>
      <c r="K137" s="78"/>
      <c r="L137" s="79"/>
      <c r="M137" s="78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</row>
    <row r="138">
      <c r="A138" s="70" t="s">
        <v>346</v>
      </c>
      <c r="B138" s="80">
        <v>72.0</v>
      </c>
      <c r="C138" s="80">
        <v>19000.0</v>
      </c>
      <c r="D138" s="76">
        <f t="shared" si="16"/>
        <v>72</v>
      </c>
      <c r="E138" s="81">
        <f t="shared" si="17"/>
        <v>1368000</v>
      </c>
      <c r="F138" s="81">
        <f>IFERROR(__xludf.DUMMYFUNCTION("GOOGLEFINANCE(CONCAT(""NSE:"",A138))"),10993.0)</f>
        <v>10993</v>
      </c>
      <c r="G138" s="77">
        <f t="shared" si="18"/>
        <v>791496</v>
      </c>
      <c r="H138" s="83">
        <f t="shared" si="19"/>
        <v>-0.4214210526</v>
      </c>
      <c r="I138" s="76"/>
      <c r="J138" s="81"/>
      <c r="K138" s="78"/>
      <c r="L138" s="79"/>
      <c r="M138" s="78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</row>
    <row r="139">
      <c r="A139" s="70" t="s">
        <v>16</v>
      </c>
      <c r="B139" s="80">
        <v>94.0</v>
      </c>
      <c r="C139" s="80">
        <v>6466.0</v>
      </c>
      <c r="D139" s="76">
        <f t="shared" si="16"/>
        <v>94</v>
      </c>
      <c r="E139" s="81">
        <f t="shared" si="17"/>
        <v>607804</v>
      </c>
      <c r="F139" s="81">
        <f>IFERROR(__xludf.DUMMYFUNCTION("GOOGLEFINANCE(CONCAT(""NSE:"",A139))"),3537.8)</f>
        <v>3537.8</v>
      </c>
      <c r="G139" s="77">
        <f t="shared" si="18"/>
        <v>332553.2</v>
      </c>
      <c r="H139" s="83">
        <f t="shared" si="19"/>
        <v>-0.4528611197</v>
      </c>
      <c r="I139" s="76"/>
      <c r="J139" s="81"/>
      <c r="K139" s="78"/>
      <c r="L139" s="79"/>
      <c r="M139" s="78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</row>
    <row r="140">
      <c r="A140" s="70" t="s">
        <v>388</v>
      </c>
      <c r="B140" s="80">
        <v>45.0</v>
      </c>
      <c r="C140" s="80">
        <v>13159.15</v>
      </c>
      <c r="D140" s="76">
        <f t="shared" si="16"/>
        <v>45</v>
      </c>
      <c r="E140" s="81">
        <f t="shared" si="17"/>
        <v>592161.75</v>
      </c>
      <c r="F140" s="81">
        <f>IFERROR(__xludf.DUMMYFUNCTION("GOOGLEFINANCE(CONCAT(""NSE:"",A140))"),22780.0)</f>
        <v>22780</v>
      </c>
      <c r="G140" s="77">
        <f t="shared" si="18"/>
        <v>1025100</v>
      </c>
      <c r="H140" s="83">
        <f t="shared" si="19"/>
        <v>0.7311148516</v>
      </c>
      <c r="I140" s="76"/>
      <c r="J140" s="81"/>
      <c r="K140" s="78"/>
      <c r="L140" s="79"/>
      <c r="M140" s="78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</row>
    <row r="141">
      <c r="A141" s="70" t="s">
        <v>75</v>
      </c>
      <c r="B141" s="80">
        <v>1036.0</v>
      </c>
      <c r="C141" s="80">
        <v>1072.7</v>
      </c>
      <c r="D141" s="76">
        <f t="shared" si="16"/>
        <v>1036</v>
      </c>
      <c r="E141" s="81">
        <f t="shared" si="17"/>
        <v>1111317.2</v>
      </c>
      <c r="F141" s="81">
        <f>IFERROR(__xludf.DUMMYFUNCTION("GOOGLEFINANCE(CONCAT(""NSE:"",A141))"),1761.4)</f>
        <v>1761.4</v>
      </c>
      <c r="G141" s="77">
        <f t="shared" si="18"/>
        <v>1824810.4</v>
      </c>
      <c r="H141" s="83">
        <f t="shared" si="19"/>
        <v>0.6420247972</v>
      </c>
      <c r="I141" s="76"/>
      <c r="J141" s="81"/>
      <c r="K141" s="78"/>
      <c r="L141" s="79"/>
      <c r="M141" s="78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</row>
    <row r="142">
      <c r="A142" s="70" t="s">
        <v>392</v>
      </c>
      <c r="B142" s="80">
        <v>1159.0</v>
      </c>
      <c r="C142" s="80">
        <v>787.17</v>
      </c>
      <c r="D142" s="76">
        <f t="shared" si="16"/>
        <v>1159</v>
      </c>
      <c r="E142" s="81">
        <f t="shared" si="17"/>
        <v>912330.03</v>
      </c>
      <c r="F142" s="81">
        <f>IFERROR(__xludf.DUMMYFUNCTION("GOOGLEFINANCE(CONCAT(""NSE:"",A142))"),527.8)</f>
        <v>527.8</v>
      </c>
      <c r="G142" s="77">
        <f t="shared" si="18"/>
        <v>611720.2</v>
      </c>
      <c r="H142" s="83">
        <f t="shared" si="19"/>
        <v>-0.329496805</v>
      </c>
      <c r="I142" s="76"/>
      <c r="J142" s="81"/>
      <c r="K142" s="78"/>
      <c r="L142" s="79"/>
      <c r="M142" s="78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</row>
    <row r="143">
      <c r="A143" s="70" t="s">
        <v>15</v>
      </c>
      <c r="B143" s="80">
        <v>40.0</v>
      </c>
      <c r="C143" s="80">
        <v>21285.0</v>
      </c>
      <c r="D143" s="76">
        <f t="shared" si="16"/>
        <v>40</v>
      </c>
      <c r="E143" s="81">
        <f t="shared" si="17"/>
        <v>851400</v>
      </c>
      <c r="F143" s="81">
        <f>IFERROR(__xludf.DUMMYFUNCTION("GOOGLEFINANCE(CONCAT(""NSE:"",A143))"),30810.0)</f>
        <v>30810</v>
      </c>
      <c r="G143" s="77">
        <f t="shared" si="18"/>
        <v>1232400</v>
      </c>
      <c r="H143" s="83">
        <f t="shared" si="19"/>
        <v>0.4474982382</v>
      </c>
      <c r="I143" s="76"/>
      <c r="J143" s="81"/>
      <c r="K143" s="78"/>
      <c r="L143" s="79"/>
      <c r="M143" s="78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</row>
    <row r="144">
      <c r="A144" s="70" t="s">
        <v>350</v>
      </c>
      <c r="B144" s="80">
        <v>1373.0</v>
      </c>
      <c r="C144" s="80">
        <v>541.15</v>
      </c>
      <c r="D144" s="76">
        <f t="shared" si="16"/>
        <v>1373</v>
      </c>
      <c r="E144" s="81">
        <f t="shared" si="17"/>
        <v>742998.95</v>
      </c>
      <c r="F144" s="81">
        <f>IFERROR(__xludf.DUMMYFUNCTION("GOOGLEFINANCE(CONCAT(""NSE:"",A144))"),508.85)</f>
        <v>508.85</v>
      </c>
      <c r="G144" s="77">
        <f t="shared" si="18"/>
        <v>698651.05</v>
      </c>
      <c r="H144" s="83">
        <f t="shared" si="19"/>
        <v>-0.05968770212</v>
      </c>
      <c r="I144" s="76"/>
      <c r="J144" s="81"/>
      <c r="K144" s="78"/>
      <c r="L144" s="79"/>
      <c r="M144" s="78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</row>
    <row r="145">
      <c r="A145" s="70" t="s">
        <v>351</v>
      </c>
      <c r="B145" s="80">
        <v>509.0</v>
      </c>
      <c r="C145" s="80">
        <v>1564.09</v>
      </c>
      <c r="D145" s="76">
        <f t="shared" si="16"/>
        <v>509</v>
      </c>
      <c r="E145" s="81">
        <f t="shared" si="17"/>
        <v>796121.81</v>
      </c>
      <c r="F145" s="81">
        <f>IFERROR(__xludf.DUMMYFUNCTION("GOOGLEFINANCE(CONCAT(""NSE:"",A145))"),2044.3)</f>
        <v>2044.3</v>
      </c>
      <c r="G145" s="77">
        <f t="shared" si="18"/>
        <v>1040548.7</v>
      </c>
      <c r="H145" s="83">
        <f t="shared" si="19"/>
        <v>0.3070219744</v>
      </c>
      <c r="I145" s="76"/>
      <c r="J145" s="81"/>
      <c r="K145" s="78"/>
      <c r="L145" s="79"/>
      <c r="M145" s="78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</row>
    <row r="146">
      <c r="A146" s="70" t="s">
        <v>49</v>
      </c>
      <c r="B146" s="80">
        <v>112.0</v>
      </c>
      <c r="C146" s="80">
        <v>7880.92</v>
      </c>
      <c r="D146" s="76">
        <f t="shared" si="16"/>
        <v>112</v>
      </c>
      <c r="E146" s="81">
        <f t="shared" si="17"/>
        <v>882663.04</v>
      </c>
      <c r="F146" s="81">
        <f>IFERROR(__xludf.DUMMYFUNCTION("GOOGLEFINANCE(CONCAT(""NSE:"",A146))"),7028.5)</f>
        <v>7028.5</v>
      </c>
      <c r="G146" s="77">
        <f t="shared" si="18"/>
        <v>787192</v>
      </c>
      <c r="H146" s="83">
        <f t="shared" si="19"/>
        <v>-0.1081624988</v>
      </c>
      <c r="I146" s="76"/>
      <c r="J146" s="81"/>
      <c r="K146" s="78"/>
      <c r="L146" s="79"/>
      <c r="M146" s="78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</row>
    <row r="147">
      <c r="A147" s="70" t="s">
        <v>43</v>
      </c>
      <c r="B147" s="80">
        <v>1093.0</v>
      </c>
      <c r="C147" s="80">
        <v>585.2</v>
      </c>
      <c r="D147" s="76">
        <f t="shared" si="16"/>
        <v>1093</v>
      </c>
      <c r="E147" s="81">
        <f t="shared" si="17"/>
        <v>639623.6</v>
      </c>
      <c r="F147" s="81">
        <f>IFERROR(__xludf.DUMMYFUNCTION("GOOGLEFINANCE(CONCAT(""NSE:"",A147))"),758.0)</f>
        <v>758</v>
      </c>
      <c r="G147" s="77">
        <f t="shared" si="18"/>
        <v>828494</v>
      </c>
      <c r="H147" s="83">
        <f t="shared" si="19"/>
        <v>0.2952836637</v>
      </c>
      <c r="I147" s="76"/>
      <c r="J147" s="81"/>
      <c r="K147" s="78"/>
      <c r="L147" s="79"/>
      <c r="M147" s="78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</row>
    <row r="148">
      <c r="A148" s="70" t="s">
        <v>46</v>
      </c>
      <c r="B148" s="80">
        <v>581.0</v>
      </c>
      <c r="C148" s="80">
        <v>2460.5</v>
      </c>
      <c r="D148" s="76">
        <f t="shared" si="16"/>
        <v>581</v>
      </c>
      <c r="E148" s="81">
        <f t="shared" si="17"/>
        <v>1429550.5</v>
      </c>
      <c r="F148" s="81">
        <f>IFERROR(__xludf.DUMMYFUNCTION("GOOGLEFINANCE(CONCAT(""NSE:"",A148))"),3271.6)</f>
        <v>3271.6</v>
      </c>
      <c r="G148" s="77">
        <f t="shared" si="18"/>
        <v>1900799.6</v>
      </c>
      <c r="H148" s="83">
        <f t="shared" si="19"/>
        <v>0.3296484454</v>
      </c>
      <c r="I148" s="76"/>
      <c r="J148" s="81"/>
      <c r="K148" s="78"/>
      <c r="L148" s="79"/>
      <c r="M148" s="78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</row>
    <row r="149">
      <c r="A149" s="70" t="s">
        <v>400</v>
      </c>
      <c r="B149" s="80">
        <v>476.0</v>
      </c>
      <c r="C149" s="80">
        <v>1193.5</v>
      </c>
      <c r="D149" s="76">
        <f t="shared" si="16"/>
        <v>476</v>
      </c>
      <c r="E149" s="81">
        <f t="shared" si="17"/>
        <v>568106</v>
      </c>
      <c r="F149" s="81">
        <f>IFERROR(__xludf.DUMMYFUNCTION("GOOGLEFINANCE(CONCAT(""NSE:"",A149))"),705.15)</f>
        <v>705.15</v>
      </c>
      <c r="G149" s="77">
        <f t="shared" si="18"/>
        <v>335651.4</v>
      </c>
      <c r="H149" s="83">
        <f t="shared" si="19"/>
        <v>-0.4091746963</v>
      </c>
      <c r="I149" s="76"/>
      <c r="J149" s="81"/>
      <c r="K149" s="78"/>
      <c r="L149" s="79"/>
      <c r="M149" s="78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</row>
    <row r="150">
      <c r="A150" s="70" t="s">
        <v>401</v>
      </c>
      <c r="B150" s="80">
        <v>338.0</v>
      </c>
      <c r="C150" s="80">
        <v>1798.2</v>
      </c>
      <c r="D150" s="76">
        <f t="shared" si="16"/>
        <v>338</v>
      </c>
      <c r="E150" s="81">
        <f t="shared" si="17"/>
        <v>607791.6</v>
      </c>
      <c r="F150" s="81">
        <f>IFERROR(__xludf.DUMMYFUNCTION("GOOGLEFINANCE(CONCAT(""NSE:"",A150))"),1299.6)</f>
        <v>1299.6</v>
      </c>
      <c r="G150" s="77">
        <f t="shared" si="18"/>
        <v>439264.8</v>
      </c>
      <c r="H150" s="83">
        <f t="shared" si="19"/>
        <v>-0.2772772773</v>
      </c>
      <c r="I150" s="76"/>
      <c r="J150" s="81"/>
      <c r="K150" s="78"/>
      <c r="L150" s="79"/>
      <c r="M150" s="78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</row>
    <row r="151">
      <c r="A151" s="70" t="s">
        <v>55</v>
      </c>
      <c r="B151" s="80">
        <v>806.0</v>
      </c>
      <c r="C151" s="80">
        <v>854.55</v>
      </c>
      <c r="D151" s="76">
        <f t="shared" si="16"/>
        <v>806</v>
      </c>
      <c r="E151" s="81">
        <f t="shared" si="17"/>
        <v>688767.3</v>
      </c>
      <c r="F151" s="81">
        <f>IFERROR(__xludf.DUMMYFUNCTION("GOOGLEFINANCE(CONCAT(""NSE:"",A151))"),888.05)</f>
        <v>888.05</v>
      </c>
      <c r="G151" s="77">
        <f t="shared" si="18"/>
        <v>715768.3</v>
      </c>
      <c r="H151" s="83">
        <f t="shared" si="19"/>
        <v>0.03920191914</v>
      </c>
      <c r="I151" s="76"/>
      <c r="J151" s="81"/>
      <c r="K151" s="78"/>
      <c r="L151" s="79"/>
      <c r="M151" s="78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</row>
    <row r="152">
      <c r="A152" s="70" t="s">
        <v>9</v>
      </c>
      <c r="B152" s="80">
        <v>277.0</v>
      </c>
      <c r="C152" s="80">
        <v>2830.0</v>
      </c>
      <c r="D152" s="76">
        <f t="shared" si="16"/>
        <v>277</v>
      </c>
      <c r="E152" s="81">
        <f t="shared" si="17"/>
        <v>783910</v>
      </c>
      <c r="F152" s="81">
        <f>IFERROR(__xludf.DUMMYFUNCTION("GOOGLEFINANCE(CONCAT(""NSE:"",A152))"),4297.0)</f>
        <v>4297</v>
      </c>
      <c r="G152" s="77">
        <f t="shared" si="18"/>
        <v>1190269</v>
      </c>
      <c r="H152" s="83">
        <f t="shared" si="19"/>
        <v>0.5183745583</v>
      </c>
      <c r="I152" s="76"/>
      <c r="J152" s="81"/>
      <c r="K152" s="78"/>
      <c r="L152" s="79"/>
      <c r="M152" s="78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</row>
    <row r="153">
      <c r="A153" s="70" t="s">
        <v>179</v>
      </c>
      <c r="B153" s="80">
        <v>3986.0</v>
      </c>
      <c r="C153" s="80">
        <v>155.24</v>
      </c>
      <c r="D153" s="76">
        <f t="shared" si="16"/>
        <v>3986</v>
      </c>
      <c r="E153" s="81">
        <f t="shared" si="17"/>
        <v>618786.64</v>
      </c>
      <c r="F153" s="81">
        <f>IFERROR(__xludf.DUMMYFUNCTION("GOOGLEFINANCE(CONCAT(""NSE:"",A153))"),121.52)</f>
        <v>121.52</v>
      </c>
      <c r="G153" s="77">
        <f t="shared" si="18"/>
        <v>484378.72</v>
      </c>
      <c r="H153" s="83">
        <f t="shared" si="19"/>
        <v>-0.2172120587</v>
      </c>
      <c r="I153" s="76"/>
      <c r="J153" s="81"/>
      <c r="K153" s="78"/>
      <c r="L153" s="79"/>
      <c r="M153" s="78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</row>
    <row r="154">
      <c r="A154" s="70" t="s">
        <v>347</v>
      </c>
      <c r="B154" s="80">
        <v>918.0</v>
      </c>
      <c r="C154" s="80">
        <v>739.45</v>
      </c>
      <c r="D154" s="76">
        <f t="shared" si="16"/>
        <v>918</v>
      </c>
      <c r="E154" s="81">
        <f t="shared" si="17"/>
        <v>678815.1</v>
      </c>
      <c r="F154" s="81">
        <f>IFERROR(__xludf.DUMMYFUNCTION("GOOGLEFINANCE(CONCAT(""NSE:"",A154))"),767.2)</f>
        <v>767.2</v>
      </c>
      <c r="G154" s="77">
        <f t="shared" si="18"/>
        <v>704289.6</v>
      </c>
      <c r="H154" s="83">
        <f t="shared" si="19"/>
        <v>0.03752789235</v>
      </c>
      <c r="I154" s="76"/>
      <c r="J154" s="81"/>
      <c r="K154" s="78"/>
      <c r="L154" s="79"/>
      <c r="M154" s="78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</row>
    <row r="155">
      <c r="A155" s="70" t="s">
        <v>81</v>
      </c>
      <c r="B155" s="80">
        <v>960.0</v>
      </c>
      <c r="C155" s="80">
        <v>862.1</v>
      </c>
      <c r="D155" s="76">
        <f t="shared" si="16"/>
        <v>960</v>
      </c>
      <c r="E155" s="81">
        <f t="shared" si="17"/>
        <v>827616</v>
      </c>
      <c r="F155" s="81">
        <f>IFERROR(__xludf.DUMMYFUNCTION("GOOGLEFINANCE(CONCAT(""NSE:"",A155))"),1944.7)</f>
        <v>1944.7</v>
      </c>
      <c r="G155" s="77">
        <f t="shared" si="18"/>
        <v>1866912</v>
      </c>
      <c r="H155" s="83">
        <f t="shared" si="19"/>
        <v>1.255770792</v>
      </c>
      <c r="I155" s="76"/>
      <c r="J155" s="81"/>
      <c r="K155" s="78"/>
      <c r="L155" s="79"/>
      <c r="M155" s="78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</row>
    <row r="156">
      <c r="A156" s="70" t="s">
        <v>68</v>
      </c>
      <c r="B156" s="80">
        <v>604.0</v>
      </c>
      <c r="C156" s="80">
        <v>1467.28</v>
      </c>
      <c r="D156" s="76">
        <f t="shared" si="16"/>
        <v>604</v>
      </c>
      <c r="E156" s="81">
        <f t="shared" si="17"/>
        <v>886237.12</v>
      </c>
      <c r="F156" s="81">
        <f>IFERROR(__xludf.DUMMYFUNCTION("GOOGLEFINANCE(CONCAT(""NSE:"",A156))"),1824.9)</f>
        <v>1824.9</v>
      </c>
      <c r="G156" s="77">
        <f t="shared" si="18"/>
        <v>1102239.6</v>
      </c>
      <c r="H156" s="83">
        <f t="shared" si="19"/>
        <v>0.2437298948</v>
      </c>
      <c r="I156" s="76"/>
      <c r="J156" s="81"/>
      <c r="K156" s="78"/>
      <c r="L156" s="79"/>
      <c r="M156" s="78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</row>
    <row r="157">
      <c r="A157" s="70" t="s">
        <v>86</v>
      </c>
      <c r="B157" s="80">
        <v>96.0</v>
      </c>
      <c r="C157" s="80">
        <v>7758.98</v>
      </c>
      <c r="D157" s="76">
        <f t="shared" si="16"/>
        <v>96</v>
      </c>
      <c r="E157" s="81">
        <f t="shared" si="17"/>
        <v>744862.08</v>
      </c>
      <c r="F157" s="81">
        <f>IFERROR(__xludf.DUMMYFUNCTION("GOOGLEFINANCE(CONCAT(""NSE:"",A157))"),3290.8)</f>
        <v>3290.8</v>
      </c>
      <c r="G157" s="77">
        <f t="shared" si="18"/>
        <v>315916.8</v>
      </c>
      <c r="H157" s="83">
        <f t="shared" si="19"/>
        <v>-0.5758720863</v>
      </c>
      <c r="I157" s="76"/>
      <c r="J157" s="81"/>
      <c r="K157" s="78"/>
      <c r="L157" s="79"/>
      <c r="M157" s="78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69"/>
    </row>
    <row r="158">
      <c r="A158" s="70" t="s">
        <v>85</v>
      </c>
      <c r="B158" s="80">
        <v>636.0</v>
      </c>
      <c r="C158" s="80">
        <v>925.5</v>
      </c>
      <c r="D158" s="76">
        <f t="shared" si="16"/>
        <v>636</v>
      </c>
      <c r="E158" s="81">
        <f t="shared" si="17"/>
        <v>588618</v>
      </c>
      <c r="F158" s="81">
        <f>IFERROR(__xludf.DUMMYFUNCTION("GOOGLEFINANCE(CONCAT(""NSE:"",A158))"),993.4)</f>
        <v>993.4</v>
      </c>
      <c r="G158" s="77">
        <f t="shared" si="18"/>
        <v>631802.4</v>
      </c>
      <c r="H158" s="83">
        <f t="shared" si="19"/>
        <v>0.07336574824</v>
      </c>
      <c r="I158" s="76"/>
      <c r="J158" s="81"/>
      <c r="K158" s="78"/>
      <c r="L158" s="79"/>
      <c r="M158" s="78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</row>
    <row r="159">
      <c r="A159" s="70" t="s">
        <v>404</v>
      </c>
      <c r="B159" s="80">
        <v>322.0</v>
      </c>
      <c r="C159" s="80">
        <v>1815.14</v>
      </c>
      <c r="D159" s="76">
        <f t="shared" si="16"/>
        <v>322</v>
      </c>
      <c r="E159" s="81">
        <f t="shared" si="17"/>
        <v>584475.08</v>
      </c>
      <c r="F159" s="81">
        <f>IFERROR(__xludf.DUMMYFUNCTION("GOOGLEFINANCE(CONCAT(""NSE:"",A159))"),1874.2)</f>
        <v>1874.2</v>
      </c>
      <c r="G159" s="77">
        <f t="shared" si="18"/>
        <v>603492.4</v>
      </c>
      <c r="H159" s="83">
        <f t="shared" si="19"/>
        <v>0.03253743513</v>
      </c>
      <c r="I159" s="76"/>
      <c r="J159" s="81"/>
      <c r="K159" s="78"/>
      <c r="L159" s="79"/>
      <c r="M159" s="78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</row>
    <row r="160">
      <c r="A160" s="70" t="s">
        <v>349</v>
      </c>
      <c r="B160" s="80">
        <v>16368.0</v>
      </c>
      <c r="C160" s="80">
        <v>45.2</v>
      </c>
      <c r="D160" s="76">
        <f t="shared" si="16"/>
        <v>16368</v>
      </c>
      <c r="E160" s="81">
        <f t="shared" si="17"/>
        <v>739833.6</v>
      </c>
      <c r="F160" s="81">
        <f>IFERROR(__xludf.DUMMYFUNCTION("GOOGLEFINANCE(CONCAT(""NSE:"",A160))"),21.02)</f>
        <v>21.02</v>
      </c>
      <c r="G160" s="77">
        <f t="shared" si="18"/>
        <v>344055.36</v>
      </c>
      <c r="H160" s="83">
        <f t="shared" si="19"/>
        <v>-0.5349557522</v>
      </c>
      <c r="I160" s="76"/>
      <c r="J160" s="81"/>
      <c r="K160" s="78"/>
      <c r="L160" s="79"/>
      <c r="M160" s="78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</row>
    <row r="161">
      <c r="A161" s="70" t="s">
        <v>91</v>
      </c>
      <c r="B161" s="80">
        <v>925.0</v>
      </c>
      <c r="C161" s="80">
        <v>733.5</v>
      </c>
      <c r="D161" s="76">
        <f t="shared" si="16"/>
        <v>925</v>
      </c>
      <c r="E161" s="81">
        <f t="shared" si="17"/>
        <v>678487.5</v>
      </c>
      <c r="F161" s="81">
        <f>IFERROR(__xludf.DUMMYFUNCTION("GOOGLEFINANCE(CONCAT(""NSE:"",A161))"),1642.0)</f>
        <v>1642</v>
      </c>
      <c r="G161" s="77">
        <f t="shared" si="18"/>
        <v>1518850</v>
      </c>
      <c r="H161" s="83">
        <f t="shared" si="19"/>
        <v>1.23858214</v>
      </c>
      <c r="I161" s="76"/>
      <c r="J161" s="81"/>
      <c r="K161" s="78"/>
      <c r="L161" s="79"/>
      <c r="M161" s="78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</row>
    <row r="162">
      <c r="A162" s="70" t="s">
        <v>405</v>
      </c>
      <c r="B162" s="80">
        <v>1186.0</v>
      </c>
      <c r="C162" s="80">
        <v>556.09</v>
      </c>
      <c r="D162" s="76">
        <f t="shared" si="16"/>
        <v>1186</v>
      </c>
      <c r="E162" s="81">
        <f t="shared" si="17"/>
        <v>659522.74</v>
      </c>
      <c r="F162" s="81">
        <f>IFERROR(__xludf.DUMMYFUNCTION("GOOGLEFINANCE(CONCAT(""NSE:"",A162))"),277.25)</f>
        <v>277.25</v>
      </c>
      <c r="G162" s="77">
        <f t="shared" si="18"/>
        <v>328818.5</v>
      </c>
      <c r="H162" s="83">
        <f t="shared" si="19"/>
        <v>-0.5014296247</v>
      </c>
      <c r="I162" s="76"/>
      <c r="J162" s="81"/>
      <c r="K162" s="78"/>
      <c r="L162" s="79"/>
      <c r="M162" s="78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</row>
    <row r="163">
      <c r="B163" s="85"/>
      <c r="C163" s="85"/>
      <c r="D163" s="76"/>
      <c r="E163" s="81"/>
      <c r="F163" s="81"/>
      <c r="G163" s="77">
        <f>SUM(G133:G162)</f>
        <v>23978254.93</v>
      </c>
      <c r="H163" s="81"/>
      <c r="I163" s="76"/>
      <c r="J163" s="81"/>
      <c r="K163" s="78"/>
      <c r="L163" s="79"/>
      <c r="M163" s="78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</row>
    <row r="164">
      <c r="A164" s="66">
        <v>45782.0</v>
      </c>
      <c r="B164" s="67" t="s">
        <v>307</v>
      </c>
      <c r="C164" s="67" t="s">
        <v>308</v>
      </c>
      <c r="D164" s="40" t="s">
        <v>302</v>
      </c>
      <c r="E164" s="40" t="s">
        <v>303</v>
      </c>
      <c r="F164" s="40" t="s">
        <v>304</v>
      </c>
      <c r="G164" s="40" t="s">
        <v>305</v>
      </c>
      <c r="H164" s="40" t="s">
        <v>306</v>
      </c>
      <c r="I164" s="76"/>
      <c r="J164" s="81"/>
      <c r="K164" s="78"/>
      <c r="L164" s="79"/>
      <c r="M164" s="78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</row>
    <row r="165">
      <c r="A165" s="70" t="s">
        <v>46</v>
      </c>
      <c r="B165" s="80">
        <v>182.0</v>
      </c>
      <c r="C165" s="80">
        <v>6447.0</v>
      </c>
      <c r="D165" s="80">
        <f>3*182</f>
        <v>546</v>
      </c>
      <c r="E165" s="11">
        <f t="shared" ref="E165:E184" si="20">C165*B165</f>
        <v>1173354</v>
      </c>
      <c r="F165" s="93">
        <f>IFERROR(__xludf.DUMMYFUNCTION("GOOGLEFINANCE(CONCATENATE(""NSE:"",  A165))"),3271.6)</f>
        <v>3271.6</v>
      </c>
      <c r="G165" s="11">
        <f t="shared" ref="G165:G184" si="21">F165*D165</f>
        <v>1786293.6</v>
      </c>
      <c r="H165" s="94">
        <f t="shared" ref="H165:H184" si="22">(G165-E165)/E165</f>
        <v>0.5223825035</v>
      </c>
      <c r="I165" s="88"/>
      <c r="J165" s="81"/>
      <c r="K165" s="78"/>
      <c r="L165" s="79"/>
      <c r="M165" s="78"/>
      <c r="N165" s="69"/>
      <c r="O165" s="69"/>
      <c r="P165" s="69"/>
      <c r="Q165" s="69"/>
      <c r="R165" s="69"/>
      <c r="S165" s="88"/>
      <c r="T165" s="88"/>
      <c r="U165" s="88"/>
      <c r="V165" s="88"/>
      <c r="W165" s="88"/>
      <c r="X165" s="88"/>
      <c r="Y165" s="88"/>
      <c r="Z165" s="88"/>
    </row>
    <row r="166">
      <c r="A166" s="63" t="s">
        <v>56</v>
      </c>
      <c r="B166" s="80">
        <v>876.0</v>
      </c>
      <c r="C166" s="80">
        <v>1279.2</v>
      </c>
      <c r="D166" s="80">
        <v>876.0</v>
      </c>
      <c r="E166" s="11">
        <f t="shared" si="20"/>
        <v>1120579.2</v>
      </c>
      <c r="F166" s="93">
        <f>IFERROR(__xludf.DUMMYFUNCTION("GOOGLEFINANCE(CONCATENATE(""NSE:"",  A166))"),1330.2)</f>
        <v>1330.2</v>
      </c>
      <c r="G166" s="11">
        <f t="shared" si="21"/>
        <v>1165255.2</v>
      </c>
      <c r="H166" s="94">
        <f t="shared" si="22"/>
        <v>0.03986866792</v>
      </c>
      <c r="I166" s="88"/>
      <c r="J166" s="81"/>
      <c r="K166" s="78"/>
      <c r="L166" s="79"/>
      <c r="M166" s="78"/>
      <c r="N166" s="69"/>
      <c r="O166" s="69"/>
      <c r="P166" s="69"/>
      <c r="Q166" s="69"/>
      <c r="R166" s="69"/>
      <c r="S166" s="88"/>
      <c r="T166" s="88"/>
      <c r="U166" s="88"/>
      <c r="V166" s="88"/>
      <c r="W166" s="88"/>
      <c r="X166" s="88"/>
      <c r="Y166" s="88"/>
      <c r="Z166" s="88"/>
    </row>
    <row r="167">
      <c r="A167" s="63" t="s">
        <v>14</v>
      </c>
      <c r="B167" s="80">
        <v>56.0</v>
      </c>
      <c r="C167" s="80">
        <v>16431.36</v>
      </c>
      <c r="D167" s="80">
        <v>56.0</v>
      </c>
      <c r="E167" s="11">
        <f t="shared" si="20"/>
        <v>920156.16</v>
      </c>
      <c r="F167" s="93">
        <f>IFERROR(__xludf.DUMMYFUNCTION("GOOGLEFINANCE(CONCATENATE(""NSE:"",  A167))"),13282.0)</f>
        <v>13282</v>
      </c>
      <c r="G167" s="11">
        <f t="shared" si="21"/>
        <v>743792</v>
      </c>
      <c r="H167" s="94">
        <f t="shared" si="22"/>
        <v>-0.1916676404</v>
      </c>
      <c r="I167" s="88"/>
      <c r="J167" s="81"/>
      <c r="K167" s="78"/>
      <c r="L167" s="79"/>
      <c r="M167" s="78"/>
      <c r="N167" s="69"/>
      <c r="O167" s="69"/>
      <c r="P167" s="69"/>
      <c r="Q167" s="69"/>
      <c r="R167" s="69"/>
      <c r="S167" s="88"/>
      <c r="T167" s="88"/>
      <c r="U167" s="88"/>
      <c r="V167" s="88"/>
      <c r="W167" s="88"/>
      <c r="X167" s="88"/>
      <c r="Y167" s="88"/>
      <c r="Z167" s="88"/>
    </row>
    <row r="168">
      <c r="A168" s="63" t="s">
        <v>60</v>
      </c>
      <c r="B168" s="80">
        <v>564.0</v>
      </c>
      <c r="C168" s="80">
        <v>1884.0</v>
      </c>
      <c r="D168" s="80">
        <v>564.0</v>
      </c>
      <c r="E168" s="11">
        <f t="shared" si="20"/>
        <v>1062576</v>
      </c>
      <c r="F168" s="93">
        <f>IFERROR(__xludf.DUMMYFUNCTION("GOOGLEFINANCE(CONCATENATE(""NSE:"",  A168))"),2337.0)</f>
        <v>2337</v>
      </c>
      <c r="G168" s="11">
        <f t="shared" si="21"/>
        <v>1318068</v>
      </c>
      <c r="H168" s="94">
        <f t="shared" si="22"/>
        <v>0.2404458599</v>
      </c>
      <c r="I168" s="88"/>
      <c r="J168" s="81"/>
      <c r="K168" s="78"/>
      <c r="L168" s="79"/>
      <c r="M168" s="78"/>
      <c r="N168" s="69"/>
      <c r="O168" s="69"/>
      <c r="P168" s="69"/>
      <c r="Q168" s="69"/>
      <c r="R168" s="69"/>
      <c r="S168" s="88"/>
      <c r="T168" s="88"/>
      <c r="U168" s="88"/>
      <c r="V168" s="88"/>
      <c r="W168" s="88"/>
      <c r="X168" s="88"/>
      <c r="Y168" s="88"/>
      <c r="Z168" s="88"/>
    </row>
    <row r="169">
      <c r="A169" s="63" t="s">
        <v>72</v>
      </c>
      <c r="B169" s="80">
        <v>490.0</v>
      </c>
      <c r="C169" s="80">
        <v>3033.0842</v>
      </c>
      <c r="D169" s="80">
        <v>490.0</v>
      </c>
      <c r="E169" s="11">
        <f t="shared" si="20"/>
        <v>1486211.258</v>
      </c>
      <c r="F169" s="93">
        <f>IFERROR(__xludf.DUMMYFUNCTION("GOOGLEFINANCE(CONCATENATE(""NSE:"",  A169))"),2203.2)</f>
        <v>2203.2</v>
      </c>
      <c r="G169" s="11">
        <f t="shared" si="21"/>
        <v>1079568</v>
      </c>
      <c r="H169" s="94">
        <f t="shared" si="22"/>
        <v>-0.27361067</v>
      </c>
      <c r="I169" s="88"/>
      <c r="J169" s="81"/>
      <c r="K169" s="78"/>
      <c r="L169" s="79"/>
      <c r="M169" s="78"/>
      <c r="N169" s="69"/>
      <c r="O169" s="69"/>
      <c r="P169" s="69"/>
      <c r="Q169" s="69"/>
      <c r="R169" s="69"/>
      <c r="S169" s="88"/>
      <c r="T169" s="88"/>
      <c r="U169" s="88"/>
      <c r="V169" s="88"/>
      <c r="W169" s="88"/>
      <c r="X169" s="88"/>
      <c r="Y169" s="88"/>
      <c r="Z169" s="88"/>
    </row>
    <row r="170">
      <c r="A170" s="63" t="s">
        <v>15</v>
      </c>
      <c r="B170" s="80">
        <v>48.0</v>
      </c>
      <c r="C170" s="80">
        <v>14559.0</v>
      </c>
      <c r="D170" s="80">
        <v>48.0</v>
      </c>
      <c r="E170" s="11">
        <f t="shared" si="20"/>
        <v>698832</v>
      </c>
      <c r="F170" s="93">
        <f>IFERROR(__xludf.DUMMYFUNCTION("GOOGLEFINANCE(CONCATENATE(""NSE:"",  A170))"),30810.0)</f>
        <v>30810</v>
      </c>
      <c r="G170" s="11">
        <f t="shared" si="21"/>
        <v>1478880</v>
      </c>
      <c r="H170" s="94">
        <f t="shared" si="22"/>
        <v>1.116216773</v>
      </c>
      <c r="I170" s="88"/>
      <c r="J170" s="81"/>
      <c r="K170" s="78"/>
      <c r="L170" s="79"/>
      <c r="M170" s="78"/>
      <c r="N170" s="69"/>
      <c r="O170" s="69"/>
      <c r="P170" s="69"/>
      <c r="Q170" s="69"/>
      <c r="R170" s="69"/>
      <c r="S170" s="88"/>
      <c r="T170" s="88"/>
      <c r="U170" s="88"/>
      <c r="V170" s="88"/>
      <c r="W170" s="88"/>
      <c r="X170" s="88"/>
      <c r="Y170" s="88"/>
      <c r="Z170" s="88"/>
    </row>
    <row r="171">
      <c r="A171" s="63" t="s">
        <v>411</v>
      </c>
      <c r="B171" s="80">
        <v>56.0</v>
      </c>
      <c r="C171" s="80">
        <v>12726.0</v>
      </c>
      <c r="D171" s="80">
        <v>56.0</v>
      </c>
      <c r="E171" s="11">
        <f t="shared" si="20"/>
        <v>712656</v>
      </c>
      <c r="F171" s="93">
        <f>IFERROR(__xludf.DUMMYFUNCTION("GOOGLEFINANCE(CONCATENATE(""NSE:"",  A171))"),22710.0)</f>
        <v>22710</v>
      </c>
      <c r="G171" s="11">
        <f t="shared" si="21"/>
        <v>1271760</v>
      </c>
      <c r="H171" s="94">
        <f t="shared" si="22"/>
        <v>0.7845355964</v>
      </c>
      <c r="I171" s="88"/>
      <c r="J171" s="81"/>
      <c r="K171" s="78"/>
      <c r="L171" s="79"/>
      <c r="M171" s="78"/>
      <c r="N171" s="69"/>
      <c r="O171" s="69"/>
      <c r="P171" s="69"/>
      <c r="Q171" s="69"/>
      <c r="R171" s="69"/>
      <c r="S171" s="88"/>
      <c r="T171" s="88"/>
      <c r="U171" s="88"/>
      <c r="V171" s="88"/>
      <c r="W171" s="88"/>
      <c r="X171" s="88"/>
      <c r="Y171" s="88"/>
      <c r="Z171" s="88"/>
    </row>
    <row r="172">
      <c r="A172" s="63" t="s">
        <v>341</v>
      </c>
      <c r="B172" s="80">
        <v>532.0</v>
      </c>
      <c r="C172" s="80">
        <v>1700.6722</v>
      </c>
      <c r="D172" s="80">
        <v>532.0</v>
      </c>
      <c r="E172" s="11">
        <f t="shared" si="20"/>
        <v>904757.6104</v>
      </c>
      <c r="F172" s="93">
        <f>IFERROR(__xludf.DUMMYFUNCTION("GOOGLEFINANCE(CONCATENATE(""NSE:"",  A172))"),1473.0)</f>
        <v>1473</v>
      </c>
      <c r="G172" s="11">
        <f t="shared" si="21"/>
        <v>783636</v>
      </c>
      <c r="H172" s="94">
        <f t="shared" si="22"/>
        <v>-0.133871889</v>
      </c>
      <c r="I172" s="88"/>
      <c r="J172" s="81"/>
      <c r="K172" s="78"/>
      <c r="L172" s="79"/>
      <c r="M172" s="78"/>
      <c r="N172" s="69"/>
      <c r="O172" s="69"/>
      <c r="P172" s="69"/>
      <c r="Q172" s="69"/>
      <c r="R172" s="69"/>
      <c r="S172" s="88"/>
      <c r="T172" s="88"/>
      <c r="U172" s="88"/>
      <c r="V172" s="88"/>
      <c r="W172" s="88"/>
      <c r="X172" s="88"/>
      <c r="Y172" s="88"/>
      <c r="Z172" s="88"/>
    </row>
    <row r="173">
      <c r="A173" s="63" t="s">
        <v>63</v>
      </c>
      <c r="B173" s="80">
        <v>1060.0</v>
      </c>
      <c r="C173" s="80">
        <v>709.61</v>
      </c>
      <c r="D173" s="80">
        <v>1060.0</v>
      </c>
      <c r="E173" s="11">
        <f t="shared" si="20"/>
        <v>752186.6</v>
      </c>
      <c r="F173" s="93">
        <f>IFERROR(__xludf.DUMMYFUNCTION("GOOGLEFINANCE(CONCATENATE(""NSE:"",  A173))"),413.75)</f>
        <v>413.75</v>
      </c>
      <c r="G173" s="11">
        <f t="shared" si="21"/>
        <v>438575</v>
      </c>
      <c r="H173" s="94">
        <f t="shared" si="22"/>
        <v>-0.416933245</v>
      </c>
      <c r="I173" s="88"/>
      <c r="J173" s="81"/>
      <c r="K173" s="78"/>
      <c r="L173" s="79"/>
      <c r="M173" s="78"/>
      <c r="N173" s="69"/>
      <c r="O173" s="69"/>
      <c r="P173" s="69"/>
      <c r="Q173" s="69"/>
      <c r="R173" s="69"/>
      <c r="S173" s="88"/>
      <c r="T173" s="88"/>
      <c r="U173" s="88"/>
      <c r="V173" s="88"/>
      <c r="W173" s="88"/>
      <c r="X173" s="88"/>
      <c r="Y173" s="88"/>
      <c r="Z173" s="88"/>
    </row>
    <row r="174">
      <c r="A174" s="63" t="s">
        <v>379</v>
      </c>
      <c r="B174" s="80">
        <v>357.0</v>
      </c>
      <c r="C174" s="80">
        <v>2279.9549</v>
      </c>
      <c r="D174" s="80">
        <v>357.0</v>
      </c>
      <c r="E174" s="11">
        <f t="shared" si="20"/>
        <v>813943.8993</v>
      </c>
      <c r="F174" s="93">
        <f>IFERROR(__xludf.DUMMYFUNCTION("GOOGLEFINANCE(CONCATENATE(""NSE:"",  A174))"),1931.9)</f>
        <v>1931.9</v>
      </c>
      <c r="G174" s="11">
        <f t="shared" si="21"/>
        <v>689688.3</v>
      </c>
      <c r="H174" s="94">
        <f t="shared" si="22"/>
        <v>-0.1526586776</v>
      </c>
      <c r="I174" s="88"/>
      <c r="J174" s="81"/>
      <c r="K174" s="78"/>
      <c r="L174" s="79"/>
      <c r="M174" s="78"/>
      <c r="N174" s="69"/>
      <c r="O174" s="69"/>
      <c r="P174" s="69"/>
      <c r="Q174" s="69"/>
      <c r="R174" s="69"/>
      <c r="S174" s="88"/>
      <c r="T174" s="88"/>
      <c r="U174" s="88"/>
      <c r="V174" s="88"/>
      <c r="W174" s="88"/>
      <c r="X174" s="88"/>
      <c r="Y174" s="88"/>
      <c r="Z174" s="88"/>
    </row>
    <row r="175">
      <c r="A175" s="63" t="s">
        <v>7</v>
      </c>
      <c r="B175" s="80">
        <v>154.0</v>
      </c>
      <c r="C175" s="80">
        <v>8798.0</v>
      </c>
      <c r="D175" s="80">
        <v>154.0</v>
      </c>
      <c r="E175" s="11">
        <f t="shared" si="20"/>
        <v>1354892</v>
      </c>
      <c r="F175" s="93">
        <f>IFERROR(__xludf.DUMMYFUNCTION("GOOGLEFINANCE(CONCATENATE(""NSE:"",  A175))"),1938.6)</f>
        <v>1938.6</v>
      </c>
      <c r="G175" s="11">
        <f t="shared" si="21"/>
        <v>298544.4</v>
      </c>
      <c r="H175" s="94">
        <f t="shared" si="22"/>
        <v>-0.7796544669</v>
      </c>
      <c r="I175" s="88"/>
      <c r="J175" s="81"/>
      <c r="K175" s="78"/>
      <c r="L175" s="79"/>
      <c r="M175" s="78"/>
      <c r="N175" s="69"/>
      <c r="O175" s="69"/>
      <c r="P175" s="69"/>
      <c r="Q175" s="69"/>
      <c r="R175" s="69"/>
      <c r="S175" s="88"/>
      <c r="T175" s="88"/>
      <c r="U175" s="88"/>
      <c r="V175" s="88"/>
      <c r="W175" s="88"/>
      <c r="X175" s="88"/>
      <c r="Y175" s="88"/>
      <c r="Z175" s="88"/>
    </row>
    <row r="176">
      <c r="A176" s="63" t="s">
        <v>386</v>
      </c>
      <c r="B176" s="80">
        <v>545.0</v>
      </c>
      <c r="C176" s="80">
        <v>1908.978</v>
      </c>
      <c r="D176" s="80">
        <v>545.0</v>
      </c>
      <c r="E176" s="11">
        <f t="shared" si="20"/>
        <v>1040393.01</v>
      </c>
      <c r="F176" s="93">
        <f>IFERROR(__xludf.DUMMYFUNCTION("GOOGLEFINANCE(CONCATENATE(""NSE:"",  A176))"),1619.9)</f>
        <v>1619.9</v>
      </c>
      <c r="G176" s="11">
        <f t="shared" si="21"/>
        <v>882845.5</v>
      </c>
      <c r="H176" s="94">
        <f t="shared" si="22"/>
        <v>-0.1514307656</v>
      </c>
      <c r="I176" s="88"/>
      <c r="J176" s="81"/>
      <c r="K176" s="78"/>
      <c r="L176" s="79"/>
      <c r="M176" s="78"/>
      <c r="N176" s="69"/>
      <c r="O176" s="69"/>
      <c r="P176" s="69"/>
      <c r="Q176" s="69"/>
      <c r="R176" s="69"/>
      <c r="S176" s="88"/>
      <c r="T176" s="88"/>
      <c r="U176" s="88"/>
      <c r="V176" s="88"/>
      <c r="W176" s="88"/>
      <c r="X176" s="88"/>
      <c r="Y176" s="88"/>
      <c r="Z176" s="88"/>
    </row>
    <row r="177">
      <c r="A177" s="63" t="s">
        <v>346</v>
      </c>
      <c r="B177" s="80">
        <v>76.0</v>
      </c>
      <c r="C177" s="80">
        <v>23920.1316</v>
      </c>
      <c r="D177" s="80">
        <v>76.0</v>
      </c>
      <c r="E177" s="11">
        <f t="shared" si="20"/>
        <v>1817930.002</v>
      </c>
      <c r="F177" s="93">
        <f>IFERROR(__xludf.DUMMYFUNCTION("GOOGLEFINANCE(CONCATENATE(""NSE:"",  A177))"),10993.0)</f>
        <v>10993</v>
      </c>
      <c r="G177" s="11">
        <f t="shared" si="21"/>
        <v>835468</v>
      </c>
      <c r="H177" s="94">
        <f t="shared" si="22"/>
        <v>-0.5404289498</v>
      </c>
      <c r="I177" s="88"/>
      <c r="J177" s="81"/>
      <c r="K177" s="78"/>
      <c r="L177" s="79"/>
      <c r="M177" s="78"/>
      <c r="N177" s="69"/>
      <c r="O177" s="69"/>
      <c r="P177" s="69"/>
      <c r="Q177" s="69"/>
      <c r="R177" s="69"/>
      <c r="S177" s="88"/>
      <c r="T177" s="88"/>
      <c r="U177" s="88"/>
      <c r="V177" s="88"/>
      <c r="W177" s="88"/>
      <c r="X177" s="88"/>
      <c r="Y177" s="88"/>
      <c r="Z177" s="88"/>
    </row>
    <row r="178">
      <c r="A178" s="63" t="s">
        <v>16</v>
      </c>
      <c r="B178" s="80">
        <v>198.0</v>
      </c>
      <c r="C178" s="80">
        <v>5685.4924</v>
      </c>
      <c r="D178" s="80">
        <v>198.0</v>
      </c>
      <c r="E178" s="11">
        <f t="shared" si="20"/>
        <v>1125727.495</v>
      </c>
      <c r="F178" s="93">
        <f>IFERROR(__xludf.DUMMYFUNCTION("GOOGLEFINANCE(CONCATENATE(""NSE:"",  A178))"),3537.8)</f>
        <v>3537.8</v>
      </c>
      <c r="G178" s="11">
        <f t="shared" si="21"/>
        <v>700484.4</v>
      </c>
      <c r="H178" s="94">
        <f t="shared" si="22"/>
        <v>-0.3777495859</v>
      </c>
      <c r="I178" s="88"/>
      <c r="J178" s="81"/>
      <c r="K178" s="78"/>
      <c r="L178" s="79"/>
      <c r="M178" s="78"/>
      <c r="N178" s="69"/>
      <c r="O178" s="69"/>
      <c r="P178" s="69"/>
      <c r="Q178" s="69"/>
      <c r="R178" s="69"/>
      <c r="S178" s="88"/>
      <c r="T178" s="88"/>
      <c r="U178" s="88"/>
      <c r="V178" s="88"/>
      <c r="W178" s="88"/>
      <c r="X178" s="88"/>
      <c r="Y178" s="88"/>
      <c r="Z178" s="88"/>
    </row>
    <row r="179">
      <c r="A179" s="63" t="s">
        <v>348</v>
      </c>
      <c r="B179" s="80">
        <v>1929.0</v>
      </c>
      <c r="C179" s="80">
        <v>450.6714</v>
      </c>
      <c r="D179" s="80">
        <v>1929.0</v>
      </c>
      <c r="E179" s="11">
        <f t="shared" si="20"/>
        <v>869345.1306</v>
      </c>
      <c r="F179" s="93">
        <f>IFERROR(__xludf.DUMMYFUNCTION("GOOGLEFINANCE(CONCATENATE(""NSE:"",  A179))"),547.0)</f>
        <v>547</v>
      </c>
      <c r="G179" s="11">
        <f t="shared" si="21"/>
        <v>1055163</v>
      </c>
      <c r="H179" s="94">
        <f t="shared" si="22"/>
        <v>0.2137446485</v>
      </c>
      <c r="I179" s="88"/>
      <c r="J179" s="81"/>
      <c r="K179" s="78"/>
      <c r="L179" s="79"/>
      <c r="M179" s="78"/>
      <c r="N179" s="69"/>
      <c r="O179" s="69"/>
      <c r="P179" s="69"/>
      <c r="Q179" s="69"/>
      <c r="R179" s="69"/>
      <c r="S179" s="88"/>
      <c r="T179" s="88"/>
      <c r="U179" s="88"/>
      <c r="V179" s="88"/>
      <c r="W179" s="88"/>
      <c r="X179" s="88"/>
      <c r="Y179" s="88"/>
      <c r="Z179" s="88"/>
    </row>
    <row r="180">
      <c r="A180" s="63" t="s">
        <v>388</v>
      </c>
      <c r="B180" s="80">
        <v>58.0</v>
      </c>
      <c r="C180" s="80">
        <v>12210.9483</v>
      </c>
      <c r="D180" s="80">
        <v>58.0</v>
      </c>
      <c r="E180" s="11">
        <f t="shared" si="20"/>
        <v>708235.0014</v>
      </c>
      <c r="F180" s="93">
        <f>IFERROR(__xludf.DUMMYFUNCTION("GOOGLEFINANCE(CONCATENATE(""NSE:"",  A180))"),22780.0)</f>
        <v>22780</v>
      </c>
      <c r="G180" s="11">
        <f t="shared" si="21"/>
        <v>1321240</v>
      </c>
      <c r="H180" s="94">
        <f t="shared" si="22"/>
        <v>0.865538977</v>
      </c>
      <c r="I180" s="88"/>
      <c r="J180" s="81"/>
      <c r="K180" s="78"/>
      <c r="L180" s="79"/>
      <c r="M180" s="78"/>
      <c r="N180" s="69"/>
      <c r="O180" s="69"/>
      <c r="P180" s="69"/>
      <c r="Q180" s="69"/>
      <c r="R180" s="69"/>
      <c r="S180" s="88"/>
      <c r="T180" s="88"/>
      <c r="U180" s="88"/>
      <c r="V180" s="88"/>
      <c r="W180" s="88"/>
      <c r="X180" s="88"/>
      <c r="Y180" s="88"/>
      <c r="Z180" s="88"/>
    </row>
    <row r="181">
      <c r="A181" s="63" t="s">
        <v>75</v>
      </c>
      <c r="B181" s="80">
        <v>1456.0</v>
      </c>
      <c r="C181" s="80">
        <v>826.4207</v>
      </c>
      <c r="D181" s="80">
        <v>1456.0</v>
      </c>
      <c r="E181" s="11">
        <f t="shared" si="20"/>
        <v>1203268.539</v>
      </c>
      <c r="F181" s="93">
        <f>IFERROR(__xludf.DUMMYFUNCTION("GOOGLEFINANCE(CONCATENATE(""NSE:"",  A181))"),1761.4)</f>
        <v>1761.4</v>
      </c>
      <c r="G181" s="11">
        <f t="shared" si="21"/>
        <v>2564598.4</v>
      </c>
      <c r="H181" s="94">
        <f t="shared" si="22"/>
        <v>1.131359972</v>
      </c>
      <c r="I181" s="88"/>
      <c r="J181" s="1"/>
      <c r="K181" s="1"/>
      <c r="L181" s="68"/>
      <c r="M181" s="1"/>
      <c r="N181" s="1"/>
      <c r="O181" s="17"/>
      <c r="P181" s="17"/>
      <c r="Q181" s="88"/>
      <c r="R181" s="88"/>
      <c r="S181" s="88"/>
      <c r="T181" s="88"/>
      <c r="U181" s="88"/>
      <c r="V181" s="88"/>
      <c r="W181" s="88"/>
      <c r="X181" s="88"/>
      <c r="Y181" s="88"/>
      <c r="Z181" s="88"/>
    </row>
    <row r="182">
      <c r="A182" s="63" t="s">
        <v>392</v>
      </c>
      <c r="B182" s="80">
        <v>2265.0</v>
      </c>
      <c r="C182" s="80">
        <v>818.7957</v>
      </c>
      <c r="D182" s="80">
        <v>2265.0</v>
      </c>
      <c r="E182" s="11">
        <f t="shared" si="20"/>
        <v>1854572.261</v>
      </c>
      <c r="F182" s="93">
        <f>IFERROR(__xludf.DUMMYFUNCTION("GOOGLEFINANCE(CONCATENATE(""NSE:"",  A182))"),527.8)</f>
        <v>527.8</v>
      </c>
      <c r="G182" s="11">
        <f t="shared" si="21"/>
        <v>1195467</v>
      </c>
      <c r="H182" s="94">
        <f t="shared" si="22"/>
        <v>-0.3553947584</v>
      </c>
      <c r="I182" s="88"/>
      <c r="J182" s="1"/>
      <c r="K182" s="1"/>
      <c r="L182" s="68"/>
      <c r="M182" s="1"/>
      <c r="N182" s="1"/>
      <c r="O182" s="17"/>
      <c r="P182" s="17"/>
      <c r="Q182" s="88"/>
      <c r="R182" s="88"/>
      <c r="S182" s="88"/>
      <c r="T182" s="88"/>
      <c r="U182" s="88"/>
      <c r="V182" s="88"/>
      <c r="W182" s="88"/>
      <c r="X182" s="88"/>
      <c r="Y182" s="88"/>
      <c r="Z182" s="88"/>
    </row>
    <row r="183">
      <c r="A183" s="63" t="s">
        <v>350</v>
      </c>
      <c r="B183" s="80">
        <v>1731.0</v>
      </c>
      <c r="C183" s="80">
        <v>443.0186</v>
      </c>
      <c r="D183" s="80">
        <v>1731.0</v>
      </c>
      <c r="E183" s="11">
        <f t="shared" si="20"/>
        <v>766865.1966</v>
      </c>
      <c r="F183" s="93">
        <f>IFERROR(__xludf.DUMMYFUNCTION("GOOGLEFINANCE(CONCATENATE(""NSE:"",  A183))"),508.85)</f>
        <v>508.85</v>
      </c>
      <c r="G183" s="11">
        <f t="shared" si="21"/>
        <v>880819.35</v>
      </c>
      <c r="H183" s="94">
        <f t="shared" si="22"/>
        <v>0.1485973727</v>
      </c>
      <c r="I183" s="88"/>
      <c r="J183" s="1"/>
      <c r="K183" s="1"/>
      <c r="L183" s="68"/>
      <c r="M183" s="1"/>
      <c r="N183" s="1"/>
      <c r="O183" s="17"/>
      <c r="P183" s="17"/>
      <c r="Q183" s="88"/>
      <c r="R183" s="88"/>
      <c r="S183" s="88"/>
      <c r="T183" s="88"/>
      <c r="U183" s="88"/>
      <c r="V183" s="88"/>
      <c r="W183" s="88"/>
      <c r="X183" s="88"/>
      <c r="Y183" s="88"/>
      <c r="Z183" s="88"/>
    </row>
    <row r="184">
      <c r="A184" s="63" t="s">
        <v>351</v>
      </c>
      <c r="B184" s="80">
        <v>831.0</v>
      </c>
      <c r="C184" s="80">
        <v>1254.0994</v>
      </c>
      <c r="D184" s="80">
        <v>831.0</v>
      </c>
      <c r="E184" s="11">
        <f t="shared" si="20"/>
        <v>1042156.601</v>
      </c>
      <c r="F184" s="93">
        <f>IFERROR(__xludf.DUMMYFUNCTION("GOOGLEFINANCE(CONCATENATE(""NSE:"",  A184))"),2044.3)</f>
        <v>2044.3</v>
      </c>
      <c r="G184" s="11">
        <f t="shared" si="21"/>
        <v>1698813.3</v>
      </c>
      <c r="H184" s="94">
        <f t="shared" si="22"/>
        <v>0.6300940739</v>
      </c>
      <c r="I184" s="88"/>
      <c r="J184" s="1"/>
      <c r="K184" s="1"/>
      <c r="L184" s="68"/>
      <c r="M184" s="1"/>
      <c r="N184" s="1"/>
      <c r="O184" s="17"/>
      <c r="P184" s="17"/>
      <c r="Q184" s="88"/>
      <c r="R184" s="88"/>
      <c r="S184" s="88"/>
      <c r="T184" s="88"/>
      <c r="U184" s="88"/>
      <c r="V184" s="88"/>
      <c r="W184" s="88"/>
      <c r="X184" s="88"/>
      <c r="Y184" s="88"/>
      <c r="Z184" s="88"/>
    </row>
    <row r="185">
      <c r="A185" s="117"/>
      <c r="B185" s="118"/>
      <c r="C185" s="118"/>
      <c r="D185" s="119"/>
      <c r="E185" s="119">
        <f>SUM(E165:E184)</f>
        <v>21428637.96</v>
      </c>
      <c r="F185" s="119"/>
      <c r="G185" s="120">
        <f>SUM(G165:G184)</f>
        <v>22188959.45</v>
      </c>
      <c r="H185" s="119"/>
      <c r="I185" s="119"/>
      <c r="J185" s="1"/>
      <c r="K185" s="1"/>
      <c r="L185" s="68"/>
      <c r="M185" s="1"/>
      <c r="N185" s="1"/>
      <c r="O185" s="17"/>
      <c r="P185" s="17"/>
      <c r="Q185" s="119"/>
      <c r="R185" s="119"/>
      <c r="S185" s="119"/>
      <c r="T185" s="119"/>
      <c r="U185" s="119"/>
      <c r="V185" s="119"/>
      <c r="W185" s="119"/>
      <c r="X185" s="119"/>
      <c r="Y185" s="119"/>
      <c r="Z185" s="119"/>
    </row>
    <row r="186">
      <c r="A186" s="66">
        <v>45709.0</v>
      </c>
      <c r="B186" s="67" t="s">
        <v>307</v>
      </c>
      <c r="C186" s="67" t="s">
        <v>308</v>
      </c>
      <c r="D186" s="76"/>
      <c r="E186" s="121"/>
      <c r="F186" s="121"/>
      <c r="G186" s="122"/>
      <c r="H186" s="123"/>
      <c r="I186" s="46"/>
      <c r="J186" s="123"/>
      <c r="K186" s="86"/>
      <c r="L186" s="124"/>
      <c r="M186" s="86"/>
    </row>
    <row r="187">
      <c r="A187" s="70" t="s">
        <v>49</v>
      </c>
      <c r="B187" s="80">
        <v>123.0</v>
      </c>
      <c r="C187" s="80">
        <v>5291.23</v>
      </c>
      <c r="D187" s="125"/>
      <c r="E187" s="109"/>
      <c r="F187" s="1"/>
      <c r="G187" s="1"/>
      <c r="H187" s="1"/>
      <c r="I187" s="1"/>
      <c r="J187" s="1"/>
    </row>
    <row r="188">
      <c r="A188" s="63" t="s">
        <v>46</v>
      </c>
      <c r="B188" s="80">
        <v>216.0</v>
      </c>
      <c r="C188" s="80">
        <v>5135.38</v>
      </c>
      <c r="D188" s="125"/>
      <c r="E188" s="109"/>
      <c r="F188" s="1"/>
      <c r="G188" s="1"/>
      <c r="H188" s="17"/>
      <c r="I188" s="17"/>
      <c r="J188" s="17"/>
    </row>
    <row r="189">
      <c r="A189" s="63" t="s">
        <v>2</v>
      </c>
      <c r="B189" s="80">
        <v>638.0</v>
      </c>
      <c r="C189" s="80">
        <v>1192.96</v>
      </c>
      <c r="D189" s="125"/>
      <c r="E189" s="109"/>
      <c r="F189" s="1"/>
      <c r="G189" s="1"/>
      <c r="H189" s="17"/>
      <c r="I189" s="17"/>
      <c r="J189" s="17"/>
    </row>
    <row r="190">
      <c r="A190" s="63" t="s">
        <v>56</v>
      </c>
      <c r="B190" s="80">
        <v>1052.0</v>
      </c>
      <c r="C190" s="80">
        <v>952.84</v>
      </c>
      <c r="D190" s="125"/>
      <c r="E190" s="109"/>
      <c r="F190" s="1"/>
      <c r="G190" s="1"/>
      <c r="H190" s="17"/>
      <c r="I190" s="17"/>
      <c r="J190" s="17"/>
    </row>
    <row r="191">
      <c r="A191" s="63" t="s">
        <v>14</v>
      </c>
      <c r="B191" s="80">
        <v>78.0</v>
      </c>
      <c r="C191" s="80">
        <v>13964.15</v>
      </c>
      <c r="D191" s="125"/>
      <c r="E191" s="109"/>
      <c r="F191" s="1"/>
      <c r="G191" s="1"/>
      <c r="H191" s="17"/>
      <c r="I191" s="17"/>
      <c r="J191" s="17"/>
    </row>
    <row r="192">
      <c r="A192" s="63" t="s">
        <v>66</v>
      </c>
      <c r="B192" s="80">
        <v>273.0</v>
      </c>
      <c r="C192" s="80">
        <v>2556.24</v>
      </c>
      <c r="D192" s="125"/>
      <c r="E192" s="109"/>
      <c r="F192" s="1"/>
      <c r="G192" s="1"/>
      <c r="H192" s="17"/>
      <c r="I192" s="17"/>
      <c r="J192" s="17"/>
    </row>
    <row r="193">
      <c r="A193" s="63" t="s">
        <v>69</v>
      </c>
      <c r="B193" s="80">
        <v>2251.0</v>
      </c>
      <c r="C193" s="80">
        <v>341.37</v>
      </c>
      <c r="D193" s="125"/>
      <c r="E193" s="109"/>
      <c r="F193" s="1"/>
      <c r="G193" s="1"/>
      <c r="H193" s="17"/>
      <c r="I193" s="17"/>
      <c r="J193" s="17"/>
    </row>
    <row r="194">
      <c r="A194" s="63" t="s">
        <v>7</v>
      </c>
      <c r="B194" s="80">
        <v>147.0</v>
      </c>
      <c r="C194" s="80">
        <v>7514.62</v>
      </c>
      <c r="D194" s="125"/>
      <c r="E194" s="109"/>
      <c r="F194" s="1"/>
      <c r="G194" s="1"/>
      <c r="H194" s="17"/>
      <c r="I194" s="17"/>
      <c r="J194" s="17"/>
    </row>
    <row r="195">
      <c r="A195" s="63" t="s">
        <v>60</v>
      </c>
      <c r="B195" s="80">
        <v>726.0</v>
      </c>
      <c r="C195" s="80">
        <v>1224.1</v>
      </c>
      <c r="D195" s="125"/>
      <c r="E195" s="109"/>
      <c r="F195" s="1"/>
      <c r="G195" s="1"/>
      <c r="H195" s="17"/>
      <c r="I195" s="17"/>
      <c r="J195" s="17"/>
    </row>
    <row r="196">
      <c r="A196" s="63" t="s">
        <v>9</v>
      </c>
      <c r="B196" s="80">
        <v>720.0</v>
      </c>
      <c r="C196" s="80">
        <v>1385.38</v>
      </c>
      <c r="D196" s="125"/>
      <c r="E196" s="109"/>
      <c r="F196" s="1"/>
      <c r="G196" s="1"/>
      <c r="H196" s="17"/>
      <c r="I196" s="17"/>
      <c r="J196" s="17"/>
    </row>
    <row r="197">
      <c r="A197" s="63" t="s">
        <v>12</v>
      </c>
      <c r="B197" s="80">
        <v>711.0</v>
      </c>
      <c r="C197" s="80">
        <v>955.95</v>
      </c>
      <c r="D197" s="125"/>
      <c r="E197" s="109"/>
      <c r="F197" s="1"/>
      <c r="G197" s="1"/>
      <c r="H197" s="17"/>
      <c r="I197" s="17"/>
      <c r="J197" s="17"/>
    </row>
    <row r="198">
      <c r="A198" s="63" t="s">
        <v>448</v>
      </c>
      <c r="B198" s="80">
        <v>1022.0</v>
      </c>
      <c r="C198" s="80">
        <v>918.99</v>
      </c>
      <c r="D198" s="125"/>
      <c r="E198" s="109"/>
      <c r="F198" s="1"/>
      <c r="G198" s="1"/>
      <c r="H198" s="17"/>
      <c r="I198" s="17"/>
      <c r="J198" s="17"/>
    </row>
    <row r="199">
      <c r="A199" s="63" t="s">
        <v>70</v>
      </c>
      <c r="B199" s="80">
        <v>516.0</v>
      </c>
      <c r="C199" s="80">
        <v>1794.44</v>
      </c>
      <c r="D199" s="125"/>
      <c r="E199" s="109"/>
      <c r="F199" s="1"/>
      <c r="G199" s="1"/>
      <c r="H199" s="17"/>
      <c r="I199" s="17"/>
      <c r="J199" s="17"/>
    </row>
    <row r="200">
      <c r="A200" s="63" t="s">
        <v>68</v>
      </c>
      <c r="B200" s="80">
        <v>867.0</v>
      </c>
      <c r="C200" s="80">
        <v>1108.23</v>
      </c>
      <c r="D200" s="125"/>
      <c r="E200" s="109"/>
      <c r="F200" s="1"/>
      <c r="G200" s="1"/>
      <c r="H200" s="17"/>
      <c r="I200" s="17"/>
      <c r="J200" s="17"/>
    </row>
    <row r="201">
      <c r="A201" s="63" t="s">
        <v>72</v>
      </c>
      <c r="B201" s="80">
        <v>528.0</v>
      </c>
      <c r="C201" s="80">
        <v>1993.03</v>
      </c>
      <c r="D201" s="125"/>
      <c r="E201" s="109"/>
      <c r="F201" s="1"/>
      <c r="G201" s="1"/>
      <c r="H201" s="17"/>
      <c r="I201" s="17"/>
      <c r="J201" s="17"/>
    </row>
    <row r="202">
      <c r="A202" s="63" t="s">
        <v>75</v>
      </c>
      <c r="B202" s="80">
        <v>1180.0</v>
      </c>
      <c r="C202" s="80">
        <v>717.64</v>
      </c>
      <c r="D202" s="125"/>
      <c r="E202" s="109"/>
      <c r="F202" s="1"/>
      <c r="G202" s="1"/>
      <c r="H202" s="17"/>
      <c r="I202" s="17"/>
      <c r="J202" s="17"/>
    </row>
    <row r="203">
      <c r="A203" s="63" t="s">
        <v>33</v>
      </c>
      <c r="B203" s="80">
        <v>447.0</v>
      </c>
      <c r="C203" s="80">
        <v>1524.32</v>
      </c>
      <c r="D203" s="125"/>
      <c r="E203" s="109"/>
      <c r="F203" s="1"/>
      <c r="G203" s="1"/>
      <c r="H203" s="17"/>
      <c r="I203" s="17"/>
      <c r="J203" s="17"/>
    </row>
    <row r="204">
      <c r="A204" s="63" t="s">
        <v>15</v>
      </c>
      <c r="B204" s="80">
        <v>94.0</v>
      </c>
      <c r="C204" s="80">
        <v>10477.65</v>
      </c>
      <c r="D204" s="125"/>
      <c r="E204" s="109"/>
      <c r="F204" s="1"/>
      <c r="G204" s="1"/>
      <c r="H204" s="17"/>
      <c r="I204" s="17"/>
      <c r="J204" s="17"/>
    </row>
    <row r="205">
      <c r="A205" s="63" t="s">
        <v>411</v>
      </c>
      <c r="B205" s="80">
        <v>64.0</v>
      </c>
      <c r="C205" s="80">
        <v>10978.75</v>
      </c>
      <c r="D205" s="125"/>
      <c r="E205" s="109"/>
      <c r="F205" s="1"/>
      <c r="G205" s="1"/>
      <c r="H205" s="17"/>
      <c r="I205" s="17"/>
      <c r="J205" s="17"/>
    </row>
    <row r="206">
      <c r="A206" s="63" t="s">
        <v>0</v>
      </c>
      <c r="B206" s="80">
        <v>2458.0</v>
      </c>
      <c r="C206" s="80">
        <v>328.26</v>
      </c>
      <c r="D206" s="125"/>
      <c r="E206" s="126"/>
      <c r="F206" s="1"/>
      <c r="G206" s="1"/>
      <c r="H206" s="17"/>
      <c r="I206" s="17"/>
      <c r="J206" s="17"/>
    </row>
    <row r="207">
      <c r="A207" s="45"/>
      <c r="B207" s="45"/>
      <c r="C207" s="45"/>
      <c r="D207" s="45"/>
      <c r="E207" s="45"/>
      <c r="F207" s="1"/>
      <c r="G207" s="1"/>
      <c r="H207" s="17"/>
      <c r="I207" s="17"/>
      <c r="J207" s="17"/>
    </row>
    <row r="208">
      <c r="A208" s="127" t="s">
        <v>449</v>
      </c>
      <c r="B208" s="45"/>
      <c r="C208" s="128">
        <v>22417.1</v>
      </c>
      <c r="D208" s="129">
        <v>35.0</v>
      </c>
      <c r="E208" s="45"/>
      <c r="F208" s="21"/>
      <c r="G208" s="73"/>
      <c r="H208" s="73"/>
      <c r="I208" s="73"/>
      <c r="J208" s="21"/>
    </row>
    <row r="209">
      <c r="C209" s="46"/>
      <c r="D209" s="128">
        <v>875.0</v>
      </c>
      <c r="E209" s="45"/>
      <c r="F209" s="45"/>
      <c r="G209" s="109"/>
      <c r="J209" s="45"/>
    </row>
    <row r="211">
      <c r="A211" s="38">
        <v>45610.0</v>
      </c>
      <c r="B211" s="39" t="s">
        <v>307</v>
      </c>
      <c r="C211" s="39" t="s">
        <v>308</v>
      </c>
      <c r="D211" s="8"/>
      <c r="H211" s="130"/>
    </row>
    <row r="212">
      <c r="A212" s="111" t="s">
        <v>8</v>
      </c>
      <c r="B212" s="112">
        <v>152.0</v>
      </c>
      <c r="C212" s="112">
        <v>8389.0</v>
      </c>
    </row>
    <row r="213">
      <c r="A213" s="111" t="s">
        <v>14</v>
      </c>
      <c r="B213" s="112">
        <v>103.0</v>
      </c>
      <c r="C213" s="112">
        <v>13964.15</v>
      </c>
    </row>
    <row r="214">
      <c r="A214" s="111" t="s">
        <v>4</v>
      </c>
      <c r="B214" s="112">
        <v>222.0</v>
      </c>
      <c r="C214" s="112">
        <v>5032.0</v>
      </c>
    </row>
    <row r="215">
      <c r="A215" s="111" t="s">
        <v>28</v>
      </c>
      <c r="B215" s="112">
        <v>5101.0</v>
      </c>
      <c r="C215" s="112">
        <v>199.55</v>
      </c>
    </row>
    <row r="216">
      <c r="A216" s="111" t="s">
        <v>71</v>
      </c>
      <c r="B216" s="112">
        <v>732.0</v>
      </c>
      <c r="C216" s="112">
        <v>1305.5</v>
      </c>
    </row>
    <row r="217">
      <c r="A217" s="111" t="s">
        <v>450</v>
      </c>
      <c r="B217" s="112">
        <v>622.0</v>
      </c>
      <c r="C217" s="112">
        <v>1260.0</v>
      </c>
    </row>
    <row r="218">
      <c r="A218" s="111" t="s">
        <v>86</v>
      </c>
      <c r="B218" s="112">
        <v>175.0</v>
      </c>
      <c r="C218" s="112">
        <v>5575.0</v>
      </c>
    </row>
    <row r="219">
      <c r="A219" s="111" t="s">
        <v>77</v>
      </c>
      <c r="B219" s="112">
        <v>2143.0</v>
      </c>
      <c r="C219" s="112">
        <v>436.4</v>
      </c>
    </row>
    <row r="220">
      <c r="A220" s="111" t="s">
        <v>451</v>
      </c>
      <c r="B220" s="112">
        <v>446.0</v>
      </c>
      <c r="C220" s="112">
        <v>1907.5</v>
      </c>
    </row>
    <row r="221">
      <c r="A221" s="111" t="s">
        <v>452</v>
      </c>
      <c r="B221" s="112">
        <v>223.0</v>
      </c>
      <c r="C221" s="112">
        <v>3360.0</v>
      </c>
    </row>
    <row r="222">
      <c r="A222" s="111" t="s">
        <v>453</v>
      </c>
      <c r="B222" s="112">
        <v>132.0</v>
      </c>
      <c r="C222" s="112">
        <v>4925.65</v>
      </c>
    </row>
    <row r="223">
      <c r="A223" s="111" t="s">
        <v>118</v>
      </c>
      <c r="B223" s="112">
        <v>256.0</v>
      </c>
      <c r="C223" s="112">
        <v>2812.35</v>
      </c>
    </row>
    <row r="224">
      <c r="A224" s="111" t="s">
        <v>454</v>
      </c>
      <c r="B224" s="112">
        <v>89.0</v>
      </c>
      <c r="C224" s="112">
        <v>8504.9</v>
      </c>
    </row>
    <row r="225">
      <c r="A225" s="111" t="s">
        <v>455</v>
      </c>
      <c r="B225" s="112">
        <v>147.0</v>
      </c>
      <c r="C225" s="112">
        <v>5698.0</v>
      </c>
    </row>
    <row r="226">
      <c r="A226" s="111" t="s">
        <v>57</v>
      </c>
      <c r="B226" s="112">
        <v>2896.0</v>
      </c>
      <c r="C226" s="112">
        <v>255.0</v>
      </c>
    </row>
    <row r="227">
      <c r="A227" s="111" t="s">
        <v>456</v>
      </c>
      <c r="B227" s="112">
        <v>2161.0</v>
      </c>
      <c r="C227" s="112">
        <v>322.1</v>
      </c>
    </row>
    <row r="228">
      <c r="A228" s="111" t="s">
        <v>131</v>
      </c>
      <c r="B228" s="112">
        <v>4785.0</v>
      </c>
      <c r="C228" s="112">
        <v>128.5</v>
      </c>
    </row>
    <row r="229">
      <c r="A229" s="111" t="s">
        <v>457</v>
      </c>
      <c r="B229" s="112">
        <v>278.0</v>
      </c>
      <c r="C229" s="112">
        <v>2663.5</v>
      </c>
    </row>
    <row r="230">
      <c r="A230" s="111" t="s">
        <v>458</v>
      </c>
      <c r="B230" s="112">
        <v>127.0</v>
      </c>
      <c r="C230" s="112">
        <v>5702.75</v>
      </c>
    </row>
    <row r="231">
      <c r="A231" s="111" t="s">
        <v>459</v>
      </c>
      <c r="B231" s="112">
        <v>22.0</v>
      </c>
      <c r="C231" s="112">
        <v>27218.0</v>
      </c>
    </row>
    <row r="234">
      <c r="C234" s="59">
        <v>46055.0</v>
      </c>
    </row>
  </sheetData>
  <mergeCells count="1">
    <mergeCell ref="H2:J2"/>
  </mergeCells>
  <conditionalFormatting sqref="C49">
    <cfRule type="notContainsBlanks" dxfId="1" priority="1">
      <formula>LEN(TRIM(C49))&gt;0</formula>
    </cfRule>
  </conditionalFormatting>
  <conditionalFormatting sqref="C50">
    <cfRule type="notContainsBlanks" dxfId="1" priority="2">
      <formula>LEN(TRIM(C50))&gt;0</formula>
    </cfRule>
  </conditionalFormatting>
  <conditionalFormatting sqref="C51">
    <cfRule type="notContainsBlanks" dxfId="1" priority="3">
      <formula>LEN(TRIM(C51))&gt;0</formula>
    </cfRule>
  </conditionalFormatting>
  <conditionalFormatting sqref="C52">
    <cfRule type="notContainsBlanks" dxfId="1" priority="4">
      <formula>LEN(TRIM(C52))&gt;0</formula>
    </cfRule>
  </conditionalFormatting>
  <conditionalFormatting sqref="C53">
    <cfRule type="notContainsBlanks" dxfId="1" priority="5">
      <formula>LEN(TRIM(C53))&gt;0</formula>
    </cfRule>
  </conditionalFormatting>
  <conditionalFormatting sqref="C54">
    <cfRule type="notContainsBlanks" dxfId="1" priority="6">
      <formula>LEN(TRIM(C54))&gt;0</formula>
    </cfRule>
  </conditionalFormatting>
  <conditionalFormatting sqref="C55">
    <cfRule type="notContainsBlanks" dxfId="1" priority="7">
      <formula>LEN(TRIM(C55))&gt;0</formula>
    </cfRule>
  </conditionalFormatting>
  <conditionalFormatting sqref="C56">
    <cfRule type="notContainsBlanks" dxfId="1" priority="8">
      <formula>LEN(TRIM(C56))&gt;0</formula>
    </cfRule>
  </conditionalFormatting>
  <conditionalFormatting sqref="C57">
    <cfRule type="notContainsBlanks" dxfId="1" priority="9">
      <formula>LEN(TRIM(C57))&gt;0</formula>
    </cfRule>
  </conditionalFormatting>
  <conditionalFormatting sqref="C58">
    <cfRule type="notContainsBlanks" dxfId="1" priority="10">
      <formula>LEN(TRIM(C58))&gt;0</formula>
    </cfRule>
  </conditionalFormatting>
  <conditionalFormatting sqref="C59">
    <cfRule type="notContainsBlanks" dxfId="1" priority="11">
      <formula>LEN(TRIM(C59))&gt;0</formula>
    </cfRule>
  </conditionalFormatting>
  <conditionalFormatting sqref="C60">
    <cfRule type="notContainsBlanks" dxfId="1" priority="12">
      <formula>LEN(TRIM(C60))&gt;0</formula>
    </cfRule>
  </conditionalFormatting>
  <conditionalFormatting sqref="C61">
    <cfRule type="notContainsBlanks" dxfId="1" priority="13">
      <formula>LEN(TRIM(C61))&gt;0</formula>
    </cfRule>
  </conditionalFormatting>
  <conditionalFormatting sqref="C62">
    <cfRule type="notContainsBlanks" dxfId="1" priority="14">
      <formula>LEN(TRIM(C62))&gt;0</formula>
    </cfRule>
  </conditionalFormatting>
  <conditionalFormatting sqref="C63">
    <cfRule type="notContainsBlanks" dxfId="1" priority="15">
      <formula>LEN(TRIM(C63))&gt;0</formula>
    </cfRule>
  </conditionalFormatting>
  <conditionalFormatting sqref="C64">
    <cfRule type="notContainsBlanks" dxfId="1" priority="16">
      <formula>LEN(TRIM(C64))&gt;0</formula>
    </cfRule>
  </conditionalFormatting>
  <conditionalFormatting sqref="C65">
    <cfRule type="notContainsBlanks" dxfId="1" priority="17">
      <formula>LEN(TRIM(C65))&gt;0</formula>
    </cfRule>
  </conditionalFormatting>
  <conditionalFormatting sqref="C47">
    <cfRule type="notContainsBlanks" dxfId="1" priority="18">
      <formula>LEN(TRIM(C47))&gt;0</formula>
    </cfRule>
  </conditionalFormatting>
  <conditionalFormatting sqref="C48">
    <cfRule type="notContainsBlanks" dxfId="1" priority="19">
      <formula>LEN(TRIM(C48))&gt;0</formula>
    </cfRule>
  </conditionalFormatting>
  <conditionalFormatting sqref="C46">
    <cfRule type="notContainsBlanks" dxfId="1" priority="20">
      <formula>LEN(TRIM(C46))&gt;0</formula>
    </cfRule>
  </conditionalFormatting>
  <conditionalFormatting sqref="C45">
    <cfRule type="notContainsBlanks" dxfId="1" priority="21">
      <formula>LEN(TRIM(C45))&gt;0</formula>
    </cfRule>
  </conditionalFormatting>
  <conditionalFormatting sqref="C40">
    <cfRule type="notContainsBlanks" dxfId="1" priority="22">
      <formula>LEN(TRIM(C40))&gt;0</formula>
    </cfRule>
  </conditionalFormatting>
  <conditionalFormatting sqref="C41">
    <cfRule type="notContainsBlanks" dxfId="1" priority="23">
      <formula>LEN(TRIM(C41))&gt;0</formula>
    </cfRule>
  </conditionalFormatting>
  <conditionalFormatting sqref="C42">
    <cfRule type="notContainsBlanks" dxfId="1" priority="24">
      <formula>LEN(TRIM(C42))&gt;0</formula>
    </cfRule>
  </conditionalFormatting>
  <conditionalFormatting sqref="C43">
    <cfRule type="notContainsBlanks" dxfId="1" priority="25">
      <formula>LEN(TRIM(C43))&gt;0</formula>
    </cfRule>
  </conditionalFormatting>
  <conditionalFormatting sqref="C44">
    <cfRule type="notContainsBlanks" dxfId="1" priority="26">
      <formula>LEN(TRIM(C44))&gt;0</formula>
    </cfRule>
  </conditionalFormatting>
  <conditionalFormatting sqref="C39">
    <cfRule type="notContainsBlanks" dxfId="1" priority="27">
      <formula>LEN(TRIM(C39))&gt;0</formula>
    </cfRule>
  </conditionalFormatting>
  <conditionalFormatting sqref="C38">
    <cfRule type="notContainsBlanks" dxfId="1" priority="28">
      <formula>LEN(TRIM(C38))&gt;0</formula>
    </cfRule>
  </conditionalFormatting>
  <conditionalFormatting sqref="C36">
    <cfRule type="notContainsBlanks" dxfId="1" priority="29">
      <formula>LEN(TRIM(C36))&gt;0</formula>
    </cfRule>
  </conditionalFormatting>
  <conditionalFormatting sqref="C37">
    <cfRule type="notContainsBlanks" dxfId="1" priority="30">
      <formula>LEN(TRIM(C37))&gt;0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0.71"/>
  </cols>
  <sheetData>
    <row r="1">
      <c r="A1" s="8" t="s">
        <v>296</v>
      </c>
      <c r="B1" s="8">
        <v>9907714.97</v>
      </c>
      <c r="C1" s="8" t="s">
        <v>298</v>
      </c>
      <c r="D1" s="59">
        <v>46268.0</v>
      </c>
    </row>
    <row r="2">
      <c r="A2" s="8" t="s">
        <v>299</v>
      </c>
      <c r="B2" s="59">
        <v>46296.0</v>
      </c>
      <c r="C2" s="8"/>
      <c r="D2" s="59"/>
    </row>
    <row r="3">
      <c r="A3" s="60">
        <v>46268.0</v>
      </c>
      <c r="B3" s="39" t="s">
        <v>300</v>
      </c>
      <c r="C3" s="39" t="s">
        <v>308</v>
      </c>
      <c r="D3" s="40" t="s">
        <v>302</v>
      </c>
      <c r="E3" s="40" t="s">
        <v>303</v>
      </c>
      <c r="F3" s="40" t="s">
        <v>304</v>
      </c>
      <c r="G3" s="40" t="s">
        <v>305</v>
      </c>
      <c r="H3" s="40" t="s">
        <v>306</v>
      </c>
    </row>
    <row r="4">
      <c r="A4" s="14" t="s">
        <v>141</v>
      </c>
      <c r="B4" s="14">
        <v>427.0</v>
      </c>
      <c r="C4" s="61">
        <v>1138.0</v>
      </c>
      <c r="D4" s="14">
        <f t="shared" ref="D4:D23" si="1">B4</f>
        <v>427</v>
      </c>
      <c r="E4" s="14">
        <f t="shared" ref="E4:E23" si="2">C4*D4</f>
        <v>485926</v>
      </c>
      <c r="F4" s="14">
        <f>IFERROR(__xludf.DUMMYFUNCTION("GOOGLEFINANCE(CONCAT(""NSE:"",A4))"),1080.2)</f>
        <v>1080.2</v>
      </c>
      <c r="G4" s="14">
        <f t="shared" ref="G4:G23" si="3">D4*F4</f>
        <v>461245.4</v>
      </c>
      <c r="H4" s="44">
        <f t="shared" ref="H4:H23" si="4">(G4-E4)/E4</f>
        <v>-0.05079086116</v>
      </c>
    </row>
    <row r="5">
      <c r="A5" s="14" t="s">
        <v>163</v>
      </c>
      <c r="B5" s="14">
        <v>1577.0</v>
      </c>
      <c r="C5" s="61">
        <v>305.5</v>
      </c>
      <c r="D5" s="14">
        <f t="shared" si="1"/>
        <v>1577</v>
      </c>
      <c r="E5" s="14">
        <f t="shared" si="2"/>
        <v>481773.5</v>
      </c>
      <c r="F5" s="14">
        <f>IFERROR(__xludf.DUMMYFUNCTION("GOOGLEFINANCE(CONCAT(""NSE:"",A5))"),289.4)</f>
        <v>289.4</v>
      </c>
      <c r="G5" s="14">
        <f t="shared" si="3"/>
        <v>456383.8</v>
      </c>
      <c r="H5" s="44">
        <f t="shared" si="4"/>
        <v>-0.052700491</v>
      </c>
    </row>
    <row r="6">
      <c r="A6" s="14" t="s">
        <v>116</v>
      </c>
      <c r="B6" s="14">
        <v>424.0</v>
      </c>
      <c r="C6" s="61">
        <v>1146.0</v>
      </c>
      <c r="D6" s="14">
        <f t="shared" si="1"/>
        <v>424</v>
      </c>
      <c r="E6" s="14">
        <f t="shared" si="2"/>
        <v>485904</v>
      </c>
      <c r="F6" s="14">
        <f>IFERROR(__xludf.DUMMYFUNCTION("GOOGLEFINANCE(CONCAT(""NSE:"",A6))"),1124.4)</f>
        <v>1124.4</v>
      </c>
      <c r="G6" s="14">
        <f t="shared" si="3"/>
        <v>476745.6</v>
      </c>
      <c r="H6" s="44">
        <f t="shared" si="4"/>
        <v>-0.01884816754</v>
      </c>
    </row>
    <row r="7">
      <c r="A7" s="14" t="s">
        <v>174</v>
      </c>
      <c r="B7" s="14">
        <v>403.0</v>
      </c>
      <c r="C7" s="61">
        <v>1220.7</v>
      </c>
      <c r="D7" s="14">
        <f t="shared" si="1"/>
        <v>403</v>
      </c>
      <c r="E7" s="14">
        <f t="shared" si="2"/>
        <v>491942.1</v>
      </c>
      <c r="F7" s="14">
        <f>IFERROR(__xludf.DUMMYFUNCTION("GOOGLEFINANCE(CONCAT(""NSE:"",A7))"),1258.3)</f>
        <v>1258.3</v>
      </c>
      <c r="G7" s="14">
        <f t="shared" si="3"/>
        <v>507094.9</v>
      </c>
      <c r="H7" s="44">
        <f t="shared" si="4"/>
        <v>0.03080199885</v>
      </c>
    </row>
    <row r="8">
      <c r="A8" s="14" t="s">
        <v>61</v>
      </c>
      <c r="B8" s="14">
        <v>5828.0</v>
      </c>
      <c r="C8" s="61">
        <v>84.25</v>
      </c>
      <c r="D8" s="14">
        <f t="shared" si="1"/>
        <v>5828</v>
      </c>
      <c r="E8" s="14">
        <f t="shared" si="2"/>
        <v>491009</v>
      </c>
      <c r="F8" s="14">
        <f>IFERROR(__xludf.DUMMYFUNCTION("GOOGLEFINANCE(CONCAT(""NSE:"",A8))"),85.19)</f>
        <v>85.19</v>
      </c>
      <c r="G8" s="14">
        <f t="shared" si="3"/>
        <v>496487.32</v>
      </c>
      <c r="H8" s="44">
        <f t="shared" si="4"/>
        <v>0.01115727003</v>
      </c>
    </row>
    <row r="9">
      <c r="A9" s="14" t="s">
        <v>41</v>
      </c>
      <c r="B9" s="14">
        <v>3021.0</v>
      </c>
      <c r="C9" s="61">
        <v>159.94</v>
      </c>
      <c r="D9" s="14">
        <f t="shared" si="1"/>
        <v>3021</v>
      </c>
      <c r="E9" s="14">
        <f t="shared" si="2"/>
        <v>483178.74</v>
      </c>
      <c r="F9" s="14">
        <f>IFERROR(__xludf.DUMMYFUNCTION("GOOGLEFINANCE(CONCAT(""NSE:"",A9))"),172.69)</f>
        <v>172.69</v>
      </c>
      <c r="G9" s="14">
        <f t="shared" si="3"/>
        <v>521696.49</v>
      </c>
      <c r="H9" s="44">
        <f t="shared" si="4"/>
        <v>0.07971739402</v>
      </c>
    </row>
    <row r="10">
      <c r="A10" s="14" t="s">
        <v>50</v>
      </c>
      <c r="B10" s="14">
        <v>361.0</v>
      </c>
      <c r="C10" s="61">
        <v>1386.9</v>
      </c>
      <c r="D10" s="14">
        <f t="shared" si="1"/>
        <v>361</v>
      </c>
      <c r="E10" s="14">
        <f t="shared" si="2"/>
        <v>500670.9</v>
      </c>
      <c r="F10" s="14">
        <f>IFERROR(__xludf.DUMMYFUNCTION("GOOGLEFINANCE(CONCAT(""NSE:"",A10))"),1386.6)</f>
        <v>1386.6</v>
      </c>
      <c r="G10" s="14">
        <f t="shared" si="3"/>
        <v>500562.6</v>
      </c>
      <c r="H10" s="44">
        <f t="shared" si="4"/>
        <v>-0.0002163097556</v>
      </c>
    </row>
    <row r="11">
      <c r="A11" s="14" t="s">
        <v>56</v>
      </c>
      <c r="B11" s="14">
        <v>346.0</v>
      </c>
      <c r="C11" s="61">
        <v>1423.0</v>
      </c>
      <c r="D11" s="14">
        <f t="shared" si="1"/>
        <v>346</v>
      </c>
      <c r="E11" s="14">
        <f t="shared" si="2"/>
        <v>492358</v>
      </c>
      <c r="F11" s="14">
        <f>IFERROR(__xludf.DUMMYFUNCTION("GOOGLEFINANCE(CONCAT(""NSE:"",A11))"),1330.2)</f>
        <v>1330.2</v>
      </c>
      <c r="G11" s="14">
        <f t="shared" si="3"/>
        <v>460249.2</v>
      </c>
      <c r="H11" s="44">
        <f t="shared" si="4"/>
        <v>-0.06521433591</v>
      </c>
    </row>
    <row r="12">
      <c r="A12" s="14" t="s">
        <v>177</v>
      </c>
      <c r="B12" s="14">
        <v>1188.0</v>
      </c>
      <c r="C12" s="61">
        <v>410.1</v>
      </c>
      <c r="D12" s="14">
        <f t="shared" si="1"/>
        <v>1188</v>
      </c>
      <c r="E12" s="14">
        <f t="shared" si="2"/>
        <v>487198.8</v>
      </c>
      <c r="F12" s="14">
        <f>IFERROR(__xludf.DUMMYFUNCTION("GOOGLEFINANCE(CONCAT(""NSE:"",A12))"),410.15)</f>
        <v>410.15</v>
      </c>
      <c r="G12" s="14">
        <f t="shared" si="3"/>
        <v>487258.2</v>
      </c>
      <c r="H12" s="44">
        <f t="shared" si="4"/>
        <v>0.0001219214826</v>
      </c>
    </row>
    <row r="13">
      <c r="A13" s="14" t="s">
        <v>178</v>
      </c>
      <c r="B13" s="14">
        <v>250.0</v>
      </c>
      <c r="C13" s="61">
        <v>1927.5</v>
      </c>
      <c r="D13" s="14">
        <f t="shared" si="1"/>
        <v>250</v>
      </c>
      <c r="E13" s="14">
        <f t="shared" si="2"/>
        <v>481875</v>
      </c>
      <c r="F13" s="14">
        <f>IFERROR(__xludf.DUMMYFUNCTION("GOOGLEFINANCE(CONCAT(""NSE:"",A13))"),1673.8)</f>
        <v>1673.8</v>
      </c>
      <c r="G13" s="14">
        <f t="shared" si="3"/>
        <v>418450</v>
      </c>
      <c r="H13" s="44">
        <f t="shared" si="4"/>
        <v>-0.1316212711</v>
      </c>
    </row>
    <row r="14">
      <c r="A14" s="14" t="s">
        <v>58</v>
      </c>
      <c r="B14" s="14">
        <v>2056.0</v>
      </c>
      <c r="C14" s="61">
        <v>241.65</v>
      </c>
      <c r="D14" s="14">
        <f t="shared" si="1"/>
        <v>2056</v>
      </c>
      <c r="E14" s="14">
        <f t="shared" si="2"/>
        <v>496832.4</v>
      </c>
      <c r="F14" s="14">
        <f>IFERROR(__xludf.DUMMYFUNCTION("GOOGLEFINANCE(CONCAT(""NSE:"",A14))"),238.04)</f>
        <v>238.04</v>
      </c>
      <c r="G14" s="14">
        <f t="shared" si="3"/>
        <v>489410.24</v>
      </c>
      <c r="H14" s="44">
        <f t="shared" si="4"/>
        <v>-0.01493896131</v>
      </c>
    </row>
    <row r="15">
      <c r="A15" s="14" t="s">
        <v>179</v>
      </c>
      <c r="B15" s="14">
        <v>3825.0</v>
      </c>
      <c r="C15" s="61">
        <v>127.08</v>
      </c>
      <c r="D15" s="14">
        <f t="shared" si="1"/>
        <v>3825</v>
      </c>
      <c r="E15" s="14">
        <f t="shared" si="2"/>
        <v>486081</v>
      </c>
      <c r="F15" s="14">
        <f>IFERROR(__xludf.DUMMYFUNCTION("GOOGLEFINANCE(CONCAT(""NSE:"",A15))"),121.52)</f>
        <v>121.52</v>
      </c>
      <c r="G15" s="14">
        <f t="shared" si="3"/>
        <v>464814</v>
      </c>
      <c r="H15" s="44">
        <f t="shared" si="4"/>
        <v>-0.04375196726</v>
      </c>
    </row>
    <row r="16">
      <c r="A16" s="14" t="s">
        <v>68</v>
      </c>
      <c r="B16" s="14">
        <v>275.0</v>
      </c>
      <c r="C16" s="61">
        <v>1785.9</v>
      </c>
      <c r="D16" s="14">
        <f t="shared" si="1"/>
        <v>275</v>
      </c>
      <c r="E16" s="14">
        <f t="shared" si="2"/>
        <v>491122.5</v>
      </c>
      <c r="F16" s="14">
        <f>IFERROR(__xludf.DUMMYFUNCTION("GOOGLEFINANCE(CONCAT(""NSE:"",A16))"),1824.9)</f>
        <v>1824.9</v>
      </c>
      <c r="G16" s="14">
        <f t="shared" si="3"/>
        <v>501847.5</v>
      </c>
      <c r="H16" s="44">
        <f t="shared" si="4"/>
        <v>0.02183772888</v>
      </c>
    </row>
    <row r="17">
      <c r="A17" s="14" t="s">
        <v>180</v>
      </c>
      <c r="B17" s="14">
        <v>1123.0</v>
      </c>
      <c r="C17" s="61">
        <v>435.6</v>
      </c>
      <c r="D17" s="14">
        <f t="shared" si="1"/>
        <v>1123</v>
      </c>
      <c r="E17" s="14">
        <f t="shared" si="2"/>
        <v>489178.8</v>
      </c>
      <c r="F17" s="14">
        <f>IFERROR(__xludf.DUMMYFUNCTION("GOOGLEFINANCE(CONCAT(""NSE:"",A17))"),420.5)</f>
        <v>420.5</v>
      </c>
      <c r="G17" s="14">
        <f t="shared" si="3"/>
        <v>472221.5</v>
      </c>
      <c r="H17" s="44">
        <f t="shared" si="4"/>
        <v>-0.03466483012</v>
      </c>
    </row>
    <row r="18">
      <c r="A18" s="14" t="s">
        <v>83</v>
      </c>
      <c r="B18" s="14">
        <v>1453.0</v>
      </c>
      <c r="C18" s="61">
        <v>334.05</v>
      </c>
      <c r="D18" s="14">
        <f t="shared" si="1"/>
        <v>1453</v>
      </c>
      <c r="E18" s="14">
        <f t="shared" si="2"/>
        <v>485374.65</v>
      </c>
      <c r="F18" s="14">
        <f>IFERROR(__xludf.DUMMYFUNCTION("GOOGLEFINANCE(CONCAT(""NSE:"",A18))"),317.0)</f>
        <v>317</v>
      </c>
      <c r="G18" s="14">
        <f t="shared" si="3"/>
        <v>460601</v>
      </c>
      <c r="H18" s="44">
        <f t="shared" si="4"/>
        <v>-0.05104026343</v>
      </c>
    </row>
    <row r="19">
      <c r="A19" s="14" t="s">
        <v>119</v>
      </c>
      <c r="B19" s="14">
        <v>2618.0</v>
      </c>
      <c r="C19" s="61">
        <v>186.95</v>
      </c>
      <c r="D19" s="14">
        <f t="shared" si="1"/>
        <v>2618</v>
      </c>
      <c r="E19" s="14">
        <f t="shared" si="2"/>
        <v>489435.1</v>
      </c>
      <c r="F19" s="14">
        <f>IFERROR(__xludf.DUMMYFUNCTION("GOOGLEFINANCE(CONCAT(""NSE:"",A19))"),190.02)</f>
        <v>190.02</v>
      </c>
      <c r="G19" s="14">
        <f t="shared" si="3"/>
        <v>497472.36</v>
      </c>
      <c r="H19" s="44">
        <f t="shared" si="4"/>
        <v>0.01642150308</v>
      </c>
    </row>
    <row r="20">
      <c r="A20" s="14" t="s">
        <v>101</v>
      </c>
      <c r="B20" s="14">
        <v>2107.0</v>
      </c>
      <c r="C20" s="61">
        <v>238.29</v>
      </c>
      <c r="D20" s="14">
        <f t="shared" si="1"/>
        <v>2107</v>
      </c>
      <c r="E20" s="14">
        <f t="shared" si="2"/>
        <v>502077.03</v>
      </c>
      <c r="F20" s="14">
        <f>IFERROR(__xludf.DUMMYFUNCTION("GOOGLEFINANCE(CONCAT(""NSE:"",A20))"),232.81)</f>
        <v>232.81</v>
      </c>
      <c r="G20" s="14">
        <f t="shared" si="3"/>
        <v>490530.67</v>
      </c>
      <c r="H20" s="44">
        <f t="shared" si="4"/>
        <v>-0.0229971883</v>
      </c>
    </row>
    <row r="21">
      <c r="A21" s="14" t="s">
        <v>181</v>
      </c>
      <c r="B21" s="14">
        <v>1547.0</v>
      </c>
      <c r="C21" s="61">
        <v>314.1</v>
      </c>
      <c r="D21" s="14">
        <f t="shared" si="1"/>
        <v>1547</v>
      </c>
      <c r="E21" s="14">
        <f t="shared" si="2"/>
        <v>485912.7</v>
      </c>
      <c r="F21" s="14">
        <f>IFERROR(__xludf.DUMMYFUNCTION("GOOGLEFINANCE(CONCAT(""NSE:"",A21))"),323.85)</f>
        <v>323.85</v>
      </c>
      <c r="G21" s="14">
        <f t="shared" si="3"/>
        <v>500995.95</v>
      </c>
      <c r="H21" s="44">
        <f t="shared" si="4"/>
        <v>0.03104106972</v>
      </c>
    </row>
    <row r="22">
      <c r="A22" s="14" t="s">
        <v>120</v>
      </c>
      <c r="B22" s="14">
        <v>2661.0</v>
      </c>
      <c r="C22" s="61">
        <v>182.27</v>
      </c>
      <c r="D22" s="14">
        <f t="shared" si="1"/>
        <v>2661</v>
      </c>
      <c r="E22" s="14">
        <f t="shared" si="2"/>
        <v>485020.47</v>
      </c>
      <c r="F22" s="14">
        <f>IFERROR(__xludf.DUMMYFUNCTION("GOOGLEFINANCE(CONCAT(""NSE:"",A22))"),184.29)</f>
        <v>184.29</v>
      </c>
      <c r="G22" s="14">
        <f t="shared" si="3"/>
        <v>490395.69</v>
      </c>
      <c r="H22" s="44">
        <f t="shared" si="4"/>
        <v>0.01108246009</v>
      </c>
    </row>
    <row r="23">
      <c r="A23" s="14" t="s">
        <v>182</v>
      </c>
      <c r="B23" s="14">
        <v>22315.0</v>
      </c>
      <c r="C23" s="61">
        <v>21.9</v>
      </c>
      <c r="D23" s="14">
        <f t="shared" si="1"/>
        <v>22315</v>
      </c>
      <c r="E23" s="14">
        <f t="shared" si="2"/>
        <v>488698.5</v>
      </c>
      <c r="F23" s="14">
        <f>IFERROR(__xludf.DUMMYFUNCTION("GOOGLEFINANCE(CONCAT(""NSE:"",A23))"),22.98)</f>
        <v>22.98</v>
      </c>
      <c r="G23" s="14">
        <f t="shared" si="3"/>
        <v>512798.7</v>
      </c>
      <c r="H23" s="44">
        <f t="shared" si="4"/>
        <v>0.04931506849</v>
      </c>
    </row>
    <row r="24">
      <c r="C24" s="8"/>
      <c r="H24" s="44"/>
    </row>
    <row r="25">
      <c r="A25" s="8" t="s">
        <v>296</v>
      </c>
      <c r="B25" s="8">
        <v>9770443.0</v>
      </c>
      <c r="C25" s="8" t="s">
        <v>298</v>
      </c>
      <c r="D25" s="59">
        <v>46237.0</v>
      </c>
    </row>
    <row r="26">
      <c r="A26" s="8" t="s">
        <v>299</v>
      </c>
      <c r="B26" s="59">
        <v>46266.0</v>
      </c>
      <c r="C26" s="8"/>
      <c r="D26" s="59"/>
    </row>
    <row r="27">
      <c r="A27" s="60">
        <v>46237.0</v>
      </c>
      <c r="B27" s="39" t="s">
        <v>300</v>
      </c>
      <c r="C27" s="39" t="s">
        <v>308</v>
      </c>
      <c r="D27" s="40" t="s">
        <v>302</v>
      </c>
      <c r="E27" s="40" t="s">
        <v>303</v>
      </c>
      <c r="F27" s="40" t="s">
        <v>304</v>
      </c>
      <c r="G27" s="40" t="s">
        <v>305</v>
      </c>
      <c r="H27" s="40" t="s">
        <v>306</v>
      </c>
    </row>
    <row r="28">
      <c r="A28" s="64" t="s">
        <v>112</v>
      </c>
      <c r="B28" s="8">
        <v>493.0</v>
      </c>
      <c r="C28" s="65">
        <v>1001.3</v>
      </c>
      <c r="D28" s="8">
        <f t="shared" ref="D28:D47" si="5">B28</f>
        <v>493</v>
      </c>
      <c r="E28" s="14">
        <f t="shared" ref="E28:E47" si="6">B28*C28</f>
        <v>493640.9</v>
      </c>
      <c r="F28" s="14">
        <f>IFERROR(__xludf.DUMMYFUNCTION("GOOGLEFINANCE(CONCAT(""NSE:"",A28))"),983.7)</f>
        <v>983.7</v>
      </c>
      <c r="G28" s="14">
        <f t="shared" ref="G28:G47" si="7">D28*F28</f>
        <v>484964.1</v>
      </c>
      <c r="H28" s="44">
        <f t="shared" ref="H28:H47" si="8">(G28-E28)/E28</f>
        <v>-0.01757714971</v>
      </c>
    </row>
    <row r="29">
      <c r="A29" s="64" t="s">
        <v>61</v>
      </c>
      <c r="B29" s="8">
        <v>5766.0</v>
      </c>
      <c r="C29" s="65">
        <v>85.2</v>
      </c>
      <c r="D29" s="8">
        <f t="shared" si="5"/>
        <v>5766</v>
      </c>
      <c r="E29" s="14">
        <f t="shared" si="6"/>
        <v>491263.2</v>
      </c>
      <c r="F29" s="14">
        <f>IFERROR(__xludf.DUMMYFUNCTION("GOOGLEFINANCE(CONCAT(""NSE:"",A29))"),85.19)</f>
        <v>85.19</v>
      </c>
      <c r="G29" s="14">
        <f t="shared" si="7"/>
        <v>491205.54</v>
      </c>
      <c r="H29" s="44">
        <f t="shared" si="8"/>
        <v>-0.000117370892</v>
      </c>
    </row>
    <row r="30">
      <c r="A30" s="64" t="s">
        <v>116</v>
      </c>
      <c r="B30" s="8">
        <v>439.0</v>
      </c>
      <c r="C30" s="65">
        <v>1113.8</v>
      </c>
      <c r="D30" s="8">
        <f t="shared" si="5"/>
        <v>439</v>
      </c>
      <c r="E30" s="14">
        <f t="shared" si="6"/>
        <v>488958.2</v>
      </c>
      <c r="F30" s="14">
        <f>IFERROR(__xludf.DUMMYFUNCTION("GOOGLEFINANCE(CONCAT(""NSE:"",A30))"),1124.4)</f>
        <v>1124.4</v>
      </c>
      <c r="G30" s="14">
        <f t="shared" si="7"/>
        <v>493611.6</v>
      </c>
      <c r="H30" s="44">
        <f t="shared" si="8"/>
        <v>0.009516968935</v>
      </c>
    </row>
    <row r="31">
      <c r="A31" s="64" t="s">
        <v>68</v>
      </c>
      <c r="B31" s="8">
        <v>238.0</v>
      </c>
      <c r="C31" s="65">
        <v>2053.7</v>
      </c>
      <c r="D31" s="8">
        <f t="shared" si="5"/>
        <v>238</v>
      </c>
      <c r="E31" s="14">
        <f t="shared" si="6"/>
        <v>488780.6</v>
      </c>
      <c r="F31" s="14">
        <f>IFERROR(__xludf.DUMMYFUNCTION("GOOGLEFINANCE(CONCAT(""NSE:"",A31))"),1824.9)</f>
        <v>1824.9</v>
      </c>
      <c r="G31" s="14">
        <f t="shared" si="7"/>
        <v>434326.2</v>
      </c>
      <c r="H31" s="44">
        <f t="shared" si="8"/>
        <v>-0.111408677</v>
      </c>
    </row>
    <row r="32">
      <c r="A32" s="64" t="s">
        <v>83</v>
      </c>
      <c r="B32" s="8">
        <v>1342.0</v>
      </c>
      <c r="C32" s="65">
        <v>362.8</v>
      </c>
      <c r="D32" s="8">
        <f t="shared" si="5"/>
        <v>1342</v>
      </c>
      <c r="E32" s="14">
        <f t="shared" si="6"/>
        <v>486877.6</v>
      </c>
      <c r="F32" s="14">
        <f>IFERROR(__xludf.DUMMYFUNCTION("GOOGLEFINANCE(CONCAT(""NSE:"",A32))"),317.0)</f>
        <v>317</v>
      </c>
      <c r="G32" s="14">
        <f t="shared" si="7"/>
        <v>425414</v>
      </c>
      <c r="H32" s="44">
        <f t="shared" si="8"/>
        <v>-0.1262403528</v>
      </c>
    </row>
    <row r="33">
      <c r="A33" s="64" t="s">
        <v>28</v>
      </c>
      <c r="B33" s="8">
        <v>1338.0</v>
      </c>
      <c r="C33" s="65">
        <v>373.85</v>
      </c>
      <c r="D33" s="8">
        <f t="shared" si="5"/>
        <v>1338</v>
      </c>
      <c r="E33" s="14">
        <f t="shared" si="6"/>
        <v>500211.3</v>
      </c>
      <c r="F33" s="14">
        <f>IFERROR(__xludf.DUMMYFUNCTION("GOOGLEFINANCE(CONCAT(""NSE:"",A33))"),356.3)</f>
        <v>356.3</v>
      </c>
      <c r="G33" s="14">
        <f t="shared" si="7"/>
        <v>476729.4</v>
      </c>
      <c r="H33" s="44">
        <f t="shared" si="8"/>
        <v>-0.04694396148</v>
      </c>
    </row>
    <row r="34">
      <c r="A34" s="64" t="s">
        <v>89</v>
      </c>
      <c r="B34" s="8">
        <v>1083.0</v>
      </c>
      <c r="C34" s="65">
        <v>450.15</v>
      </c>
      <c r="D34" s="8">
        <f t="shared" si="5"/>
        <v>1083</v>
      </c>
      <c r="E34" s="14">
        <f t="shared" si="6"/>
        <v>487512.45</v>
      </c>
      <c r="F34" s="14">
        <f>IFERROR(__xludf.DUMMYFUNCTION("GOOGLEFINANCE(CONCAT(""NSE:"",A34))"),478.75)</f>
        <v>478.75</v>
      </c>
      <c r="G34" s="14">
        <f t="shared" si="7"/>
        <v>518486.25</v>
      </c>
      <c r="H34" s="44">
        <f t="shared" si="8"/>
        <v>0.06353437743</v>
      </c>
    </row>
    <row r="35">
      <c r="A35" s="64" t="s">
        <v>120</v>
      </c>
      <c r="B35" s="8">
        <v>2585.0</v>
      </c>
      <c r="C35" s="65">
        <v>190.72</v>
      </c>
      <c r="D35" s="8">
        <f t="shared" si="5"/>
        <v>2585</v>
      </c>
      <c r="E35" s="14">
        <f t="shared" si="6"/>
        <v>493011.2</v>
      </c>
      <c r="F35" s="14">
        <f>IFERROR(__xludf.DUMMYFUNCTION("GOOGLEFINANCE(CONCAT(""NSE:"",A35))"),184.29)</f>
        <v>184.29</v>
      </c>
      <c r="G35" s="14">
        <f t="shared" si="7"/>
        <v>476389.65</v>
      </c>
      <c r="H35" s="44">
        <f t="shared" si="8"/>
        <v>-0.03371434564</v>
      </c>
    </row>
    <row r="36">
      <c r="A36" s="64" t="s">
        <v>97</v>
      </c>
      <c r="B36" s="8">
        <v>786.0</v>
      </c>
      <c r="C36" s="65">
        <v>600.75</v>
      </c>
      <c r="D36" s="8">
        <f t="shared" si="5"/>
        <v>786</v>
      </c>
      <c r="E36" s="14">
        <f t="shared" si="6"/>
        <v>472189.5</v>
      </c>
      <c r="F36" s="14">
        <f>IFERROR(__xludf.DUMMYFUNCTION("GOOGLEFINANCE(CONCAT(""NSE:"",A36))"),550.2)</f>
        <v>550.2</v>
      </c>
      <c r="G36" s="14">
        <f t="shared" si="7"/>
        <v>432457.2</v>
      </c>
      <c r="H36" s="44">
        <f t="shared" si="8"/>
        <v>-0.08414481898</v>
      </c>
    </row>
    <row r="37">
      <c r="A37" s="64" t="s">
        <v>50</v>
      </c>
      <c r="B37" s="8">
        <v>313.0</v>
      </c>
      <c r="C37" s="65">
        <v>1564.2</v>
      </c>
      <c r="D37" s="8">
        <f t="shared" si="5"/>
        <v>313</v>
      </c>
      <c r="E37" s="14">
        <f t="shared" si="6"/>
        <v>489594.6</v>
      </c>
      <c r="F37" s="14">
        <f>IFERROR(__xludf.DUMMYFUNCTION("GOOGLEFINANCE(CONCAT(""NSE:"",A37))"),1386.6)</f>
        <v>1386.6</v>
      </c>
      <c r="G37" s="14">
        <f t="shared" si="7"/>
        <v>434005.8</v>
      </c>
      <c r="H37" s="44">
        <f t="shared" si="8"/>
        <v>-0.113540468</v>
      </c>
    </row>
    <row r="38">
      <c r="A38" s="64" t="s">
        <v>141</v>
      </c>
      <c r="B38" s="8">
        <v>569.0</v>
      </c>
      <c r="C38" s="65">
        <v>868.0</v>
      </c>
      <c r="D38" s="8">
        <f t="shared" si="5"/>
        <v>569</v>
      </c>
      <c r="E38" s="14">
        <f t="shared" si="6"/>
        <v>493892</v>
      </c>
      <c r="F38" s="14">
        <f>IFERROR(__xludf.DUMMYFUNCTION("GOOGLEFINANCE(CONCAT(""NSE:"",A38))"),1080.2)</f>
        <v>1080.2</v>
      </c>
      <c r="G38" s="14">
        <f t="shared" si="7"/>
        <v>614633.8</v>
      </c>
      <c r="H38" s="44">
        <f t="shared" si="8"/>
        <v>0.2444700461</v>
      </c>
    </row>
    <row r="39">
      <c r="A39" s="64" t="s">
        <v>56</v>
      </c>
      <c r="B39" s="8">
        <v>309.0</v>
      </c>
      <c r="C39" s="65">
        <v>1667.1</v>
      </c>
      <c r="D39" s="8">
        <f t="shared" si="5"/>
        <v>309</v>
      </c>
      <c r="E39" s="14">
        <f t="shared" si="6"/>
        <v>515133.9</v>
      </c>
      <c r="F39" s="14">
        <f>IFERROR(__xludf.DUMMYFUNCTION("GOOGLEFINANCE(CONCAT(""NSE:"",A39))"),1330.2)</f>
        <v>1330.2</v>
      </c>
      <c r="G39" s="14">
        <f t="shared" si="7"/>
        <v>411031.8</v>
      </c>
      <c r="H39" s="44">
        <f t="shared" si="8"/>
        <v>-0.2020874573</v>
      </c>
    </row>
    <row r="40">
      <c r="A40" s="64" t="s">
        <v>59</v>
      </c>
      <c r="B40" s="8">
        <v>348.0</v>
      </c>
      <c r="C40" s="65">
        <v>1472.4</v>
      </c>
      <c r="D40" s="8">
        <f t="shared" si="5"/>
        <v>348</v>
      </c>
      <c r="E40" s="14">
        <f t="shared" si="6"/>
        <v>512395.2</v>
      </c>
      <c r="F40" s="14">
        <f>IFERROR(__xludf.DUMMYFUNCTION("GOOGLEFINANCE(CONCAT(""NSE:"",A40))"),1405.4)</f>
        <v>1405.4</v>
      </c>
      <c r="G40" s="14">
        <f t="shared" si="7"/>
        <v>489079.2</v>
      </c>
      <c r="H40" s="44">
        <f t="shared" si="8"/>
        <v>-0.04550393915</v>
      </c>
    </row>
    <row r="41">
      <c r="A41" s="64" t="s">
        <v>58</v>
      </c>
      <c r="B41" s="8">
        <v>2018.0</v>
      </c>
      <c r="C41" s="65">
        <v>246.74</v>
      </c>
      <c r="D41" s="8">
        <f t="shared" si="5"/>
        <v>2018</v>
      </c>
      <c r="E41" s="14">
        <f t="shared" si="6"/>
        <v>497921.32</v>
      </c>
      <c r="F41" s="14">
        <f>IFERROR(__xludf.DUMMYFUNCTION("GOOGLEFINANCE(CONCAT(""NSE:"",A41))"),238.04)</f>
        <v>238.04</v>
      </c>
      <c r="G41" s="14">
        <f t="shared" si="7"/>
        <v>480364.72</v>
      </c>
      <c r="H41" s="44">
        <f t="shared" si="8"/>
        <v>-0.03525978763</v>
      </c>
    </row>
    <row r="42">
      <c r="A42" s="64" t="s">
        <v>163</v>
      </c>
      <c r="B42" s="8">
        <v>1886.0</v>
      </c>
      <c r="C42" s="65">
        <v>262.85</v>
      </c>
      <c r="D42" s="8">
        <f t="shared" si="5"/>
        <v>1886</v>
      </c>
      <c r="E42" s="14">
        <f t="shared" si="6"/>
        <v>495735.1</v>
      </c>
      <c r="F42" s="14">
        <f>IFERROR(__xludf.DUMMYFUNCTION("GOOGLEFINANCE(CONCAT(""NSE:"",A42))"),289.4)</f>
        <v>289.4</v>
      </c>
      <c r="G42" s="14">
        <f t="shared" si="7"/>
        <v>545808.4</v>
      </c>
      <c r="H42" s="44">
        <f t="shared" si="8"/>
        <v>0.1010081796</v>
      </c>
    </row>
    <row r="43">
      <c r="A43" s="64" t="s">
        <v>175</v>
      </c>
      <c r="B43" s="8">
        <v>1020.0</v>
      </c>
      <c r="C43" s="65">
        <v>480.6</v>
      </c>
      <c r="D43" s="8">
        <f t="shared" si="5"/>
        <v>1020</v>
      </c>
      <c r="E43" s="14">
        <f t="shared" si="6"/>
        <v>490212</v>
      </c>
      <c r="F43" s="14">
        <f>IFERROR(__xludf.DUMMYFUNCTION("GOOGLEFINANCE(CONCAT(""NSE:"",A43))"),401.6)</f>
        <v>401.6</v>
      </c>
      <c r="G43" s="14">
        <f t="shared" si="7"/>
        <v>409632</v>
      </c>
      <c r="H43" s="44">
        <f t="shared" si="8"/>
        <v>-0.164377861</v>
      </c>
    </row>
    <row r="44">
      <c r="A44" s="64" t="s">
        <v>101</v>
      </c>
      <c r="B44" s="8">
        <v>2029.0</v>
      </c>
      <c r="C44" s="65">
        <v>242.43</v>
      </c>
      <c r="D44" s="8">
        <f t="shared" si="5"/>
        <v>2029</v>
      </c>
      <c r="E44" s="14">
        <f t="shared" si="6"/>
        <v>491890.47</v>
      </c>
      <c r="F44" s="14">
        <f>IFERROR(__xludf.DUMMYFUNCTION("GOOGLEFINANCE(CONCAT(""NSE:"",A44))"),232.81)</f>
        <v>232.81</v>
      </c>
      <c r="G44" s="14">
        <f t="shared" si="7"/>
        <v>472371.49</v>
      </c>
      <c r="H44" s="44">
        <f t="shared" si="8"/>
        <v>-0.03968155756</v>
      </c>
    </row>
    <row r="45">
      <c r="A45" s="64" t="s">
        <v>181</v>
      </c>
      <c r="B45" s="8">
        <v>1499.0</v>
      </c>
      <c r="C45" s="65">
        <v>325.8</v>
      </c>
      <c r="D45" s="8">
        <f t="shared" si="5"/>
        <v>1499</v>
      </c>
      <c r="E45" s="14">
        <f t="shared" si="6"/>
        <v>488374.2</v>
      </c>
      <c r="F45" s="14">
        <f>IFERROR(__xludf.DUMMYFUNCTION("GOOGLEFINANCE(CONCAT(""NSE:"",A45))"),323.85)</f>
        <v>323.85</v>
      </c>
      <c r="G45" s="14">
        <f t="shared" si="7"/>
        <v>485451.15</v>
      </c>
      <c r="H45" s="44">
        <f t="shared" si="8"/>
        <v>-0.005985267035</v>
      </c>
    </row>
    <row r="46">
      <c r="A46" s="64" t="s">
        <v>174</v>
      </c>
      <c r="B46" s="8">
        <v>432.0</v>
      </c>
      <c r="C46" s="65">
        <v>1135.97</v>
      </c>
      <c r="D46" s="8">
        <f t="shared" si="5"/>
        <v>432</v>
      </c>
      <c r="E46" s="14">
        <f t="shared" si="6"/>
        <v>490739.04</v>
      </c>
      <c r="F46" s="14">
        <f>IFERROR(__xludf.DUMMYFUNCTION("GOOGLEFINANCE(CONCAT(""NSE:"",A46))"),1258.3)</f>
        <v>1258.3</v>
      </c>
      <c r="G46" s="14">
        <f t="shared" si="7"/>
        <v>543585.6</v>
      </c>
      <c r="H46" s="44">
        <f t="shared" si="8"/>
        <v>0.107687703</v>
      </c>
    </row>
    <row r="47">
      <c r="A47" s="64" t="s">
        <v>176</v>
      </c>
      <c r="B47" s="8">
        <v>4990.0</v>
      </c>
      <c r="C47" s="65">
        <v>100.15</v>
      </c>
      <c r="D47" s="8">
        <f t="shared" si="5"/>
        <v>4990</v>
      </c>
      <c r="E47" s="14">
        <f t="shared" si="6"/>
        <v>499748.5</v>
      </c>
      <c r="F47" s="14">
        <f>IFERROR(__xludf.DUMMYFUNCTION("GOOGLEFINANCE(CONCAT(""NSE:"",A47))"),78.3)</f>
        <v>78.3</v>
      </c>
      <c r="G47" s="14">
        <f t="shared" si="7"/>
        <v>390717</v>
      </c>
      <c r="H47" s="44">
        <f t="shared" si="8"/>
        <v>-0.2181727409</v>
      </c>
    </row>
    <row r="48">
      <c r="A48" s="8"/>
      <c r="B48" s="8"/>
      <c r="C48" s="8"/>
      <c r="D48" s="59"/>
    </row>
    <row r="49">
      <c r="A49" s="8" t="s">
        <v>296</v>
      </c>
      <c r="B49" s="8">
        <v>9632892.0</v>
      </c>
      <c r="C49" s="8" t="s">
        <v>298</v>
      </c>
      <c r="D49" s="59">
        <v>46204.0</v>
      </c>
    </row>
    <row r="50">
      <c r="A50" s="8" t="s">
        <v>299</v>
      </c>
      <c r="B50" s="59">
        <v>46237.0</v>
      </c>
      <c r="C50" s="8"/>
      <c r="D50" s="59"/>
    </row>
    <row r="51">
      <c r="A51" s="60">
        <v>46204.0</v>
      </c>
      <c r="B51" s="39" t="s">
        <v>300</v>
      </c>
      <c r="C51" s="39" t="s">
        <v>308</v>
      </c>
      <c r="D51" s="40" t="s">
        <v>302</v>
      </c>
      <c r="E51" s="40" t="s">
        <v>303</v>
      </c>
      <c r="F51" s="40" t="s">
        <v>304</v>
      </c>
      <c r="G51" s="40" t="s">
        <v>305</v>
      </c>
      <c r="H51" s="40" t="s">
        <v>306</v>
      </c>
    </row>
    <row r="52">
      <c r="A52" s="14" t="s">
        <v>41</v>
      </c>
      <c r="B52" s="14">
        <v>2347.0</v>
      </c>
      <c r="C52" s="8">
        <v>201.12</v>
      </c>
      <c r="D52" s="74">
        <f t="shared" ref="D52:D71" si="9">B52</f>
        <v>2347</v>
      </c>
      <c r="E52" s="14">
        <f t="shared" ref="E52:E71" si="10">B52*C52</f>
        <v>472028.64</v>
      </c>
      <c r="F52" s="14">
        <f>IFERROR(__xludf.DUMMYFUNCTION("GOOGLEFINANCE(CONCAT(""NSE:"",A52))"),172.69)</f>
        <v>172.69</v>
      </c>
      <c r="G52" s="14">
        <f t="shared" ref="G52:G71" si="11">D52*F52</f>
        <v>405303.43</v>
      </c>
      <c r="H52" s="44">
        <f t="shared" ref="H52:H71" si="12">(G52-E52)/E52</f>
        <v>-0.141358393</v>
      </c>
      <c r="J52" s="1" t="s">
        <v>124</v>
      </c>
      <c r="K52" s="1" t="s">
        <v>125</v>
      </c>
      <c r="L52" s="1" t="s">
        <v>126</v>
      </c>
      <c r="M52" s="1" t="s">
        <v>41</v>
      </c>
      <c r="N52" s="1" t="s">
        <v>127</v>
      </c>
      <c r="O52" s="17">
        <v>2347.0</v>
      </c>
      <c r="P52" s="17">
        <v>174.13</v>
      </c>
      <c r="Q52" s="17">
        <v>408683.1</v>
      </c>
    </row>
    <row r="53">
      <c r="A53" s="14" t="s">
        <v>50</v>
      </c>
      <c r="B53" s="14">
        <v>311.0</v>
      </c>
      <c r="C53" s="8">
        <v>1558.9</v>
      </c>
      <c r="D53" s="74">
        <f t="shared" si="9"/>
        <v>311</v>
      </c>
      <c r="E53" s="14">
        <f t="shared" si="10"/>
        <v>484817.9</v>
      </c>
      <c r="F53" s="14">
        <f>IFERROR(__xludf.DUMMYFUNCTION("GOOGLEFINANCE(CONCAT(""NSE:"",A53))"),1386.6)</f>
        <v>1386.6</v>
      </c>
      <c r="G53" s="14">
        <f t="shared" si="11"/>
        <v>431232.6</v>
      </c>
      <c r="H53" s="44">
        <f t="shared" si="12"/>
        <v>-0.1105266534</v>
      </c>
      <c r="J53" s="1" t="s">
        <v>124</v>
      </c>
      <c r="K53" s="1" t="s">
        <v>125</v>
      </c>
      <c r="L53" s="1" t="s">
        <v>128</v>
      </c>
      <c r="M53" s="1" t="s">
        <v>50</v>
      </c>
      <c r="N53" s="1" t="s">
        <v>129</v>
      </c>
      <c r="O53" s="17">
        <v>311.0</v>
      </c>
      <c r="P53" s="17">
        <v>1592.8</v>
      </c>
      <c r="Q53" s="17">
        <v>495360.8</v>
      </c>
    </row>
    <row r="54">
      <c r="A54" s="14" t="s">
        <v>56</v>
      </c>
      <c r="B54" s="14">
        <v>298.0</v>
      </c>
      <c r="C54" s="8">
        <v>1639.2</v>
      </c>
      <c r="D54" s="74">
        <f t="shared" si="9"/>
        <v>298</v>
      </c>
      <c r="E54" s="14">
        <f t="shared" si="10"/>
        <v>488481.6</v>
      </c>
      <c r="F54" s="14">
        <f>IFERROR(__xludf.DUMMYFUNCTION("GOOGLEFINANCE(CONCAT(""NSE:"",A54))"),1330.2)</f>
        <v>1330.2</v>
      </c>
      <c r="G54" s="14">
        <f t="shared" si="11"/>
        <v>396399.6</v>
      </c>
      <c r="H54" s="44">
        <f t="shared" si="12"/>
        <v>-0.1885065886</v>
      </c>
      <c r="J54" s="1" t="s">
        <v>124</v>
      </c>
      <c r="K54" s="1" t="s">
        <v>125</v>
      </c>
      <c r="L54" s="1" t="s">
        <v>130</v>
      </c>
      <c r="M54" s="1" t="s">
        <v>56</v>
      </c>
      <c r="N54" s="1" t="s">
        <v>132</v>
      </c>
      <c r="O54" s="17">
        <v>298.0</v>
      </c>
      <c r="P54" s="17">
        <v>1552.8</v>
      </c>
      <c r="Q54" s="17">
        <v>462734.4</v>
      </c>
    </row>
    <row r="55">
      <c r="A55" s="14" t="s">
        <v>59</v>
      </c>
      <c r="B55" s="14">
        <v>336.0</v>
      </c>
      <c r="C55" s="8">
        <v>1431.7</v>
      </c>
      <c r="D55" s="74">
        <f t="shared" si="9"/>
        <v>336</v>
      </c>
      <c r="E55" s="14">
        <f t="shared" si="10"/>
        <v>481051.2</v>
      </c>
      <c r="F55" s="14">
        <f>IFERROR(__xludf.DUMMYFUNCTION("GOOGLEFINANCE(CONCAT(""NSE:"",A55))"),1405.4)</f>
        <v>1405.4</v>
      </c>
      <c r="G55" s="14">
        <f t="shared" si="11"/>
        <v>472214.4</v>
      </c>
      <c r="H55" s="44">
        <f t="shared" si="12"/>
        <v>-0.0183697702</v>
      </c>
      <c r="J55" s="1" t="s">
        <v>124</v>
      </c>
      <c r="K55" s="1" t="s">
        <v>125</v>
      </c>
      <c r="L55" s="1" t="s">
        <v>133</v>
      </c>
      <c r="M55" s="1" t="s">
        <v>59</v>
      </c>
      <c r="N55" s="1" t="s">
        <v>134</v>
      </c>
      <c r="O55" s="17">
        <v>336.0</v>
      </c>
      <c r="P55" s="17">
        <v>1350.4</v>
      </c>
      <c r="Q55" s="17">
        <v>453734.4</v>
      </c>
    </row>
    <row r="56">
      <c r="A56" s="14" t="s">
        <v>61</v>
      </c>
      <c r="B56" s="14">
        <v>6116.0</v>
      </c>
      <c r="C56" s="8">
        <v>79.52</v>
      </c>
      <c r="D56" s="74">
        <f t="shared" si="9"/>
        <v>6116</v>
      </c>
      <c r="E56" s="14">
        <f t="shared" si="10"/>
        <v>486344.32</v>
      </c>
      <c r="F56" s="14">
        <f>IFERROR(__xludf.DUMMYFUNCTION("GOOGLEFINANCE(CONCAT(""NSE:"",A56))"),85.19)</f>
        <v>85.19</v>
      </c>
      <c r="G56" s="14">
        <f t="shared" si="11"/>
        <v>521022.04</v>
      </c>
      <c r="H56" s="44">
        <f t="shared" si="12"/>
        <v>0.0713028169</v>
      </c>
      <c r="J56" s="1" t="s">
        <v>124</v>
      </c>
      <c r="K56" s="1" t="s">
        <v>125</v>
      </c>
      <c r="L56" s="1" t="s">
        <v>135</v>
      </c>
      <c r="M56" s="1" t="s">
        <v>58</v>
      </c>
      <c r="N56" s="1" t="s">
        <v>136</v>
      </c>
      <c r="O56" s="17">
        <v>1880.0</v>
      </c>
      <c r="P56" s="17">
        <v>242.4</v>
      </c>
      <c r="Q56" s="17">
        <v>455712.0</v>
      </c>
    </row>
    <row r="57">
      <c r="A57" s="14" t="s">
        <v>64</v>
      </c>
      <c r="B57" s="14">
        <v>22412.0</v>
      </c>
      <c r="C57" s="8">
        <v>21.36</v>
      </c>
      <c r="D57" s="74">
        <f t="shared" si="9"/>
        <v>22412</v>
      </c>
      <c r="E57" s="14">
        <f t="shared" si="10"/>
        <v>478720.32</v>
      </c>
      <c r="F57" s="14">
        <f>IFERROR(__xludf.DUMMYFUNCTION("GOOGLEFINANCE(CONCAT(""NSE:"",A57))"),18.96)</f>
        <v>18.96</v>
      </c>
      <c r="G57" s="14">
        <f t="shared" si="11"/>
        <v>424931.52</v>
      </c>
      <c r="H57" s="44">
        <f t="shared" si="12"/>
        <v>-0.1123595506</v>
      </c>
      <c r="J57" s="1" t="s">
        <v>124</v>
      </c>
      <c r="K57" s="1" t="s">
        <v>125</v>
      </c>
      <c r="L57" s="1" t="s">
        <v>139</v>
      </c>
      <c r="M57" s="1" t="s">
        <v>112</v>
      </c>
      <c r="N57" s="1" t="s">
        <v>140</v>
      </c>
      <c r="O57" s="17">
        <v>507.0</v>
      </c>
      <c r="P57" s="17">
        <v>974.45</v>
      </c>
      <c r="Q57" s="17">
        <v>494046.2</v>
      </c>
    </row>
    <row r="58">
      <c r="A58" s="14" t="s">
        <v>68</v>
      </c>
      <c r="B58" s="14">
        <v>265.0</v>
      </c>
      <c r="C58" s="8">
        <v>1787.1</v>
      </c>
      <c r="D58" s="74">
        <f t="shared" si="9"/>
        <v>265</v>
      </c>
      <c r="E58" s="14">
        <f t="shared" si="10"/>
        <v>473581.5</v>
      </c>
      <c r="F58" s="14">
        <f>IFERROR(__xludf.DUMMYFUNCTION("GOOGLEFINANCE(CONCAT(""NSE:"",A58))"),1824.9)</f>
        <v>1824.9</v>
      </c>
      <c r="G58" s="14">
        <f t="shared" si="11"/>
        <v>483598.5</v>
      </c>
      <c r="H58" s="44">
        <f t="shared" si="12"/>
        <v>0.02115158637</v>
      </c>
      <c r="J58" s="1" t="s">
        <v>124</v>
      </c>
      <c r="K58" s="1" t="s">
        <v>125</v>
      </c>
      <c r="L58" s="1" t="s">
        <v>142</v>
      </c>
      <c r="M58" s="1" t="s">
        <v>61</v>
      </c>
      <c r="N58" s="1" t="s">
        <v>143</v>
      </c>
      <c r="O58" s="17">
        <v>6116.0</v>
      </c>
      <c r="P58" s="17">
        <v>84.68</v>
      </c>
      <c r="Q58" s="17">
        <v>517902.9</v>
      </c>
    </row>
    <row r="59">
      <c r="A59" s="14" t="s">
        <v>83</v>
      </c>
      <c r="B59" s="14">
        <v>1500.0</v>
      </c>
      <c r="C59" s="8">
        <v>329.85</v>
      </c>
      <c r="D59" s="74">
        <f t="shared" si="9"/>
        <v>1500</v>
      </c>
      <c r="E59" s="14">
        <f t="shared" si="10"/>
        <v>494775</v>
      </c>
      <c r="F59" s="14">
        <f>IFERROR(__xludf.DUMMYFUNCTION("GOOGLEFINANCE(CONCAT(""NSE:"",A59))"),317.0)</f>
        <v>317</v>
      </c>
      <c r="G59" s="14">
        <f t="shared" si="11"/>
        <v>475500</v>
      </c>
      <c r="H59" s="44">
        <f t="shared" si="12"/>
        <v>-0.03895710171</v>
      </c>
      <c r="J59" s="1" t="s">
        <v>124</v>
      </c>
      <c r="K59" s="1" t="s">
        <v>125</v>
      </c>
      <c r="L59" s="1" t="s">
        <v>144</v>
      </c>
      <c r="M59" s="1" t="s">
        <v>64</v>
      </c>
      <c r="N59" s="1" t="s">
        <v>145</v>
      </c>
      <c r="O59" s="17">
        <v>22412.0</v>
      </c>
      <c r="P59" s="17">
        <v>20.0</v>
      </c>
      <c r="Q59" s="17">
        <v>448240.0</v>
      </c>
    </row>
    <row r="60">
      <c r="A60" s="14" t="s">
        <v>85</v>
      </c>
      <c r="B60" s="14">
        <v>498.0</v>
      </c>
      <c r="C60" s="8">
        <v>959.85</v>
      </c>
      <c r="D60" s="74">
        <f t="shared" si="9"/>
        <v>498</v>
      </c>
      <c r="E60" s="14">
        <f t="shared" si="10"/>
        <v>478005.3</v>
      </c>
      <c r="F60" s="14">
        <f>IFERROR(__xludf.DUMMYFUNCTION("GOOGLEFINANCE(CONCAT(""NSE:"",A60))"),993.4)</f>
        <v>993.4</v>
      </c>
      <c r="G60" s="14">
        <f t="shared" si="11"/>
        <v>494713.2</v>
      </c>
      <c r="H60" s="44">
        <f t="shared" si="12"/>
        <v>0.03495337813</v>
      </c>
      <c r="J60" s="1" t="s">
        <v>124</v>
      </c>
      <c r="K60" s="1" t="s">
        <v>125</v>
      </c>
      <c r="L60" s="1" t="s">
        <v>146</v>
      </c>
      <c r="M60" s="1" t="s">
        <v>116</v>
      </c>
      <c r="N60" s="1" t="s">
        <v>147</v>
      </c>
      <c r="O60" s="17">
        <v>465.0</v>
      </c>
      <c r="P60" s="17">
        <v>1102.4</v>
      </c>
      <c r="Q60" s="17">
        <v>512616.0</v>
      </c>
    </row>
    <row r="61">
      <c r="A61" s="14" t="s">
        <v>89</v>
      </c>
      <c r="B61" s="14">
        <v>1148.0</v>
      </c>
      <c r="C61" s="8">
        <v>420.95</v>
      </c>
      <c r="D61" s="74">
        <f t="shared" si="9"/>
        <v>1148</v>
      </c>
      <c r="E61" s="14">
        <f t="shared" si="10"/>
        <v>483250.6</v>
      </c>
      <c r="F61" s="14">
        <f>IFERROR(__xludf.DUMMYFUNCTION("GOOGLEFINANCE(CONCAT(""NSE:"",A61))"),478.75)</f>
        <v>478.75</v>
      </c>
      <c r="G61" s="14">
        <f t="shared" si="11"/>
        <v>549605</v>
      </c>
      <c r="H61" s="44">
        <f t="shared" si="12"/>
        <v>0.1373084689</v>
      </c>
      <c r="J61" s="1" t="s">
        <v>124</v>
      </c>
      <c r="K61" s="1" t="s">
        <v>125</v>
      </c>
      <c r="L61" s="1" t="s">
        <v>149</v>
      </c>
      <c r="M61" s="1" t="s">
        <v>68</v>
      </c>
      <c r="N61" s="1" t="s">
        <v>150</v>
      </c>
      <c r="O61" s="17">
        <v>265.0</v>
      </c>
      <c r="P61" s="17">
        <v>2047.0</v>
      </c>
      <c r="Q61" s="17">
        <v>542455.0</v>
      </c>
    </row>
    <row r="62">
      <c r="A62" s="14" t="s">
        <v>92</v>
      </c>
      <c r="B62" s="14">
        <v>4500.0</v>
      </c>
      <c r="C62" s="8">
        <v>105.66</v>
      </c>
      <c r="D62" s="74">
        <f t="shared" si="9"/>
        <v>4500</v>
      </c>
      <c r="E62" s="14">
        <f t="shared" si="10"/>
        <v>475470</v>
      </c>
      <c r="F62" s="14">
        <f>IFERROR(__xludf.DUMMYFUNCTION("GOOGLEFINANCE(CONCAT(""NSE:"",A62))"),117.38)</f>
        <v>117.38</v>
      </c>
      <c r="G62" s="14">
        <f t="shared" si="11"/>
        <v>528210</v>
      </c>
      <c r="H62" s="44">
        <f t="shared" si="12"/>
        <v>0.1109218247</v>
      </c>
      <c r="J62" s="1" t="s">
        <v>124</v>
      </c>
      <c r="K62" s="1" t="s">
        <v>125</v>
      </c>
      <c r="L62" s="1" t="s">
        <v>151</v>
      </c>
      <c r="M62" s="1" t="s">
        <v>83</v>
      </c>
      <c r="N62" s="1" t="s">
        <v>153</v>
      </c>
      <c r="O62" s="17">
        <v>1500.0</v>
      </c>
      <c r="P62" s="17">
        <v>371.85</v>
      </c>
      <c r="Q62" s="17">
        <v>557775.0</v>
      </c>
    </row>
    <row r="63">
      <c r="A63" s="14" t="s">
        <v>94</v>
      </c>
      <c r="B63" s="14">
        <v>1738.0</v>
      </c>
      <c r="C63" s="8">
        <v>275.95</v>
      </c>
      <c r="D63" s="74">
        <f t="shared" si="9"/>
        <v>1738</v>
      </c>
      <c r="E63" s="14">
        <f t="shared" si="10"/>
        <v>479601.1</v>
      </c>
      <c r="F63" s="14">
        <f>IFERROR(__xludf.DUMMYFUNCTION("GOOGLEFINANCE(CONCAT(""NSE:"",A63))"),397.05)</f>
        <v>397.05</v>
      </c>
      <c r="G63" s="14">
        <f t="shared" si="11"/>
        <v>690072.9</v>
      </c>
      <c r="H63" s="44">
        <f t="shared" si="12"/>
        <v>0.4388476173</v>
      </c>
      <c r="J63" s="1" t="s">
        <v>124</v>
      </c>
      <c r="K63" s="1" t="s">
        <v>125</v>
      </c>
      <c r="L63" s="1" t="s">
        <v>154</v>
      </c>
      <c r="M63" s="1" t="s">
        <v>85</v>
      </c>
      <c r="N63" s="1" t="s">
        <v>155</v>
      </c>
      <c r="O63" s="17">
        <v>498.0</v>
      </c>
      <c r="P63" s="17">
        <v>851.95</v>
      </c>
      <c r="Q63" s="17">
        <v>424271.1</v>
      </c>
    </row>
    <row r="64">
      <c r="A64" s="14" t="s">
        <v>97</v>
      </c>
      <c r="B64" s="14">
        <v>828.0</v>
      </c>
      <c r="C64" s="8">
        <v>611.4</v>
      </c>
      <c r="D64" s="74">
        <f t="shared" si="9"/>
        <v>828</v>
      </c>
      <c r="E64" s="14">
        <f t="shared" si="10"/>
        <v>506239.2</v>
      </c>
      <c r="F64" s="14">
        <f>IFERROR(__xludf.DUMMYFUNCTION("GOOGLEFINANCE(CONCAT(""NSE:"",A64))"),550.2)</f>
        <v>550.2</v>
      </c>
      <c r="G64" s="14">
        <f t="shared" si="11"/>
        <v>455565.6</v>
      </c>
      <c r="H64" s="44">
        <f t="shared" si="12"/>
        <v>-0.1000981354</v>
      </c>
      <c r="J64" s="1" t="s">
        <v>124</v>
      </c>
      <c r="K64" s="1" t="s">
        <v>125</v>
      </c>
      <c r="L64" s="1" t="s">
        <v>156</v>
      </c>
      <c r="M64" s="1" t="s">
        <v>28</v>
      </c>
      <c r="N64" s="1" t="s">
        <v>157</v>
      </c>
      <c r="O64" s="17">
        <v>1436.0</v>
      </c>
      <c r="P64" s="17">
        <v>350.05</v>
      </c>
      <c r="Q64" s="17">
        <v>502671.8</v>
      </c>
    </row>
    <row r="65">
      <c r="A65" s="14" t="s">
        <v>58</v>
      </c>
      <c r="B65" s="14">
        <v>1880.0</v>
      </c>
      <c r="C65" s="8">
        <v>254.95</v>
      </c>
      <c r="D65" s="74">
        <f t="shared" si="9"/>
        <v>1880</v>
      </c>
      <c r="E65" s="14">
        <f t="shared" si="10"/>
        <v>479306</v>
      </c>
      <c r="F65" s="14">
        <f>IFERROR(__xludf.DUMMYFUNCTION("GOOGLEFINANCE(CONCAT(""NSE:"",A65))"),238.04)</f>
        <v>238.04</v>
      </c>
      <c r="G65" s="14">
        <f t="shared" si="11"/>
        <v>447515.2</v>
      </c>
      <c r="H65" s="44">
        <f t="shared" si="12"/>
        <v>-0.06632673073</v>
      </c>
      <c r="J65" s="1" t="s">
        <v>124</v>
      </c>
      <c r="K65" s="1" t="s">
        <v>125</v>
      </c>
      <c r="L65" s="1" t="s">
        <v>158</v>
      </c>
      <c r="M65" s="1" t="s">
        <v>119</v>
      </c>
      <c r="N65" s="1" t="s">
        <v>159</v>
      </c>
      <c r="O65" s="17">
        <v>2583.0</v>
      </c>
      <c r="P65" s="17">
        <v>173.62</v>
      </c>
      <c r="Q65" s="17">
        <v>448460.5</v>
      </c>
    </row>
    <row r="66">
      <c r="A66" s="14" t="s">
        <v>112</v>
      </c>
      <c r="B66" s="14">
        <v>507.0</v>
      </c>
      <c r="C66" s="8">
        <v>961.0</v>
      </c>
      <c r="D66" s="74">
        <f t="shared" si="9"/>
        <v>507</v>
      </c>
      <c r="E66" s="14">
        <f t="shared" si="10"/>
        <v>487227</v>
      </c>
      <c r="F66" s="14">
        <f>IFERROR(__xludf.DUMMYFUNCTION("GOOGLEFINANCE(CONCAT(""NSE:"",A66))"),983.7)</f>
        <v>983.7</v>
      </c>
      <c r="G66" s="14">
        <f t="shared" si="11"/>
        <v>498735.9</v>
      </c>
      <c r="H66" s="44">
        <f t="shared" si="12"/>
        <v>0.02362122789</v>
      </c>
      <c r="J66" s="1" t="s">
        <v>124</v>
      </c>
      <c r="K66" s="1" t="s">
        <v>125</v>
      </c>
      <c r="L66" s="1" t="s">
        <v>161</v>
      </c>
      <c r="M66" s="1" t="s">
        <v>89</v>
      </c>
      <c r="N66" s="1" t="s">
        <v>162</v>
      </c>
      <c r="O66" s="17">
        <v>1148.0</v>
      </c>
      <c r="P66" s="17">
        <v>458.6</v>
      </c>
      <c r="Q66" s="17">
        <v>526472.8</v>
      </c>
    </row>
    <row r="67">
      <c r="A67" s="14" t="s">
        <v>116</v>
      </c>
      <c r="B67" s="14">
        <v>465.0</v>
      </c>
      <c r="C67" s="8">
        <v>1056.2</v>
      </c>
      <c r="D67" s="74">
        <f t="shared" si="9"/>
        <v>465</v>
      </c>
      <c r="E67" s="14">
        <f t="shared" si="10"/>
        <v>491133</v>
      </c>
      <c r="F67" s="14">
        <f>IFERROR(__xludf.DUMMYFUNCTION("GOOGLEFINANCE(CONCAT(""NSE:"",A67))"),1124.4)</f>
        <v>1124.4</v>
      </c>
      <c r="G67" s="14">
        <f t="shared" si="11"/>
        <v>522846</v>
      </c>
      <c r="H67" s="44">
        <f t="shared" si="12"/>
        <v>0.06457110396</v>
      </c>
      <c r="J67" s="1" t="s">
        <v>124</v>
      </c>
      <c r="K67" s="1" t="s">
        <v>125</v>
      </c>
      <c r="L67" s="1" t="s">
        <v>164</v>
      </c>
      <c r="M67" s="1" t="s">
        <v>92</v>
      </c>
      <c r="N67" s="1" t="s">
        <v>165</v>
      </c>
      <c r="O67" s="17">
        <v>4500.0</v>
      </c>
      <c r="P67" s="17">
        <v>112.71</v>
      </c>
      <c r="Q67" s="17">
        <v>507195.0</v>
      </c>
    </row>
    <row r="68">
      <c r="A68" s="14" t="s">
        <v>28</v>
      </c>
      <c r="B68" s="14">
        <v>1436.0</v>
      </c>
      <c r="C68" s="8">
        <v>345.75</v>
      </c>
      <c r="D68" s="74">
        <f t="shared" si="9"/>
        <v>1436</v>
      </c>
      <c r="E68" s="14">
        <f t="shared" si="10"/>
        <v>496497</v>
      </c>
      <c r="F68" s="14">
        <f>IFERROR(__xludf.DUMMYFUNCTION("GOOGLEFINANCE(CONCAT(""NSE:"",A68))"),356.3)</f>
        <v>356.3</v>
      </c>
      <c r="G68" s="14">
        <f t="shared" si="11"/>
        <v>511646.8</v>
      </c>
      <c r="H68" s="44">
        <f t="shared" si="12"/>
        <v>0.03051337672</v>
      </c>
      <c r="J68" s="1" t="s">
        <v>124</v>
      </c>
      <c r="K68" s="1" t="s">
        <v>125</v>
      </c>
      <c r="L68" s="1" t="s">
        <v>166</v>
      </c>
      <c r="M68" s="1" t="s">
        <v>94</v>
      </c>
      <c r="N68" s="1" t="s">
        <v>167</v>
      </c>
      <c r="O68" s="17">
        <v>1738.0</v>
      </c>
      <c r="P68" s="17">
        <v>321.65</v>
      </c>
      <c r="Q68" s="17">
        <v>559027.7</v>
      </c>
    </row>
    <row r="69">
      <c r="A69" s="14" t="s">
        <v>119</v>
      </c>
      <c r="B69" s="14">
        <v>2583.0</v>
      </c>
      <c r="C69" s="8">
        <v>184.75</v>
      </c>
      <c r="D69" s="74">
        <f t="shared" si="9"/>
        <v>2583</v>
      </c>
      <c r="E69" s="14">
        <f t="shared" si="10"/>
        <v>477209.25</v>
      </c>
      <c r="F69" s="14">
        <f>IFERROR(__xludf.DUMMYFUNCTION("GOOGLEFINANCE(CONCAT(""NSE:"",A69))"),190.02)</f>
        <v>190.02</v>
      </c>
      <c r="G69" s="14">
        <f t="shared" si="11"/>
        <v>490821.66</v>
      </c>
      <c r="H69" s="44">
        <f t="shared" si="12"/>
        <v>0.02852503383</v>
      </c>
      <c r="J69" s="1" t="s">
        <v>124</v>
      </c>
      <c r="K69" s="1" t="s">
        <v>125</v>
      </c>
      <c r="L69" s="1" t="s">
        <v>168</v>
      </c>
      <c r="M69" s="1" t="s">
        <v>120</v>
      </c>
      <c r="N69" s="1" t="s">
        <v>169</v>
      </c>
      <c r="O69" s="17">
        <v>2600.0</v>
      </c>
      <c r="P69" s="17">
        <v>189.69</v>
      </c>
      <c r="Q69" s="17">
        <v>493194.0</v>
      </c>
    </row>
    <row r="70">
      <c r="A70" s="14" t="s">
        <v>120</v>
      </c>
      <c r="B70" s="14">
        <v>2600.0</v>
      </c>
      <c r="C70" s="8">
        <v>190.82</v>
      </c>
      <c r="D70" s="74">
        <f t="shared" si="9"/>
        <v>2600</v>
      </c>
      <c r="E70" s="14">
        <f t="shared" si="10"/>
        <v>496132</v>
      </c>
      <c r="F70" s="14">
        <f>IFERROR(__xludf.DUMMYFUNCTION("GOOGLEFINANCE(CONCAT(""NSE:"",A70))"),184.29)</f>
        <v>184.29</v>
      </c>
      <c r="G70" s="14">
        <f t="shared" si="11"/>
        <v>479154</v>
      </c>
      <c r="H70" s="44">
        <f t="shared" si="12"/>
        <v>-0.03422073158</v>
      </c>
      <c r="J70" s="1" t="s">
        <v>124</v>
      </c>
      <c r="K70" s="1" t="s">
        <v>125</v>
      </c>
      <c r="L70" s="1" t="s">
        <v>170</v>
      </c>
      <c r="M70" s="1" t="s">
        <v>97</v>
      </c>
      <c r="N70" s="1" t="s">
        <v>171</v>
      </c>
      <c r="O70" s="17">
        <v>828.0</v>
      </c>
      <c r="P70" s="17">
        <v>604.3</v>
      </c>
      <c r="Q70" s="17">
        <v>500360.4</v>
      </c>
    </row>
    <row r="71">
      <c r="A71" s="14" t="s">
        <v>77</v>
      </c>
      <c r="B71" s="14">
        <v>1739.0</v>
      </c>
      <c r="C71" s="8">
        <v>279.8</v>
      </c>
      <c r="D71" s="74">
        <f t="shared" si="9"/>
        <v>1739</v>
      </c>
      <c r="E71" s="14">
        <f t="shared" si="10"/>
        <v>486572.2</v>
      </c>
      <c r="F71" s="14">
        <f>IFERROR(__xludf.DUMMYFUNCTION("GOOGLEFINANCE(CONCAT(""NSE:"",A71))"),256.3)</f>
        <v>256.3</v>
      </c>
      <c r="G71" s="14">
        <f t="shared" si="11"/>
        <v>445705.7</v>
      </c>
      <c r="H71" s="44">
        <f t="shared" si="12"/>
        <v>-0.08398856326</v>
      </c>
      <c r="J71" s="1" t="s">
        <v>124</v>
      </c>
      <c r="K71" s="1" t="s">
        <v>125</v>
      </c>
      <c r="L71" s="1" t="s">
        <v>172</v>
      </c>
      <c r="M71" s="1" t="s">
        <v>77</v>
      </c>
      <c r="N71" s="1" t="s">
        <v>173</v>
      </c>
      <c r="O71" s="17">
        <v>1739.0</v>
      </c>
      <c r="P71" s="17">
        <v>264.25</v>
      </c>
      <c r="Q71" s="17">
        <v>459530.8</v>
      </c>
    </row>
    <row r="72">
      <c r="B72" s="8"/>
      <c r="C72" s="8"/>
      <c r="D72" s="59"/>
    </row>
    <row r="73">
      <c r="A73" s="8" t="s">
        <v>296</v>
      </c>
      <c r="B73" s="8">
        <v>1.0E7</v>
      </c>
      <c r="C73" s="8" t="s">
        <v>298</v>
      </c>
      <c r="D73" s="59">
        <v>46197.0</v>
      </c>
    </row>
    <row r="74">
      <c r="A74" s="8" t="s">
        <v>299</v>
      </c>
      <c r="B74" s="59">
        <v>46204.0</v>
      </c>
    </row>
    <row r="75">
      <c r="A75" s="60">
        <v>46197.0</v>
      </c>
      <c r="B75" s="39" t="s">
        <v>300</v>
      </c>
      <c r="C75" s="39" t="s">
        <v>308</v>
      </c>
      <c r="D75" s="40" t="s">
        <v>302</v>
      </c>
      <c r="E75" s="40" t="s">
        <v>303</v>
      </c>
      <c r="F75" s="40" t="s">
        <v>304</v>
      </c>
      <c r="G75" s="40" t="s">
        <v>305</v>
      </c>
      <c r="H75" s="40" t="s">
        <v>306</v>
      </c>
      <c r="J75" s="1" t="s">
        <v>202</v>
      </c>
      <c r="K75" s="1" t="s">
        <v>204</v>
      </c>
      <c r="L75" s="1" t="s">
        <v>205</v>
      </c>
      <c r="M75" s="1" t="s">
        <v>206</v>
      </c>
      <c r="N75" s="1" t="s">
        <v>207</v>
      </c>
      <c r="O75" s="1" t="s">
        <v>38</v>
      </c>
      <c r="P75" s="1" t="s">
        <v>208</v>
      </c>
      <c r="Q75" s="1" t="s">
        <v>209</v>
      </c>
    </row>
    <row r="76">
      <c r="A76" s="64" t="s">
        <v>41</v>
      </c>
      <c r="B76" s="8">
        <v>2416.0</v>
      </c>
      <c r="C76" s="8">
        <v>207.98</v>
      </c>
      <c r="D76" s="14">
        <f t="shared" ref="D76:D95" si="13">B76</f>
        <v>2416</v>
      </c>
      <c r="E76" s="14">
        <f t="shared" ref="E76:E95" si="14">B76*C76</f>
        <v>502479.68</v>
      </c>
      <c r="F76" s="14">
        <f>IFERROR(__xludf.DUMMYFUNCTION("GOOGLEFINANCE(CONCAT(""NSE:"",A76))"),172.69)</f>
        <v>172.69</v>
      </c>
      <c r="G76" s="14">
        <f t="shared" ref="G76:G95" si="15">D76*F76</f>
        <v>417219.04</v>
      </c>
      <c r="H76" s="44">
        <f t="shared" ref="H76:H95" si="16">(G76-E76)/E76</f>
        <v>-0.1696797769</v>
      </c>
      <c r="J76" s="1" t="s">
        <v>124</v>
      </c>
      <c r="K76" s="1" t="s">
        <v>125</v>
      </c>
      <c r="L76" s="1" t="s">
        <v>126</v>
      </c>
      <c r="M76" s="1" t="s">
        <v>41</v>
      </c>
      <c r="N76" s="1" t="s">
        <v>127</v>
      </c>
      <c r="O76" s="17">
        <v>2416.0</v>
      </c>
      <c r="P76" s="17">
        <v>205.04</v>
      </c>
      <c r="Q76" s="17">
        <v>495376.6</v>
      </c>
    </row>
    <row r="77">
      <c r="A77" s="64" t="s">
        <v>50</v>
      </c>
      <c r="B77" s="8">
        <v>355.0</v>
      </c>
      <c r="C77" s="8">
        <v>1394.8</v>
      </c>
      <c r="D77" s="14">
        <f t="shared" si="13"/>
        <v>355</v>
      </c>
      <c r="E77" s="14">
        <f t="shared" si="14"/>
        <v>495154</v>
      </c>
      <c r="F77" s="14">
        <f>IFERROR(__xludf.DUMMYFUNCTION("GOOGLEFINANCE(CONCAT(""NSE:"",A77))"),1386.6)</f>
        <v>1386.6</v>
      </c>
      <c r="G77" s="14">
        <f t="shared" si="15"/>
        <v>492243</v>
      </c>
      <c r="H77" s="44">
        <f t="shared" si="16"/>
        <v>-0.005878979065</v>
      </c>
      <c r="J77" s="1" t="s">
        <v>124</v>
      </c>
      <c r="K77" s="1" t="s">
        <v>125</v>
      </c>
      <c r="L77" s="1" t="s">
        <v>128</v>
      </c>
      <c r="M77" s="1" t="s">
        <v>50</v>
      </c>
      <c r="N77" s="1" t="s">
        <v>129</v>
      </c>
      <c r="O77" s="17">
        <v>355.0</v>
      </c>
      <c r="P77" s="17">
        <v>1502.3</v>
      </c>
      <c r="Q77" s="17">
        <v>533316.5</v>
      </c>
    </row>
    <row r="78">
      <c r="A78" s="64" t="s">
        <v>56</v>
      </c>
      <c r="B78" s="8">
        <v>314.0</v>
      </c>
      <c r="C78" s="8">
        <v>1600.0</v>
      </c>
      <c r="D78" s="14">
        <f t="shared" si="13"/>
        <v>314</v>
      </c>
      <c r="E78" s="14">
        <f t="shared" si="14"/>
        <v>502400</v>
      </c>
      <c r="F78" s="14">
        <f>IFERROR(__xludf.DUMMYFUNCTION("GOOGLEFINANCE(CONCAT(""NSE:"",A78))"),1330.2)</f>
        <v>1330.2</v>
      </c>
      <c r="G78" s="14">
        <f t="shared" si="15"/>
        <v>417682.8</v>
      </c>
      <c r="H78" s="44">
        <f t="shared" si="16"/>
        <v>-0.168625</v>
      </c>
      <c r="J78" s="1" t="s">
        <v>124</v>
      </c>
      <c r="K78" s="1" t="s">
        <v>125</v>
      </c>
      <c r="L78" s="1" t="s">
        <v>130</v>
      </c>
      <c r="M78" s="1" t="s">
        <v>56</v>
      </c>
      <c r="N78" s="1" t="s">
        <v>132</v>
      </c>
      <c r="O78" s="17">
        <v>314.0</v>
      </c>
      <c r="P78" s="17">
        <v>1604.6</v>
      </c>
      <c r="Q78" s="17">
        <v>503844.4</v>
      </c>
    </row>
    <row r="79">
      <c r="A79" s="64" t="s">
        <v>59</v>
      </c>
      <c r="B79" s="8">
        <v>339.0</v>
      </c>
      <c r="C79" s="8">
        <v>1500.0</v>
      </c>
      <c r="D79" s="14">
        <f t="shared" si="13"/>
        <v>339</v>
      </c>
      <c r="E79" s="14">
        <f t="shared" si="14"/>
        <v>508500</v>
      </c>
      <c r="F79" s="14">
        <f>IFERROR(__xludf.DUMMYFUNCTION("GOOGLEFINANCE(CONCAT(""NSE:"",A79))"),1405.4)</f>
        <v>1405.4</v>
      </c>
      <c r="G79" s="14">
        <f t="shared" si="15"/>
        <v>476430.6</v>
      </c>
      <c r="H79" s="44">
        <f t="shared" si="16"/>
        <v>-0.06306666667</v>
      </c>
      <c r="J79" s="1" t="s">
        <v>124</v>
      </c>
      <c r="K79" s="1" t="s">
        <v>125</v>
      </c>
      <c r="L79" s="1" t="s">
        <v>133</v>
      </c>
      <c r="M79" s="1" t="s">
        <v>59</v>
      </c>
      <c r="N79" s="1" t="s">
        <v>134</v>
      </c>
      <c r="O79" s="17">
        <v>339.0</v>
      </c>
      <c r="P79" s="17">
        <v>1421.0</v>
      </c>
      <c r="Q79" s="17">
        <v>481719.0</v>
      </c>
    </row>
    <row r="80">
      <c r="A80" s="64" t="s">
        <v>58</v>
      </c>
      <c r="B80" s="8">
        <v>1813.0</v>
      </c>
      <c r="C80" s="8">
        <v>274.85</v>
      </c>
      <c r="D80" s="14">
        <f t="shared" si="13"/>
        <v>1813</v>
      </c>
      <c r="E80" s="14">
        <f t="shared" si="14"/>
        <v>498303.05</v>
      </c>
      <c r="F80" s="14">
        <f>IFERROR(__xludf.DUMMYFUNCTION("GOOGLEFINANCE(CONCAT(""NSE:"",A80))"),238.04)</f>
        <v>238.04</v>
      </c>
      <c r="G80" s="14">
        <f t="shared" si="15"/>
        <v>431566.52</v>
      </c>
      <c r="H80" s="44">
        <f t="shared" si="16"/>
        <v>-0.1339275969</v>
      </c>
      <c r="J80" s="1" t="s">
        <v>124</v>
      </c>
      <c r="K80" s="1" t="s">
        <v>125</v>
      </c>
      <c r="L80" s="1" t="s">
        <v>135</v>
      </c>
      <c r="M80" s="1" t="s">
        <v>58</v>
      </c>
      <c r="N80" s="1" t="s">
        <v>136</v>
      </c>
      <c r="O80" s="17">
        <v>1813.0</v>
      </c>
      <c r="P80" s="17">
        <v>254.6</v>
      </c>
      <c r="Q80" s="17">
        <v>461589.8</v>
      </c>
    </row>
    <row r="81">
      <c r="A81" s="64" t="s">
        <v>112</v>
      </c>
      <c r="B81" s="8">
        <v>492.0</v>
      </c>
      <c r="C81" s="8">
        <v>991.75</v>
      </c>
      <c r="D81" s="14">
        <f t="shared" si="13"/>
        <v>492</v>
      </c>
      <c r="E81" s="14">
        <f t="shared" si="14"/>
        <v>487941</v>
      </c>
      <c r="F81" s="14">
        <f>IFERROR(__xludf.DUMMYFUNCTION("GOOGLEFINANCE(CONCAT(""NSE:"",A81))"),983.7)</f>
        <v>983.7</v>
      </c>
      <c r="G81" s="14">
        <f t="shared" si="15"/>
        <v>483980.4</v>
      </c>
      <c r="H81" s="44">
        <f t="shared" si="16"/>
        <v>-0.008116964961</v>
      </c>
      <c r="J81" s="1" t="s">
        <v>124</v>
      </c>
      <c r="K81" s="1" t="s">
        <v>125</v>
      </c>
      <c r="L81" s="1" t="s">
        <v>139</v>
      </c>
      <c r="M81" s="1" t="s">
        <v>112</v>
      </c>
      <c r="N81" s="1" t="s">
        <v>140</v>
      </c>
      <c r="O81" s="17">
        <v>492.0</v>
      </c>
      <c r="P81" s="17">
        <v>939.7</v>
      </c>
      <c r="Q81" s="17">
        <v>462332.4</v>
      </c>
    </row>
    <row r="82">
      <c r="A82" s="64" t="s">
        <v>61</v>
      </c>
      <c r="B82" s="8">
        <v>6207.0</v>
      </c>
      <c r="C82" s="8">
        <v>79.41</v>
      </c>
      <c r="D82" s="14">
        <f t="shared" si="13"/>
        <v>6207</v>
      </c>
      <c r="E82" s="14">
        <f t="shared" si="14"/>
        <v>492897.87</v>
      </c>
      <c r="F82" s="14">
        <f>IFERROR(__xludf.DUMMYFUNCTION("GOOGLEFINANCE(CONCAT(""NSE:"",A82))"),85.19)</f>
        <v>85.19</v>
      </c>
      <c r="G82" s="14">
        <f t="shared" si="15"/>
        <v>528774.33</v>
      </c>
      <c r="H82" s="44">
        <f t="shared" si="16"/>
        <v>0.07278680267</v>
      </c>
      <c r="J82" s="1" t="s">
        <v>124</v>
      </c>
      <c r="K82" s="1" t="s">
        <v>125</v>
      </c>
      <c r="L82" s="1" t="s">
        <v>142</v>
      </c>
      <c r="M82" s="1" t="s">
        <v>61</v>
      </c>
      <c r="N82" s="1" t="s">
        <v>143</v>
      </c>
      <c r="O82" s="17">
        <v>6207.0</v>
      </c>
      <c r="P82" s="17">
        <v>78.93</v>
      </c>
      <c r="Q82" s="17">
        <v>489918.5</v>
      </c>
    </row>
    <row r="83">
      <c r="A83" s="64" t="s">
        <v>64</v>
      </c>
      <c r="B83" s="8">
        <v>23041.0</v>
      </c>
      <c r="C83" s="8">
        <v>21.55</v>
      </c>
      <c r="D83" s="14">
        <f t="shared" si="13"/>
        <v>23041</v>
      </c>
      <c r="E83" s="14">
        <f t="shared" si="14"/>
        <v>496533.55</v>
      </c>
      <c r="F83" s="14">
        <f>IFERROR(__xludf.DUMMYFUNCTION("GOOGLEFINANCE(CONCAT(""NSE:"",A83))"),18.96)</f>
        <v>18.96</v>
      </c>
      <c r="G83" s="14">
        <f t="shared" si="15"/>
        <v>436857.36</v>
      </c>
      <c r="H83" s="44">
        <f t="shared" si="16"/>
        <v>-0.1201856148</v>
      </c>
      <c r="J83" s="1" t="s">
        <v>124</v>
      </c>
      <c r="K83" s="1" t="s">
        <v>125</v>
      </c>
      <c r="L83" s="1" t="s">
        <v>144</v>
      </c>
      <c r="M83" s="1" t="s">
        <v>64</v>
      </c>
      <c r="N83" s="1" t="s">
        <v>145</v>
      </c>
      <c r="O83" s="17">
        <v>23041.0</v>
      </c>
      <c r="P83" s="17">
        <v>21.3</v>
      </c>
      <c r="Q83" s="17">
        <v>490773.3</v>
      </c>
    </row>
    <row r="84">
      <c r="A84" s="64" t="s">
        <v>116</v>
      </c>
      <c r="B84" s="8">
        <v>441.0</v>
      </c>
      <c r="C84" s="8">
        <v>1106.9</v>
      </c>
      <c r="D84" s="14">
        <f t="shared" si="13"/>
        <v>441</v>
      </c>
      <c r="E84" s="14">
        <f t="shared" si="14"/>
        <v>488142.9</v>
      </c>
      <c r="F84" s="14">
        <f>IFERROR(__xludf.DUMMYFUNCTION("GOOGLEFINANCE(CONCAT(""NSE:"",A84))"),1124.4)</f>
        <v>1124.4</v>
      </c>
      <c r="G84" s="14">
        <f t="shared" si="15"/>
        <v>495860.4</v>
      </c>
      <c r="H84" s="44">
        <f t="shared" si="16"/>
        <v>0.0158099196</v>
      </c>
      <c r="J84" s="1" t="s">
        <v>124</v>
      </c>
      <c r="K84" s="1" t="s">
        <v>125</v>
      </c>
      <c r="L84" s="1" t="s">
        <v>146</v>
      </c>
      <c r="M84" s="1" t="s">
        <v>116</v>
      </c>
      <c r="N84" s="1" t="s">
        <v>147</v>
      </c>
      <c r="O84" s="17">
        <v>441.0</v>
      </c>
      <c r="P84" s="17">
        <v>1028.8</v>
      </c>
      <c r="Q84" s="17">
        <v>453700.8</v>
      </c>
    </row>
    <row r="85">
      <c r="A85" s="64" t="s">
        <v>68</v>
      </c>
      <c r="B85" s="8">
        <v>280.0</v>
      </c>
      <c r="C85" s="8">
        <v>1783.6</v>
      </c>
      <c r="D85" s="14">
        <f t="shared" si="13"/>
        <v>280</v>
      </c>
      <c r="E85" s="14">
        <f t="shared" si="14"/>
        <v>499408</v>
      </c>
      <c r="F85" s="14">
        <f>IFERROR(__xludf.DUMMYFUNCTION("GOOGLEFINANCE(CONCAT(""NSE:"",A85))"),1824.9)</f>
        <v>1824.9</v>
      </c>
      <c r="G85" s="14">
        <f t="shared" si="15"/>
        <v>510972</v>
      </c>
      <c r="H85" s="44">
        <f t="shared" si="16"/>
        <v>0.02315541601</v>
      </c>
      <c r="J85" s="1" t="s">
        <v>124</v>
      </c>
      <c r="K85" s="1" t="s">
        <v>125</v>
      </c>
      <c r="L85" s="1" t="s">
        <v>149</v>
      </c>
      <c r="M85" s="1" t="s">
        <v>68</v>
      </c>
      <c r="N85" s="1" t="s">
        <v>150</v>
      </c>
      <c r="O85" s="17">
        <v>280.0</v>
      </c>
      <c r="P85" s="17">
        <v>1805.9</v>
      </c>
      <c r="Q85" s="17">
        <v>505652.0</v>
      </c>
    </row>
    <row r="86">
      <c r="A86" s="64" t="s">
        <v>83</v>
      </c>
      <c r="B86" s="8">
        <v>1523.0</v>
      </c>
      <c r="C86" s="8">
        <v>323.0</v>
      </c>
      <c r="D86" s="14">
        <f t="shared" si="13"/>
        <v>1523</v>
      </c>
      <c r="E86" s="14">
        <f t="shared" si="14"/>
        <v>491929</v>
      </c>
      <c r="F86" s="14">
        <f>IFERROR(__xludf.DUMMYFUNCTION("GOOGLEFINANCE(CONCAT(""NSE:"",A86))"),317.0)</f>
        <v>317</v>
      </c>
      <c r="G86" s="14">
        <f t="shared" si="15"/>
        <v>482791</v>
      </c>
      <c r="H86" s="44">
        <f t="shared" si="16"/>
        <v>-0.01857585139</v>
      </c>
      <c r="J86" s="1" t="s">
        <v>124</v>
      </c>
      <c r="K86" s="1" t="s">
        <v>125</v>
      </c>
      <c r="L86" s="1" t="s">
        <v>151</v>
      </c>
      <c r="M86" s="1" t="s">
        <v>83</v>
      </c>
      <c r="N86" s="1" t="s">
        <v>153</v>
      </c>
      <c r="O86" s="17">
        <v>1523.0</v>
      </c>
      <c r="P86" s="17">
        <v>316.65</v>
      </c>
      <c r="Q86" s="17">
        <v>482258.0</v>
      </c>
    </row>
    <row r="87">
      <c r="A87" s="64" t="s">
        <v>85</v>
      </c>
      <c r="B87" s="8">
        <v>527.0</v>
      </c>
      <c r="C87" s="8">
        <v>945.92</v>
      </c>
      <c r="D87" s="14">
        <f t="shared" si="13"/>
        <v>527</v>
      </c>
      <c r="E87" s="14">
        <f t="shared" si="14"/>
        <v>498499.84</v>
      </c>
      <c r="F87" s="14">
        <f>IFERROR(__xludf.DUMMYFUNCTION("GOOGLEFINANCE(CONCAT(""NSE:"",A87))"),993.4)</f>
        <v>993.4</v>
      </c>
      <c r="G87" s="14">
        <f t="shared" si="15"/>
        <v>523521.8</v>
      </c>
      <c r="H87" s="44">
        <f t="shared" si="16"/>
        <v>0.05019451962</v>
      </c>
      <c r="J87" s="1" t="s">
        <v>124</v>
      </c>
      <c r="K87" s="1" t="s">
        <v>125</v>
      </c>
      <c r="L87" s="1" t="s">
        <v>154</v>
      </c>
      <c r="M87" s="1" t="s">
        <v>85</v>
      </c>
      <c r="N87" s="1" t="s">
        <v>155</v>
      </c>
      <c r="O87" s="17">
        <v>527.0</v>
      </c>
      <c r="P87" s="17">
        <v>955.95</v>
      </c>
      <c r="Q87" s="17">
        <v>503785.7</v>
      </c>
    </row>
    <row r="88">
      <c r="A88" s="64" t="s">
        <v>119</v>
      </c>
      <c r="B88" s="8">
        <v>2353.0</v>
      </c>
      <c r="C88" s="8">
        <v>200.96</v>
      </c>
      <c r="D88" s="14">
        <f t="shared" si="13"/>
        <v>2353</v>
      </c>
      <c r="E88" s="14">
        <f t="shared" si="14"/>
        <v>472858.88</v>
      </c>
      <c r="F88" s="14">
        <f>IFERROR(__xludf.DUMMYFUNCTION("GOOGLEFINANCE(CONCAT(""NSE:"",A88))"),190.02)</f>
        <v>190.02</v>
      </c>
      <c r="G88" s="14">
        <f t="shared" si="15"/>
        <v>447117.06</v>
      </c>
      <c r="H88" s="44">
        <f t="shared" si="16"/>
        <v>-0.05443869427</v>
      </c>
      <c r="J88" s="1" t="s">
        <v>124</v>
      </c>
      <c r="K88" s="1" t="s">
        <v>125</v>
      </c>
      <c r="L88" s="1" t="s">
        <v>158</v>
      </c>
      <c r="M88" s="1" t="s">
        <v>119</v>
      </c>
      <c r="N88" s="1" t="s">
        <v>159</v>
      </c>
      <c r="O88" s="17">
        <v>2353.0</v>
      </c>
      <c r="P88" s="17">
        <v>183.11</v>
      </c>
      <c r="Q88" s="17">
        <v>430857.8</v>
      </c>
    </row>
    <row r="89">
      <c r="A89" s="64" t="s">
        <v>89</v>
      </c>
      <c r="B89" s="8">
        <v>1183.0</v>
      </c>
      <c r="C89" s="8">
        <v>418.15</v>
      </c>
      <c r="D89" s="14">
        <f t="shared" si="13"/>
        <v>1183</v>
      </c>
      <c r="E89" s="14">
        <f t="shared" si="14"/>
        <v>494671.45</v>
      </c>
      <c r="F89" s="14">
        <f>IFERROR(__xludf.DUMMYFUNCTION("GOOGLEFINANCE(CONCAT(""NSE:"",A89))"),478.75)</f>
        <v>478.75</v>
      </c>
      <c r="G89" s="14">
        <f t="shared" si="15"/>
        <v>566361.25</v>
      </c>
      <c r="H89" s="44">
        <f t="shared" si="16"/>
        <v>0.1449240703</v>
      </c>
      <c r="J89" s="1" t="s">
        <v>124</v>
      </c>
      <c r="K89" s="1" t="s">
        <v>125</v>
      </c>
      <c r="L89" s="1" t="s">
        <v>161</v>
      </c>
      <c r="M89" s="1" t="s">
        <v>89</v>
      </c>
      <c r="N89" s="1" t="s">
        <v>162</v>
      </c>
      <c r="O89" s="17">
        <v>1183.0</v>
      </c>
      <c r="P89" s="17">
        <v>419.8</v>
      </c>
      <c r="Q89" s="17">
        <v>496623.4</v>
      </c>
    </row>
    <row r="90">
      <c r="A90" s="64" t="s">
        <v>101</v>
      </c>
      <c r="B90" s="8">
        <v>2036.0</v>
      </c>
      <c r="C90" s="8">
        <v>245.25</v>
      </c>
      <c r="D90" s="14">
        <f t="shared" si="13"/>
        <v>2036</v>
      </c>
      <c r="E90" s="14">
        <f t="shared" si="14"/>
        <v>499329</v>
      </c>
      <c r="F90" s="14">
        <f>IFERROR(__xludf.DUMMYFUNCTION("GOOGLEFINANCE(CONCAT(""NSE:"",A90))"),232.81)</f>
        <v>232.81</v>
      </c>
      <c r="G90" s="14">
        <f t="shared" si="15"/>
        <v>474001.16</v>
      </c>
      <c r="H90" s="44">
        <f t="shared" si="16"/>
        <v>-0.05072375127</v>
      </c>
      <c r="J90" s="1" t="s">
        <v>124</v>
      </c>
      <c r="K90" s="1" t="s">
        <v>125</v>
      </c>
      <c r="L90" s="1" t="s">
        <v>283</v>
      </c>
      <c r="M90" s="1" t="s">
        <v>101</v>
      </c>
      <c r="N90" s="1" t="s">
        <v>284</v>
      </c>
      <c r="O90" s="17">
        <v>2036.0</v>
      </c>
      <c r="P90" s="17">
        <v>234.99</v>
      </c>
      <c r="Q90" s="17">
        <v>478439.6</v>
      </c>
    </row>
    <row r="91">
      <c r="A91" s="64" t="s">
        <v>92</v>
      </c>
      <c r="B91" s="8">
        <v>4558.0</v>
      </c>
      <c r="C91" s="8">
        <v>108.04</v>
      </c>
      <c r="D91" s="14">
        <f t="shared" si="13"/>
        <v>4558</v>
      </c>
      <c r="E91" s="14">
        <f t="shared" si="14"/>
        <v>492446.32</v>
      </c>
      <c r="F91" s="14">
        <f>IFERROR(__xludf.DUMMYFUNCTION("GOOGLEFINANCE(CONCAT(""NSE:"",A91))"),117.38)</f>
        <v>117.38</v>
      </c>
      <c r="G91" s="14">
        <f t="shared" si="15"/>
        <v>535018.04</v>
      </c>
      <c r="H91" s="44">
        <f t="shared" si="16"/>
        <v>0.08644946316</v>
      </c>
      <c r="J91" s="1" t="s">
        <v>124</v>
      </c>
      <c r="K91" s="1" t="s">
        <v>125</v>
      </c>
      <c r="L91" s="1" t="s">
        <v>164</v>
      </c>
      <c r="M91" s="1" t="s">
        <v>92</v>
      </c>
      <c r="N91" s="1" t="s">
        <v>165</v>
      </c>
      <c r="O91" s="17">
        <v>4558.0</v>
      </c>
      <c r="P91" s="17">
        <v>107.54</v>
      </c>
      <c r="Q91" s="17">
        <v>490167.3</v>
      </c>
    </row>
    <row r="92">
      <c r="A92" s="64" t="s">
        <v>94</v>
      </c>
      <c r="B92" s="8">
        <v>1786.0</v>
      </c>
      <c r="C92" s="8">
        <v>279.9</v>
      </c>
      <c r="D92" s="14">
        <f t="shared" si="13"/>
        <v>1786</v>
      </c>
      <c r="E92" s="14">
        <f t="shared" si="14"/>
        <v>499901.4</v>
      </c>
      <c r="F92" s="14">
        <f>IFERROR(__xludf.DUMMYFUNCTION("GOOGLEFINANCE(CONCAT(""NSE:"",A92))"),397.05)</f>
        <v>397.05</v>
      </c>
      <c r="G92" s="14">
        <f t="shared" si="15"/>
        <v>709131.3</v>
      </c>
      <c r="H92" s="44">
        <f t="shared" si="16"/>
        <v>0.4185423365</v>
      </c>
      <c r="J92" s="1" t="s">
        <v>124</v>
      </c>
      <c r="K92" s="1" t="s">
        <v>125</v>
      </c>
      <c r="L92" s="1" t="s">
        <v>166</v>
      </c>
      <c r="M92" s="1" t="s">
        <v>94</v>
      </c>
      <c r="N92" s="1" t="s">
        <v>167</v>
      </c>
      <c r="O92" s="17">
        <v>1786.0</v>
      </c>
      <c r="P92" s="17">
        <v>273.65</v>
      </c>
      <c r="Q92" s="17">
        <v>488738.9</v>
      </c>
    </row>
    <row r="93">
      <c r="A93" s="64" t="s">
        <v>120</v>
      </c>
      <c r="B93" s="8">
        <v>2515.0</v>
      </c>
      <c r="C93" s="8">
        <v>196.46</v>
      </c>
      <c r="D93" s="14">
        <f t="shared" si="13"/>
        <v>2515</v>
      </c>
      <c r="E93" s="14">
        <f t="shared" si="14"/>
        <v>494096.9</v>
      </c>
      <c r="F93" s="14">
        <f>IFERROR(__xludf.DUMMYFUNCTION("GOOGLEFINANCE(CONCAT(""NSE:"",A93))"),184.29)</f>
        <v>184.29</v>
      </c>
      <c r="G93" s="14">
        <f t="shared" si="15"/>
        <v>463489.35</v>
      </c>
      <c r="H93" s="44">
        <f t="shared" si="16"/>
        <v>-0.0619464522</v>
      </c>
      <c r="J93" s="1" t="s">
        <v>124</v>
      </c>
      <c r="K93" s="1" t="s">
        <v>125</v>
      </c>
      <c r="L93" s="1" t="s">
        <v>168</v>
      </c>
      <c r="M93" s="1" t="s">
        <v>120</v>
      </c>
      <c r="N93" s="1" t="s">
        <v>169</v>
      </c>
      <c r="O93" s="17">
        <v>2515.0</v>
      </c>
      <c r="P93" s="17">
        <v>185.17</v>
      </c>
      <c r="Q93" s="17">
        <v>465702.6</v>
      </c>
    </row>
    <row r="94">
      <c r="A94" s="64" t="s">
        <v>97</v>
      </c>
      <c r="B94" s="8">
        <v>827.0</v>
      </c>
      <c r="C94" s="8">
        <v>604.38</v>
      </c>
      <c r="D94" s="14">
        <f t="shared" si="13"/>
        <v>827</v>
      </c>
      <c r="E94" s="14">
        <f t="shared" si="14"/>
        <v>499822.26</v>
      </c>
      <c r="F94" s="14">
        <f>IFERROR(__xludf.DUMMYFUNCTION("GOOGLEFINANCE(CONCAT(""NSE:"",A94))"),550.2)</f>
        <v>550.2</v>
      </c>
      <c r="G94" s="14">
        <f t="shared" si="15"/>
        <v>455015.4</v>
      </c>
      <c r="H94" s="44">
        <f t="shared" si="16"/>
        <v>-0.08964558721</v>
      </c>
      <c r="J94" s="1" t="s">
        <v>124</v>
      </c>
      <c r="K94" s="1" t="s">
        <v>125</v>
      </c>
      <c r="L94" s="1" t="s">
        <v>170</v>
      </c>
      <c r="M94" s="1" t="s">
        <v>97</v>
      </c>
      <c r="N94" s="1" t="s">
        <v>171</v>
      </c>
      <c r="O94" s="17">
        <v>827.0</v>
      </c>
      <c r="P94" s="17">
        <v>565.05</v>
      </c>
      <c r="Q94" s="17">
        <v>467296.4</v>
      </c>
    </row>
    <row r="95">
      <c r="A95" s="64" t="s">
        <v>77</v>
      </c>
      <c r="B95" s="8">
        <v>1636.0</v>
      </c>
      <c r="C95" s="8">
        <v>282.9</v>
      </c>
      <c r="D95" s="14">
        <f t="shared" si="13"/>
        <v>1636</v>
      </c>
      <c r="E95" s="14">
        <f t="shared" si="14"/>
        <v>462824.4</v>
      </c>
      <c r="F95" s="14">
        <f>IFERROR(__xludf.DUMMYFUNCTION("GOOGLEFINANCE(CONCAT(""NSE:"",A95))"),256.3)</f>
        <v>256.3</v>
      </c>
      <c r="G95" s="14">
        <f t="shared" si="15"/>
        <v>419306.8</v>
      </c>
      <c r="H95" s="44">
        <f t="shared" si="16"/>
        <v>-0.09402615765</v>
      </c>
      <c r="J95" s="1" t="s">
        <v>124</v>
      </c>
      <c r="K95" s="1" t="s">
        <v>125</v>
      </c>
      <c r="L95" s="1" t="s">
        <v>172</v>
      </c>
      <c r="M95" s="1" t="s">
        <v>77</v>
      </c>
      <c r="N95" s="1" t="s">
        <v>173</v>
      </c>
      <c r="O95" s="17">
        <v>1636.0</v>
      </c>
      <c r="P95" s="17">
        <v>275.55</v>
      </c>
      <c r="Q95" s="17">
        <v>450799.8</v>
      </c>
    </row>
  </sheetData>
  <conditionalFormatting sqref="C47 C65">
    <cfRule type="notContainsBlanks" dxfId="1" priority="1">
      <formula>LEN(TRIM(C47))&gt;0</formula>
    </cfRule>
  </conditionalFormatting>
  <conditionalFormatting sqref="C66">
    <cfRule type="notContainsBlanks" dxfId="1" priority="2">
      <formula>LEN(TRIM(C66))&gt;0</formula>
    </cfRule>
  </conditionalFormatting>
  <conditionalFormatting sqref="C67">
    <cfRule type="notContainsBlanks" dxfId="1" priority="3">
      <formula>LEN(TRIM(C67))&gt;0</formula>
    </cfRule>
  </conditionalFormatting>
  <conditionalFormatting sqref="C68">
    <cfRule type="notContainsBlanks" dxfId="1" priority="4">
      <formula>LEN(TRIM(C68))&gt;0</formula>
    </cfRule>
  </conditionalFormatting>
  <conditionalFormatting sqref="C69">
    <cfRule type="notContainsBlanks" dxfId="1" priority="5">
      <formula>LEN(TRIM(C69))&gt;0</formula>
    </cfRule>
  </conditionalFormatting>
  <conditionalFormatting sqref="C70">
    <cfRule type="notContainsBlanks" dxfId="1" priority="6">
      <formula>LEN(TRIM(C70))&gt;0</formula>
    </cfRule>
  </conditionalFormatting>
  <conditionalFormatting sqref="C71">
    <cfRule type="notContainsBlanks" dxfId="1" priority="7">
      <formula>LEN(TRIM(C71))&gt;0</formula>
    </cfRule>
  </conditionalFormatting>
  <conditionalFormatting sqref="C58">
    <cfRule type="notContainsBlanks" dxfId="1" priority="8">
      <formula>LEN(TRIM(C58))&gt;0</formula>
    </cfRule>
  </conditionalFormatting>
  <conditionalFormatting sqref="C59">
    <cfRule type="notContainsBlanks" dxfId="1" priority="9">
      <formula>LEN(TRIM(C59))&gt;0</formula>
    </cfRule>
  </conditionalFormatting>
  <conditionalFormatting sqref="C60">
    <cfRule type="notContainsBlanks" dxfId="1" priority="10">
      <formula>LEN(TRIM(C60))&gt;0</formula>
    </cfRule>
  </conditionalFormatting>
  <conditionalFormatting sqref="C61">
    <cfRule type="notContainsBlanks" dxfId="1" priority="11">
      <formula>LEN(TRIM(C61))&gt;0</formula>
    </cfRule>
  </conditionalFormatting>
  <conditionalFormatting sqref="C62">
    <cfRule type="notContainsBlanks" dxfId="1" priority="12">
      <formula>LEN(TRIM(C62))&gt;0</formula>
    </cfRule>
  </conditionalFormatting>
  <conditionalFormatting sqref="C63">
    <cfRule type="notContainsBlanks" dxfId="1" priority="13">
      <formula>LEN(TRIM(C63))&gt;0</formula>
    </cfRule>
  </conditionalFormatting>
  <conditionalFormatting sqref="C64">
    <cfRule type="notContainsBlanks" dxfId="1" priority="14">
      <formula>LEN(TRIM(C64))&gt;0</formula>
    </cfRule>
  </conditionalFormatting>
  <conditionalFormatting sqref="C52">
    <cfRule type="notContainsBlanks" dxfId="1" priority="15">
      <formula>LEN(TRIM(C52))&gt;0</formula>
    </cfRule>
  </conditionalFormatting>
  <conditionalFormatting sqref="C53">
    <cfRule type="notContainsBlanks" dxfId="1" priority="16">
      <formula>LEN(TRIM(C53))&gt;0</formula>
    </cfRule>
  </conditionalFormatting>
  <conditionalFormatting sqref="C54">
    <cfRule type="notContainsBlanks" dxfId="1" priority="17">
      <formula>LEN(TRIM(C54))&gt;0</formula>
    </cfRule>
  </conditionalFormatting>
  <conditionalFormatting sqref="C55">
    <cfRule type="notContainsBlanks" dxfId="1" priority="18">
      <formula>LEN(TRIM(C55))&gt;0</formula>
    </cfRule>
  </conditionalFormatting>
  <conditionalFormatting sqref="C56">
    <cfRule type="notContainsBlanks" dxfId="1" priority="19">
      <formula>LEN(TRIM(C56))&gt;0</formula>
    </cfRule>
  </conditionalFormatting>
  <conditionalFormatting sqref="C57">
    <cfRule type="notContainsBlanks" dxfId="1" priority="20">
      <formula>LEN(TRIM(C57))&gt;0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0.71"/>
    <col customWidth="1" min="11" max="11" width="16.0"/>
  </cols>
  <sheetData>
    <row r="1">
      <c r="A1" s="8" t="s">
        <v>296</v>
      </c>
      <c r="B1" s="8">
        <v>2.0E7</v>
      </c>
      <c r="C1" s="8" t="s">
        <v>298</v>
      </c>
      <c r="D1" s="32">
        <v>46205.0</v>
      </c>
    </row>
    <row r="2">
      <c r="A2" s="8" t="s">
        <v>299</v>
      </c>
      <c r="B2" s="32">
        <v>46296.0</v>
      </c>
      <c r="E2" s="86"/>
      <c r="G2" s="86"/>
      <c r="H2" s="86"/>
      <c r="I2" s="86"/>
    </row>
    <row r="3">
      <c r="A3" s="60">
        <v>46204.0</v>
      </c>
      <c r="B3" s="39" t="s">
        <v>300</v>
      </c>
      <c r="C3" s="39" t="s">
        <v>308</v>
      </c>
      <c r="D3" s="40" t="s">
        <v>302</v>
      </c>
      <c r="E3" s="40" t="s">
        <v>303</v>
      </c>
      <c r="F3" s="40" t="s">
        <v>304</v>
      </c>
      <c r="G3" s="40" t="s">
        <v>305</v>
      </c>
      <c r="H3" s="40" t="s">
        <v>306</v>
      </c>
      <c r="J3" s="1"/>
      <c r="K3" s="1"/>
      <c r="L3" s="1"/>
      <c r="M3" s="1"/>
      <c r="N3" s="1"/>
      <c r="O3" s="1"/>
      <c r="P3" s="1"/>
      <c r="Q3" s="1"/>
    </row>
    <row r="4">
      <c r="A4" s="63" t="s">
        <v>37</v>
      </c>
      <c r="B4" s="87">
        <v>1507.0</v>
      </c>
      <c r="C4" s="87">
        <v>390.45</v>
      </c>
      <c r="D4" s="40">
        <f t="shared" ref="D4:D33" si="1">B4</f>
        <v>1507</v>
      </c>
      <c r="E4" s="40">
        <f t="shared" ref="E4:E33" si="2">B4*C4</f>
        <v>588408.15</v>
      </c>
      <c r="F4" s="40">
        <f>IFERROR(__xludf.DUMMYFUNCTION("GOOGLEFINANCE(CONCAT(""NSE:"",A4))"),386.35)</f>
        <v>386.35</v>
      </c>
      <c r="G4" s="40">
        <f t="shared" ref="G4:G33" si="3">D4*F4</f>
        <v>582229.45</v>
      </c>
      <c r="H4" s="72">
        <f t="shared" ref="H4:H33" si="4">(G4-E4)/E4</f>
        <v>-0.01050070432</v>
      </c>
      <c r="J4" s="1"/>
      <c r="K4" s="1"/>
      <c r="L4" s="1"/>
      <c r="M4" s="1"/>
      <c r="N4" s="1"/>
      <c r="O4" s="1"/>
      <c r="P4" s="1"/>
      <c r="Q4" s="1"/>
    </row>
    <row r="5">
      <c r="A5" s="63" t="s">
        <v>51</v>
      </c>
      <c r="B5" s="87">
        <v>3721.0</v>
      </c>
      <c r="C5" s="87">
        <v>165.2</v>
      </c>
      <c r="D5" s="40">
        <f t="shared" si="1"/>
        <v>3721</v>
      </c>
      <c r="E5" s="40">
        <f t="shared" si="2"/>
        <v>614709.2</v>
      </c>
      <c r="F5" s="40">
        <f>IFERROR(__xludf.DUMMYFUNCTION("GOOGLEFINANCE(CONCAT(""NSE:"",A5))"),157.53)</f>
        <v>157.53</v>
      </c>
      <c r="G5" s="40">
        <f t="shared" si="3"/>
        <v>586169.13</v>
      </c>
      <c r="H5" s="72">
        <f t="shared" si="4"/>
        <v>-0.04642857143</v>
      </c>
      <c r="J5" s="1"/>
      <c r="K5" s="1"/>
      <c r="L5" s="1"/>
      <c r="M5" s="1"/>
      <c r="N5" s="1"/>
      <c r="O5" s="1"/>
      <c r="P5" s="1"/>
      <c r="Q5" s="1"/>
    </row>
    <row r="6">
      <c r="A6" s="63" t="s">
        <v>46</v>
      </c>
      <c r="B6" s="87">
        <v>177.0</v>
      </c>
      <c r="C6" s="87">
        <v>3938.7</v>
      </c>
      <c r="D6" s="40">
        <f t="shared" si="1"/>
        <v>177</v>
      </c>
      <c r="E6" s="40">
        <f t="shared" si="2"/>
        <v>697149.9</v>
      </c>
      <c r="F6" s="40">
        <f>IFERROR(__xludf.DUMMYFUNCTION("GOOGLEFINANCE(CONCAT(""NSE:"",A6))"),3271.6)</f>
        <v>3271.6</v>
      </c>
      <c r="G6" s="40">
        <f t="shared" si="3"/>
        <v>579073.2</v>
      </c>
      <c r="H6" s="72">
        <f t="shared" si="4"/>
        <v>-0.1693706045</v>
      </c>
      <c r="J6" s="1"/>
      <c r="K6" s="1"/>
      <c r="L6" s="1"/>
      <c r="M6" s="1"/>
      <c r="N6" s="1"/>
      <c r="O6" s="1"/>
      <c r="P6" s="1"/>
      <c r="Q6" s="1"/>
    </row>
    <row r="7">
      <c r="A7" s="63" t="s">
        <v>67</v>
      </c>
      <c r="B7" s="87">
        <v>36.0</v>
      </c>
      <c r="C7" s="87">
        <v>18841.0</v>
      </c>
      <c r="D7" s="40">
        <f t="shared" si="1"/>
        <v>36</v>
      </c>
      <c r="E7" s="40">
        <f t="shared" si="2"/>
        <v>678276</v>
      </c>
      <c r="F7" s="40">
        <f>IFERROR(__xludf.DUMMYFUNCTION("GOOGLEFINANCE(CONCAT(""NSE:"",A7))"),17516.0)</f>
        <v>17516</v>
      </c>
      <c r="G7" s="40">
        <f t="shared" si="3"/>
        <v>630576</v>
      </c>
      <c r="H7" s="72">
        <f t="shared" si="4"/>
        <v>-0.07032535428</v>
      </c>
      <c r="J7" s="1"/>
      <c r="K7" s="1"/>
      <c r="L7" s="1"/>
      <c r="M7" s="1"/>
      <c r="N7" s="1"/>
      <c r="O7" s="1"/>
      <c r="P7" s="1"/>
      <c r="Q7" s="1"/>
    </row>
    <row r="8">
      <c r="A8" s="63" t="s">
        <v>79</v>
      </c>
      <c r="B8" s="87">
        <v>109.0</v>
      </c>
      <c r="C8" s="87">
        <v>5273.0</v>
      </c>
      <c r="D8" s="40">
        <f t="shared" si="1"/>
        <v>109</v>
      </c>
      <c r="E8" s="40">
        <f t="shared" si="2"/>
        <v>574757</v>
      </c>
      <c r="F8" s="40">
        <f>IFERROR(__xludf.DUMMYFUNCTION("GOOGLEFINANCE(CONCAT(""NSE:"",A8))"),4512.5)</f>
        <v>4512.5</v>
      </c>
      <c r="G8" s="40">
        <f t="shared" si="3"/>
        <v>491862.5</v>
      </c>
      <c r="H8" s="72">
        <f t="shared" si="4"/>
        <v>-0.1442252987</v>
      </c>
      <c r="J8" s="1"/>
      <c r="K8" s="1"/>
      <c r="L8" s="1"/>
      <c r="M8" s="1"/>
      <c r="N8" s="1"/>
      <c r="O8" s="1"/>
      <c r="P8" s="1"/>
      <c r="Q8" s="1"/>
    </row>
    <row r="9">
      <c r="A9" s="63" t="s">
        <v>81</v>
      </c>
      <c r="B9" s="87">
        <v>647.0</v>
      </c>
      <c r="C9" s="87">
        <v>1509.9</v>
      </c>
      <c r="D9" s="40">
        <f t="shared" si="1"/>
        <v>647</v>
      </c>
      <c r="E9" s="40">
        <f t="shared" si="2"/>
        <v>976905.3</v>
      </c>
      <c r="F9" s="40">
        <f>IFERROR(__xludf.DUMMYFUNCTION("GOOGLEFINANCE(CONCAT(""NSE:"",A9))"),1944.7)</f>
        <v>1944.7</v>
      </c>
      <c r="G9" s="40">
        <f t="shared" si="3"/>
        <v>1258220.9</v>
      </c>
      <c r="H9" s="72">
        <f t="shared" si="4"/>
        <v>0.2879660905</v>
      </c>
      <c r="J9" s="1"/>
      <c r="K9" s="1"/>
      <c r="L9" s="1"/>
      <c r="M9" s="1"/>
      <c r="N9" s="1"/>
      <c r="O9" s="1"/>
      <c r="P9" s="1"/>
      <c r="Q9" s="1"/>
    </row>
    <row r="10">
      <c r="A10" s="63" t="s">
        <v>82</v>
      </c>
      <c r="B10" s="87">
        <v>2208.0</v>
      </c>
      <c r="C10" s="87">
        <v>313.45</v>
      </c>
      <c r="D10" s="40">
        <f t="shared" si="1"/>
        <v>2208</v>
      </c>
      <c r="E10" s="40">
        <f t="shared" si="2"/>
        <v>692097.6</v>
      </c>
      <c r="F10" s="40">
        <f>IFERROR(__xludf.DUMMYFUNCTION("GOOGLEFINANCE(CONCAT(""NSE:"",A10))"),298.85)</f>
        <v>298.85</v>
      </c>
      <c r="G10" s="40">
        <f t="shared" si="3"/>
        <v>659860.8</v>
      </c>
      <c r="H10" s="72">
        <f t="shared" si="4"/>
        <v>-0.04657840166</v>
      </c>
      <c r="J10" s="1"/>
      <c r="K10" s="1"/>
      <c r="L10" s="1"/>
      <c r="M10" s="1"/>
      <c r="N10" s="1"/>
      <c r="O10" s="1"/>
      <c r="P10" s="1"/>
      <c r="Q10" s="1"/>
    </row>
    <row r="11">
      <c r="A11" s="63" t="s">
        <v>86</v>
      </c>
      <c r="B11" s="87">
        <v>280.0</v>
      </c>
      <c r="C11" s="87">
        <v>3011.0</v>
      </c>
      <c r="D11" s="40">
        <f t="shared" si="1"/>
        <v>280</v>
      </c>
      <c r="E11" s="40">
        <f t="shared" si="2"/>
        <v>843080</v>
      </c>
      <c r="F11" s="40">
        <f>IFERROR(__xludf.DUMMYFUNCTION("GOOGLEFINANCE(CONCAT(""NSE:"",A11))"),3290.8)</f>
        <v>3290.8</v>
      </c>
      <c r="G11" s="40">
        <f t="shared" si="3"/>
        <v>921424</v>
      </c>
      <c r="H11" s="72">
        <f t="shared" si="4"/>
        <v>0.09292593823</v>
      </c>
      <c r="J11" s="1"/>
      <c r="K11" s="1"/>
      <c r="L11" s="1"/>
      <c r="M11" s="1"/>
      <c r="N11" s="1"/>
      <c r="O11" s="1"/>
      <c r="P11" s="1"/>
      <c r="Q11" s="1"/>
    </row>
    <row r="12">
      <c r="A12" s="63" t="s">
        <v>90</v>
      </c>
      <c r="B12" s="87">
        <v>652.0</v>
      </c>
      <c r="C12" s="87">
        <v>1220.5</v>
      </c>
      <c r="D12" s="40">
        <f t="shared" si="1"/>
        <v>652</v>
      </c>
      <c r="E12" s="40">
        <f t="shared" si="2"/>
        <v>795766</v>
      </c>
      <c r="F12" s="40">
        <f>IFERROR(__xludf.DUMMYFUNCTION("GOOGLEFINANCE(CONCAT(""NSE:"",A12))"),1113.3)</f>
        <v>1113.3</v>
      </c>
      <c r="G12" s="40">
        <f t="shared" si="3"/>
        <v>725871.6</v>
      </c>
      <c r="H12" s="72">
        <f t="shared" si="4"/>
        <v>-0.08783285539</v>
      </c>
      <c r="J12" s="1"/>
      <c r="K12" s="1"/>
      <c r="L12" s="1"/>
      <c r="M12" s="1"/>
      <c r="N12" s="1"/>
      <c r="O12" s="1"/>
      <c r="P12" s="1"/>
      <c r="Q12" s="1"/>
    </row>
    <row r="13">
      <c r="A13" s="63" t="s">
        <v>28</v>
      </c>
      <c r="B13" s="87">
        <v>2446.0</v>
      </c>
      <c r="C13" s="87">
        <v>334.95</v>
      </c>
      <c r="D13" s="40">
        <f t="shared" si="1"/>
        <v>2446</v>
      </c>
      <c r="E13" s="40">
        <f t="shared" si="2"/>
        <v>819287.7</v>
      </c>
      <c r="F13" s="40">
        <f>IFERROR(__xludf.DUMMYFUNCTION("GOOGLEFINANCE(CONCAT(""NSE:"",A13))"),356.3)</f>
        <v>356.3</v>
      </c>
      <c r="G13" s="40">
        <f t="shared" si="3"/>
        <v>871509.8</v>
      </c>
      <c r="H13" s="72">
        <f t="shared" si="4"/>
        <v>0.06374085684</v>
      </c>
      <c r="J13" s="1"/>
      <c r="K13" s="1"/>
      <c r="L13" s="1"/>
      <c r="M13" s="1"/>
      <c r="N13" s="1"/>
      <c r="O13" s="1"/>
      <c r="P13" s="1"/>
      <c r="Q13" s="1"/>
    </row>
    <row r="14">
      <c r="A14" s="63" t="s">
        <v>15</v>
      </c>
      <c r="B14" s="87">
        <v>28.0</v>
      </c>
      <c r="C14" s="87">
        <v>34085.0</v>
      </c>
      <c r="D14" s="40">
        <f t="shared" si="1"/>
        <v>28</v>
      </c>
      <c r="E14" s="40">
        <f t="shared" si="2"/>
        <v>954380</v>
      </c>
      <c r="F14" s="40">
        <f>IFERROR(__xludf.DUMMYFUNCTION("GOOGLEFINANCE(CONCAT(""NSE:"",A14))"),30810.0)</f>
        <v>30810</v>
      </c>
      <c r="G14" s="40">
        <f t="shared" si="3"/>
        <v>862680</v>
      </c>
      <c r="H14" s="72">
        <f t="shared" si="4"/>
        <v>-0.09608332111</v>
      </c>
      <c r="J14" s="1"/>
      <c r="K14" s="1"/>
      <c r="L14" s="1"/>
      <c r="M14" s="1"/>
      <c r="N14" s="1"/>
      <c r="O14" s="1"/>
      <c r="P14" s="1"/>
      <c r="Q14" s="1"/>
    </row>
    <row r="15">
      <c r="A15" s="63" t="s">
        <v>88</v>
      </c>
      <c r="B15" s="87">
        <v>1519.0</v>
      </c>
      <c r="C15" s="87">
        <v>356.55</v>
      </c>
      <c r="D15" s="40">
        <f t="shared" si="1"/>
        <v>1519</v>
      </c>
      <c r="E15" s="40">
        <f t="shared" si="2"/>
        <v>541599.45</v>
      </c>
      <c r="F15" s="40">
        <f>IFERROR(__xludf.DUMMYFUNCTION("GOOGLEFINANCE(CONCAT(""NSE:"",A15))"),406.85)</f>
        <v>406.85</v>
      </c>
      <c r="G15" s="40">
        <f t="shared" si="3"/>
        <v>618005.15</v>
      </c>
      <c r="H15" s="72">
        <f t="shared" si="4"/>
        <v>0.1410741831</v>
      </c>
      <c r="J15" s="1"/>
      <c r="K15" s="1"/>
      <c r="L15" s="1"/>
      <c r="M15" s="1"/>
      <c r="N15" s="1"/>
      <c r="O15" s="1"/>
      <c r="P15" s="1"/>
      <c r="Q15" s="1"/>
    </row>
    <row r="16">
      <c r="A16" s="63" t="s">
        <v>103</v>
      </c>
      <c r="B16" s="87">
        <v>617.0</v>
      </c>
      <c r="C16" s="87">
        <v>1551.9</v>
      </c>
      <c r="D16" s="40">
        <f t="shared" si="1"/>
        <v>617</v>
      </c>
      <c r="E16" s="40">
        <f t="shared" si="2"/>
        <v>957522.3</v>
      </c>
      <c r="F16" s="40">
        <f>IFERROR(__xludf.DUMMYFUNCTION("GOOGLEFINANCE(CONCAT(""NSE:"",A16))"),1356.1)</f>
        <v>1356.1</v>
      </c>
      <c r="G16" s="40">
        <f t="shared" si="3"/>
        <v>836713.7</v>
      </c>
      <c r="H16" s="72">
        <f t="shared" si="4"/>
        <v>-0.1261679232</v>
      </c>
      <c r="J16" s="1"/>
      <c r="K16" s="1"/>
      <c r="L16" s="1"/>
      <c r="M16" s="1"/>
      <c r="N16" s="1"/>
      <c r="O16" s="1"/>
      <c r="P16" s="1"/>
      <c r="Q16" s="1"/>
    </row>
    <row r="17">
      <c r="A17" s="63" t="s">
        <v>104</v>
      </c>
      <c r="B17" s="87">
        <v>150.0</v>
      </c>
      <c r="C17" s="87">
        <v>3149.9</v>
      </c>
      <c r="D17" s="40">
        <f t="shared" si="1"/>
        <v>150</v>
      </c>
      <c r="E17" s="40">
        <f t="shared" si="2"/>
        <v>472485</v>
      </c>
      <c r="F17" s="40">
        <f>IFERROR(__xludf.DUMMYFUNCTION("GOOGLEFINANCE(CONCAT(""NSE:"",A17))"),2921.0)</f>
        <v>2921</v>
      </c>
      <c r="G17" s="40">
        <f t="shared" si="3"/>
        <v>438150</v>
      </c>
      <c r="H17" s="72">
        <f t="shared" si="4"/>
        <v>-0.07266897362</v>
      </c>
      <c r="J17" s="1"/>
      <c r="K17" s="1"/>
      <c r="L17" s="1"/>
      <c r="M17" s="1"/>
      <c r="N17" s="1"/>
      <c r="O17" s="1"/>
      <c r="P17" s="1"/>
      <c r="Q17" s="1"/>
    </row>
    <row r="18">
      <c r="A18" s="63" t="s">
        <v>105</v>
      </c>
      <c r="B18" s="87">
        <v>537.0</v>
      </c>
      <c r="C18" s="87">
        <v>1543.4</v>
      </c>
      <c r="D18" s="40">
        <f t="shared" si="1"/>
        <v>537</v>
      </c>
      <c r="E18" s="40">
        <f t="shared" si="2"/>
        <v>828805.8</v>
      </c>
      <c r="F18" s="40">
        <f>IFERROR(__xludf.DUMMYFUNCTION("GOOGLEFINANCE(CONCAT(""NSE:"",A18))"),1269.6)</f>
        <v>1269.6</v>
      </c>
      <c r="G18" s="40">
        <f t="shared" si="3"/>
        <v>681775.2</v>
      </c>
      <c r="H18" s="72">
        <f t="shared" si="4"/>
        <v>-0.1774005443</v>
      </c>
      <c r="J18" s="1"/>
      <c r="K18" s="1"/>
      <c r="L18" s="1"/>
      <c r="M18" s="1"/>
      <c r="N18" s="1"/>
      <c r="O18" s="1"/>
      <c r="P18" s="1"/>
      <c r="Q18" s="1"/>
    </row>
    <row r="19">
      <c r="A19" s="63" t="s">
        <v>108</v>
      </c>
      <c r="B19" s="87">
        <v>4574.0</v>
      </c>
      <c r="C19" s="87">
        <v>226.61</v>
      </c>
      <c r="D19" s="40">
        <f t="shared" si="1"/>
        <v>4574</v>
      </c>
      <c r="E19" s="40">
        <f t="shared" si="2"/>
        <v>1036514.14</v>
      </c>
      <c r="F19" s="40">
        <f>IFERROR(__xludf.DUMMYFUNCTION("GOOGLEFINANCE(CONCAT(""NSE:"",A19))"),203.99)</f>
        <v>203.99</v>
      </c>
      <c r="G19" s="40">
        <f t="shared" si="3"/>
        <v>933050.26</v>
      </c>
      <c r="H19" s="72">
        <f t="shared" si="4"/>
        <v>-0.09981907242</v>
      </c>
      <c r="J19" s="1"/>
      <c r="K19" s="1"/>
      <c r="L19" s="1"/>
      <c r="M19" s="1"/>
      <c r="N19" s="1"/>
      <c r="O19" s="1"/>
      <c r="P19" s="1"/>
      <c r="Q19" s="1"/>
    </row>
    <row r="20">
      <c r="A20" s="63" t="s">
        <v>110</v>
      </c>
      <c r="B20" s="87">
        <v>363.0</v>
      </c>
      <c r="C20" s="87">
        <v>2129.0</v>
      </c>
      <c r="D20" s="40">
        <f t="shared" si="1"/>
        <v>363</v>
      </c>
      <c r="E20" s="40">
        <f t="shared" si="2"/>
        <v>772827</v>
      </c>
      <c r="F20" s="40">
        <f>IFERROR(__xludf.DUMMYFUNCTION("GOOGLEFINANCE(CONCAT(""NSE:"",A20))"),1915.6)</f>
        <v>1915.6</v>
      </c>
      <c r="G20" s="40">
        <f t="shared" si="3"/>
        <v>695362.8</v>
      </c>
      <c r="H20" s="72">
        <f t="shared" si="4"/>
        <v>-0.100234852</v>
      </c>
      <c r="J20" s="1"/>
      <c r="K20" s="1"/>
      <c r="L20" s="1"/>
      <c r="M20" s="1"/>
      <c r="N20" s="1"/>
      <c r="O20" s="1"/>
      <c r="P20" s="1"/>
      <c r="Q20" s="1"/>
    </row>
    <row r="21">
      <c r="A21" s="63" t="s">
        <v>114</v>
      </c>
      <c r="B21" s="87">
        <v>1760.0</v>
      </c>
      <c r="C21" s="87">
        <v>403.13</v>
      </c>
      <c r="D21" s="40">
        <f t="shared" si="1"/>
        <v>1760</v>
      </c>
      <c r="E21" s="40">
        <f t="shared" si="2"/>
        <v>709508.8</v>
      </c>
      <c r="F21" s="40">
        <f>IFERROR(__xludf.DUMMYFUNCTION("GOOGLEFINANCE(CONCAT(""NSE:"",A21))"),420.35)</f>
        <v>420.35</v>
      </c>
      <c r="G21" s="40">
        <f t="shared" si="3"/>
        <v>739816</v>
      </c>
      <c r="H21" s="72">
        <f t="shared" si="4"/>
        <v>0.04271574926</v>
      </c>
      <c r="J21" s="1"/>
      <c r="K21" s="1"/>
      <c r="L21" s="1"/>
      <c r="M21" s="1"/>
      <c r="N21" s="1"/>
      <c r="O21" s="1"/>
      <c r="P21" s="1"/>
      <c r="Q21" s="1"/>
    </row>
    <row r="22">
      <c r="A22" s="63" t="s">
        <v>117</v>
      </c>
      <c r="B22" s="87">
        <v>631.0</v>
      </c>
      <c r="C22" s="87">
        <v>965.23</v>
      </c>
      <c r="D22" s="40">
        <f t="shared" si="1"/>
        <v>631</v>
      </c>
      <c r="E22" s="40">
        <f t="shared" si="2"/>
        <v>609060.13</v>
      </c>
      <c r="F22" s="40">
        <f>IFERROR(__xludf.DUMMYFUNCTION("GOOGLEFINANCE(CONCAT(""NSE:"",A22))"),868.85)</f>
        <v>868.85</v>
      </c>
      <c r="G22" s="40">
        <f t="shared" si="3"/>
        <v>548244.35</v>
      </c>
      <c r="H22" s="72">
        <f t="shared" si="4"/>
        <v>-0.09985184878</v>
      </c>
      <c r="J22" s="1"/>
      <c r="K22" s="1"/>
      <c r="L22" s="1"/>
      <c r="M22" s="1"/>
      <c r="N22" s="1"/>
      <c r="O22" s="1"/>
      <c r="P22" s="1"/>
      <c r="Q22" s="1"/>
    </row>
    <row r="23">
      <c r="A23" s="63" t="s">
        <v>118</v>
      </c>
      <c r="B23" s="87">
        <v>143.0</v>
      </c>
      <c r="C23" s="87">
        <v>5591.0</v>
      </c>
      <c r="D23" s="40">
        <f t="shared" si="1"/>
        <v>143</v>
      </c>
      <c r="E23" s="40">
        <f t="shared" si="2"/>
        <v>799513</v>
      </c>
      <c r="F23" s="40">
        <f>IFERROR(__xludf.DUMMYFUNCTION("GOOGLEFINANCE(CONCAT(""NSE:"",A23))"),5003.0)</f>
        <v>5003</v>
      </c>
      <c r="G23" s="40">
        <f t="shared" si="3"/>
        <v>715429</v>
      </c>
      <c r="H23" s="72">
        <f t="shared" si="4"/>
        <v>-0.1051690216</v>
      </c>
      <c r="J23" s="1"/>
      <c r="K23" s="1"/>
      <c r="L23" s="1"/>
      <c r="M23" s="1"/>
      <c r="N23" s="1"/>
      <c r="O23" s="1"/>
      <c r="P23" s="1"/>
      <c r="Q23" s="1"/>
    </row>
    <row r="24">
      <c r="A24" s="63" t="s">
        <v>122</v>
      </c>
      <c r="B24" s="87">
        <v>1893.0</v>
      </c>
      <c r="C24" s="87">
        <v>330.05</v>
      </c>
      <c r="D24" s="40">
        <f t="shared" si="1"/>
        <v>1893</v>
      </c>
      <c r="E24" s="40">
        <f t="shared" si="2"/>
        <v>624784.65</v>
      </c>
      <c r="F24" s="40">
        <f>IFERROR(__xludf.DUMMYFUNCTION("GOOGLEFINANCE(CONCAT(""NSE:"",A24))"),339.5)</f>
        <v>339.5</v>
      </c>
      <c r="G24" s="40">
        <f t="shared" si="3"/>
        <v>642673.5</v>
      </c>
      <c r="H24" s="72">
        <f t="shared" si="4"/>
        <v>0.02863202545</v>
      </c>
      <c r="J24" s="1"/>
      <c r="K24" s="1"/>
      <c r="L24" s="1"/>
      <c r="M24" s="1"/>
      <c r="N24" s="1"/>
      <c r="O24" s="1"/>
      <c r="P24" s="1"/>
      <c r="Q24" s="1"/>
    </row>
    <row r="25">
      <c r="A25" s="63" t="s">
        <v>123</v>
      </c>
      <c r="B25" s="87">
        <v>4737.0</v>
      </c>
      <c r="C25" s="87">
        <v>111.48</v>
      </c>
      <c r="D25" s="40">
        <f t="shared" si="1"/>
        <v>4737</v>
      </c>
      <c r="E25" s="40">
        <f t="shared" si="2"/>
        <v>528080.76</v>
      </c>
      <c r="F25" s="40">
        <f>IFERROR(__xludf.DUMMYFUNCTION("GOOGLEFINANCE(CONCAT(""NSE:"",A25))"),94.38)</f>
        <v>94.38</v>
      </c>
      <c r="G25" s="40">
        <f t="shared" si="3"/>
        <v>447078.06</v>
      </c>
      <c r="H25" s="72">
        <f t="shared" si="4"/>
        <v>-0.1533907427</v>
      </c>
      <c r="J25" s="1"/>
      <c r="K25" s="1"/>
      <c r="L25" s="1"/>
      <c r="M25" s="1"/>
      <c r="N25" s="1"/>
      <c r="O25" s="1"/>
      <c r="P25" s="1"/>
      <c r="Q25" s="1"/>
    </row>
    <row r="26">
      <c r="A26" s="63" t="s">
        <v>9</v>
      </c>
      <c r="B26" s="87">
        <v>227.0</v>
      </c>
      <c r="C26" s="87">
        <v>4848.98</v>
      </c>
      <c r="D26" s="40">
        <f t="shared" si="1"/>
        <v>227</v>
      </c>
      <c r="E26" s="40">
        <f t="shared" si="2"/>
        <v>1100718.46</v>
      </c>
      <c r="F26" s="40">
        <f>IFERROR(__xludf.DUMMYFUNCTION("GOOGLEFINANCE(CONCAT(""NSE:"",A26))"),4297.0)</f>
        <v>4297</v>
      </c>
      <c r="G26" s="40">
        <f t="shared" si="3"/>
        <v>975419</v>
      </c>
      <c r="H26" s="72">
        <f t="shared" si="4"/>
        <v>-0.1138342497</v>
      </c>
      <c r="J26" s="1"/>
      <c r="K26" s="1"/>
      <c r="L26" s="1"/>
      <c r="M26" s="1"/>
      <c r="N26" s="1"/>
      <c r="O26" s="1"/>
      <c r="P26" s="1"/>
      <c r="Q26" s="1"/>
    </row>
    <row r="27">
      <c r="A27" s="63" t="s">
        <v>131</v>
      </c>
      <c r="B27" s="87">
        <v>4873.0</v>
      </c>
      <c r="C27" s="87">
        <v>147.09</v>
      </c>
      <c r="D27" s="40">
        <f t="shared" si="1"/>
        <v>4873</v>
      </c>
      <c r="E27" s="40">
        <f t="shared" si="2"/>
        <v>716769.57</v>
      </c>
      <c r="F27" s="40">
        <f>IFERROR(__xludf.DUMMYFUNCTION("GOOGLEFINANCE(CONCAT(""NSE:"",A27))"),161.34)</f>
        <v>161.34</v>
      </c>
      <c r="G27" s="40">
        <f t="shared" si="3"/>
        <v>786209.82</v>
      </c>
      <c r="H27" s="72">
        <f t="shared" si="4"/>
        <v>0.09687946155</v>
      </c>
      <c r="J27" s="1"/>
      <c r="K27" s="1"/>
      <c r="L27" s="1"/>
      <c r="M27" s="1"/>
      <c r="N27" s="1"/>
      <c r="O27" s="1"/>
      <c r="P27" s="1"/>
      <c r="Q27" s="1"/>
    </row>
    <row r="28">
      <c r="A28" s="63" t="s">
        <v>138</v>
      </c>
      <c r="B28" s="87">
        <v>2037.0</v>
      </c>
      <c r="C28" s="87">
        <v>311.4</v>
      </c>
      <c r="D28" s="40">
        <f t="shared" si="1"/>
        <v>2037</v>
      </c>
      <c r="E28" s="40">
        <f t="shared" si="2"/>
        <v>634321.8</v>
      </c>
      <c r="F28" s="40">
        <f>IFERROR(__xludf.DUMMYFUNCTION("GOOGLEFINANCE(CONCAT(""NSE:"",A28))"),324.9)</f>
        <v>324.9</v>
      </c>
      <c r="G28" s="40">
        <f t="shared" si="3"/>
        <v>661821.3</v>
      </c>
      <c r="H28" s="72">
        <f t="shared" si="4"/>
        <v>0.04335260116</v>
      </c>
      <c r="J28" s="1"/>
      <c r="K28" s="1"/>
      <c r="L28" s="1"/>
      <c r="M28" s="1"/>
      <c r="N28" s="1"/>
      <c r="O28" s="1"/>
      <c r="P28" s="1"/>
      <c r="Q28" s="1"/>
    </row>
    <row r="29">
      <c r="A29" s="63" t="s">
        <v>75</v>
      </c>
      <c r="B29" s="87">
        <v>461.0</v>
      </c>
      <c r="C29" s="87">
        <v>1214.75</v>
      </c>
      <c r="D29" s="40">
        <f t="shared" si="1"/>
        <v>461</v>
      </c>
      <c r="E29" s="40">
        <f t="shared" si="2"/>
        <v>559999.75</v>
      </c>
      <c r="F29" s="40">
        <f>IFERROR(__xludf.DUMMYFUNCTION("GOOGLEFINANCE(CONCAT(""NSE:"",A29))"),1761.4)</f>
        <v>1761.4</v>
      </c>
      <c r="G29" s="40">
        <f t="shared" si="3"/>
        <v>812005.4</v>
      </c>
      <c r="H29" s="72">
        <f t="shared" si="4"/>
        <v>0.4500102902</v>
      </c>
      <c r="J29" s="1"/>
      <c r="K29" s="1"/>
      <c r="L29" s="1"/>
      <c r="M29" s="1"/>
      <c r="N29" s="1"/>
      <c r="O29" s="1"/>
      <c r="P29" s="1"/>
      <c r="Q29" s="1"/>
    </row>
    <row r="30">
      <c r="A30" s="63" t="s">
        <v>148</v>
      </c>
      <c r="B30" s="87">
        <v>66.0</v>
      </c>
      <c r="C30" s="87">
        <v>9606.0</v>
      </c>
      <c r="D30" s="40">
        <f t="shared" si="1"/>
        <v>66</v>
      </c>
      <c r="E30" s="40">
        <f t="shared" si="2"/>
        <v>633996</v>
      </c>
      <c r="F30" s="40">
        <f>IFERROR(__xludf.DUMMYFUNCTION("GOOGLEFINANCE(CONCAT(""NSE:"",A30))"),8163.5)</f>
        <v>8163.5</v>
      </c>
      <c r="G30" s="40">
        <f t="shared" si="3"/>
        <v>538791</v>
      </c>
      <c r="H30" s="72">
        <f t="shared" si="4"/>
        <v>-0.1501665626</v>
      </c>
      <c r="J30" s="1"/>
      <c r="K30" s="1"/>
      <c r="L30" s="1"/>
      <c r="M30" s="1"/>
      <c r="N30" s="1"/>
      <c r="O30" s="1"/>
      <c r="P30" s="1"/>
      <c r="Q30" s="1"/>
    </row>
    <row r="31">
      <c r="A31" s="63" t="s">
        <v>152</v>
      </c>
      <c r="B31" s="87">
        <v>163.0</v>
      </c>
      <c r="C31" s="87">
        <v>3953.0</v>
      </c>
      <c r="D31" s="40">
        <f t="shared" si="1"/>
        <v>163</v>
      </c>
      <c r="E31" s="40">
        <f t="shared" si="2"/>
        <v>644339</v>
      </c>
      <c r="F31" s="40">
        <f>IFERROR(__xludf.DUMMYFUNCTION("GOOGLEFINANCE(CONCAT(""NSE:"",A31))"),4424.0)</f>
        <v>4424</v>
      </c>
      <c r="G31" s="40">
        <f t="shared" si="3"/>
        <v>721112</v>
      </c>
      <c r="H31" s="72">
        <f t="shared" si="4"/>
        <v>0.1191500126</v>
      </c>
      <c r="J31" s="1"/>
      <c r="K31" s="1"/>
      <c r="L31" s="1"/>
      <c r="M31" s="1"/>
      <c r="N31" s="1"/>
      <c r="O31" s="1"/>
      <c r="P31" s="1"/>
      <c r="Q31" s="1"/>
    </row>
    <row r="32">
      <c r="A32" s="63" t="s">
        <v>121</v>
      </c>
      <c r="B32" s="87">
        <v>744.0</v>
      </c>
      <c r="C32" s="87">
        <v>1067.3</v>
      </c>
      <c r="D32" s="40">
        <f t="shared" si="1"/>
        <v>744</v>
      </c>
      <c r="E32" s="40">
        <f t="shared" si="2"/>
        <v>794071.2</v>
      </c>
      <c r="F32" s="40">
        <f>IFERROR(__xludf.DUMMYFUNCTION("GOOGLEFINANCE(CONCAT(""NSE:"",A32))"),989.1)</f>
        <v>989.1</v>
      </c>
      <c r="G32" s="40">
        <f t="shared" si="3"/>
        <v>735890.4</v>
      </c>
      <c r="H32" s="72">
        <f t="shared" si="4"/>
        <v>-0.07326899653</v>
      </c>
      <c r="J32" s="1"/>
      <c r="K32" s="1"/>
      <c r="L32" s="1"/>
      <c r="M32" s="1"/>
      <c r="N32" s="1"/>
      <c r="O32" s="1"/>
      <c r="P32" s="1"/>
      <c r="Q32" s="1"/>
    </row>
    <row r="33">
      <c r="A33" s="63" t="s">
        <v>160</v>
      </c>
      <c r="B33" s="87">
        <v>760.0</v>
      </c>
      <c r="C33" s="87">
        <v>652.0</v>
      </c>
      <c r="D33" s="40">
        <f t="shared" si="1"/>
        <v>760</v>
      </c>
      <c r="E33" s="40">
        <f t="shared" si="2"/>
        <v>495520</v>
      </c>
      <c r="F33" s="40">
        <f>IFERROR(__xludf.DUMMYFUNCTION("GOOGLEFINANCE(CONCAT(""NSE:"",A33))"),786.05)</f>
        <v>786.05</v>
      </c>
      <c r="G33" s="40">
        <f t="shared" si="3"/>
        <v>597398</v>
      </c>
      <c r="H33" s="72">
        <f t="shared" si="4"/>
        <v>0.2055981595</v>
      </c>
      <c r="J33" s="1"/>
      <c r="K33" s="1"/>
      <c r="L33" s="1"/>
      <c r="M33" s="1"/>
      <c r="N33" s="1"/>
      <c r="O33" s="1"/>
      <c r="P33" s="1"/>
      <c r="Q33" s="1"/>
    </row>
    <row r="34">
      <c r="A34" s="40"/>
      <c r="B34" s="40"/>
      <c r="C34" s="40"/>
      <c r="D34" s="40"/>
      <c r="E34" s="40"/>
      <c r="F34" s="40"/>
      <c r="G34" s="40"/>
      <c r="H34" s="40"/>
      <c r="I34" s="40"/>
      <c r="J34" s="1"/>
      <c r="K34" s="1"/>
      <c r="L34" s="1"/>
      <c r="M34" s="1"/>
      <c r="N34" s="1"/>
      <c r="O34" s="1"/>
      <c r="P34" s="1"/>
      <c r="Q34" s="1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</row>
    <row r="35">
      <c r="A35" s="60">
        <v>46118.0</v>
      </c>
      <c r="B35" s="39" t="s">
        <v>300</v>
      </c>
      <c r="C35" s="39" t="s">
        <v>308</v>
      </c>
      <c r="D35" s="40" t="s">
        <v>302</v>
      </c>
      <c r="E35" s="40" t="s">
        <v>303</v>
      </c>
      <c r="F35" s="40" t="s">
        <v>304</v>
      </c>
      <c r="G35" s="40" t="s">
        <v>305</v>
      </c>
      <c r="H35" s="40" t="s">
        <v>306</v>
      </c>
      <c r="J35" s="1"/>
      <c r="K35" s="1"/>
      <c r="L35" s="1"/>
      <c r="M35" s="1"/>
      <c r="N35" s="1"/>
      <c r="O35" s="1"/>
      <c r="P35" s="1"/>
      <c r="Q35" s="1"/>
    </row>
    <row r="36">
      <c r="A36" s="63" t="s">
        <v>37</v>
      </c>
      <c r="B36" s="87">
        <v>2041.0</v>
      </c>
      <c r="C36" s="87">
        <v>295.75</v>
      </c>
      <c r="D36" s="40">
        <f t="shared" ref="D36:D65" si="5">B36</f>
        <v>2041</v>
      </c>
      <c r="E36" s="40">
        <f t="shared" ref="E36:E65" si="6">B36*C36</f>
        <v>603625.75</v>
      </c>
      <c r="F36" s="40">
        <f>IFERROR(__xludf.DUMMYFUNCTION("GOOGLEFINANCE(concat(""NSE:"",A36))"),386.35)</f>
        <v>386.35</v>
      </c>
      <c r="G36" s="40">
        <f t="shared" ref="G36:G65" si="7">D36*F36</f>
        <v>788540.35</v>
      </c>
      <c r="H36" s="72">
        <f t="shared" ref="H36:H65" si="8">(G36-E36)/E36</f>
        <v>0.306339814</v>
      </c>
      <c r="J36" s="1"/>
      <c r="K36" s="1"/>
      <c r="L36" s="1"/>
      <c r="M36" s="1"/>
      <c r="N36" s="1"/>
      <c r="O36" s="1"/>
      <c r="P36" s="1"/>
      <c r="Q36" s="1"/>
    </row>
    <row r="37">
      <c r="A37" s="63" t="s">
        <v>51</v>
      </c>
      <c r="B37" s="87">
        <v>3792.0</v>
      </c>
      <c r="C37" s="87">
        <v>145.37</v>
      </c>
      <c r="D37" s="40">
        <f t="shared" si="5"/>
        <v>3792</v>
      </c>
      <c r="E37" s="40">
        <f t="shared" si="6"/>
        <v>551243.04</v>
      </c>
      <c r="F37" s="40">
        <f>IFERROR(__xludf.DUMMYFUNCTION("GOOGLEFINANCE(concat(""NSE:"",A37))"),157.53)</f>
        <v>157.53</v>
      </c>
      <c r="G37" s="40">
        <f t="shared" si="7"/>
        <v>597353.76</v>
      </c>
      <c r="H37" s="72">
        <f t="shared" si="8"/>
        <v>0.08364862076</v>
      </c>
      <c r="J37" s="1"/>
      <c r="K37" s="1"/>
      <c r="L37" s="1"/>
      <c r="M37" s="1"/>
      <c r="N37" s="1"/>
      <c r="O37" s="1"/>
      <c r="P37" s="1"/>
      <c r="Q37" s="1"/>
    </row>
    <row r="38">
      <c r="A38" s="63" t="s">
        <v>54</v>
      </c>
      <c r="B38" s="87">
        <v>736.0</v>
      </c>
      <c r="C38" s="87">
        <v>858.7</v>
      </c>
      <c r="D38" s="40">
        <f t="shared" si="5"/>
        <v>736</v>
      </c>
      <c r="E38" s="40">
        <f t="shared" si="6"/>
        <v>632003.2</v>
      </c>
      <c r="F38" s="40">
        <f>IFERROR(__xludf.DUMMYFUNCTION("GOOGLEFINANCE(concat(""NSE:"",A38))"),1036.2)</f>
        <v>1036.2</v>
      </c>
      <c r="G38" s="40">
        <f t="shared" si="7"/>
        <v>762643.2</v>
      </c>
      <c r="H38" s="72">
        <f t="shared" si="8"/>
        <v>0.2067078141</v>
      </c>
      <c r="J38" s="1"/>
      <c r="K38" s="1"/>
      <c r="L38" s="1"/>
      <c r="M38" s="1"/>
      <c r="N38" s="1"/>
      <c r="O38" s="1"/>
      <c r="P38" s="1"/>
      <c r="Q38" s="1"/>
    </row>
    <row r="39">
      <c r="A39" s="63" t="s">
        <v>57</v>
      </c>
      <c r="B39" s="87">
        <v>974.0</v>
      </c>
      <c r="C39" s="87">
        <v>421.45</v>
      </c>
      <c r="D39" s="40">
        <f t="shared" si="5"/>
        <v>974</v>
      </c>
      <c r="E39" s="40">
        <f t="shared" si="6"/>
        <v>410492.3</v>
      </c>
      <c r="F39" s="40">
        <f>IFERROR(__xludf.DUMMYFUNCTION("GOOGLEFINANCE(concat(""NSE:"",A39))"),392.8)</f>
        <v>392.8</v>
      </c>
      <c r="G39" s="40">
        <f t="shared" si="7"/>
        <v>382587.2</v>
      </c>
      <c r="H39" s="72">
        <f t="shared" si="8"/>
        <v>-0.06797959426</v>
      </c>
      <c r="J39" s="1"/>
      <c r="K39" s="1"/>
      <c r="L39" s="1"/>
      <c r="M39" s="1"/>
      <c r="N39" s="1"/>
      <c r="O39" s="1"/>
      <c r="P39" s="1"/>
      <c r="Q39" s="1"/>
    </row>
    <row r="40">
      <c r="A40" s="63" t="s">
        <v>46</v>
      </c>
      <c r="B40" s="87">
        <v>225.0</v>
      </c>
      <c r="C40" s="87">
        <v>2826.5</v>
      </c>
      <c r="D40" s="40">
        <f t="shared" si="5"/>
        <v>225</v>
      </c>
      <c r="E40" s="40">
        <f t="shared" si="6"/>
        <v>635962.5</v>
      </c>
      <c r="F40" s="40">
        <f>IFERROR(__xludf.DUMMYFUNCTION("GOOGLEFINANCE(concat(""NSE:"",A40))"),3271.6)</f>
        <v>3271.6</v>
      </c>
      <c r="G40" s="40">
        <f t="shared" si="7"/>
        <v>736110</v>
      </c>
      <c r="H40" s="72">
        <f t="shared" si="8"/>
        <v>0.1574739077</v>
      </c>
      <c r="J40" s="1"/>
      <c r="K40" s="1"/>
      <c r="L40" s="1"/>
      <c r="M40" s="1"/>
      <c r="N40" s="1"/>
      <c r="O40" s="1"/>
      <c r="P40" s="1"/>
      <c r="Q40" s="1"/>
    </row>
    <row r="41">
      <c r="A41" s="63" t="s">
        <v>62</v>
      </c>
      <c r="B41" s="87">
        <v>3466.0</v>
      </c>
      <c r="C41" s="87">
        <v>125.56</v>
      </c>
      <c r="D41" s="40">
        <f t="shared" si="5"/>
        <v>3466</v>
      </c>
      <c r="E41" s="40">
        <f t="shared" si="6"/>
        <v>435190.96</v>
      </c>
      <c r="F41" s="40">
        <f>IFERROR(__xludf.DUMMYFUNCTION("GOOGLEFINANCE(concat(""NSE:"",A41))"),122.6)</f>
        <v>122.6</v>
      </c>
      <c r="G41" s="40">
        <f t="shared" si="7"/>
        <v>424931.6</v>
      </c>
      <c r="H41" s="72">
        <f t="shared" si="8"/>
        <v>-0.02357438675</v>
      </c>
      <c r="J41" s="1"/>
      <c r="K41" s="1"/>
      <c r="L41" s="1"/>
      <c r="M41" s="1"/>
      <c r="N41" s="1"/>
      <c r="O41" s="1"/>
      <c r="P41" s="1"/>
      <c r="Q41" s="1"/>
    </row>
    <row r="42">
      <c r="A42" s="63" t="s">
        <v>76</v>
      </c>
      <c r="B42" s="87">
        <v>693.0</v>
      </c>
      <c r="C42" s="87">
        <v>873.25</v>
      </c>
      <c r="D42" s="40">
        <f t="shared" si="5"/>
        <v>693</v>
      </c>
      <c r="E42" s="40">
        <f t="shared" si="6"/>
        <v>605162.25</v>
      </c>
      <c r="F42" s="40">
        <f>IFERROR(__xludf.DUMMYFUNCTION("GOOGLEFINANCE(concat(""NSE:"",A42))"),842.9)</f>
        <v>842.9</v>
      </c>
      <c r="G42" s="40">
        <f t="shared" si="7"/>
        <v>584129.7</v>
      </c>
      <c r="H42" s="72">
        <f t="shared" si="8"/>
        <v>-0.03475522474</v>
      </c>
      <c r="J42" s="1"/>
      <c r="K42" s="1"/>
      <c r="L42" s="1"/>
      <c r="M42" s="1"/>
      <c r="N42" s="1"/>
      <c r="O42" s="1"/>
      <c r="P42" s="1"/>
      <c r="Q42" s="1"/>
    </row>
    <row r="43">
      <c r="A43" s="63" t="s">
        <v>81</v>
      </c>
      <c r="B43" s="87">
        <v>650.0</v>
      </c>
      <c r="C43" s="87">
        <v>1019.0</v>
      </c>
      <c r="D43" s="40">
        <f t="shared" si="5"/>
        <v>650</v>
      </c>
      <c r="E43" s="40">
        <f t="shared" si="6"/>
        <v>662350</v>
      </c>
      <c r="F43" s="40">
        <f>IFERROR(__xludf.DUMMYFUNCTION("GOOGLEFINANCE(concat(""NSE:"",A43))"),1944.7)</f>
        <v>1944.7</v>
      </c>
      <c r="G43" s="40">
        <f t="shared" si="7"/>
        <v>1264055</v>
      </c>
      <c r="H43" s="72">
        <f t="shared" si="8"/>
        <v>0.9084396467</v>
      </c>
      <c r="J43" s="1"/>
      <c r="K43" s="1"/>
      <c r="L43" s="1"/>
      <c r="M43" s="1"/>
      <c r="N43" s="1"/>
      <c r="O43" s="1"/>
      <c r="P43" s="1"/>
      <c r="Q43" s="1"/>
    </row>
    <row r="44">
      <c r="A44" s="63" t="s">
        <v>82</v>
      </c>
      <c r="B44" s="87">
        <v>2568.0</v>
      </c>
      <c r="C44" s="87">
        <v>243.9</v>
      </c>
      <c r="D44" s="40">
        <f t="shared" si="5"/>
        <v>2568</v>
      </c>
      <c r="E44" s="40">
        <f t="shared" si="6"/>
        <v>626335.2</v>
      </c>
      <c r="F44" s="40">
        <f>IFERROR(__xludf.DUMMYFUNCTION("GOOGLEFINANCE(concat(""NSE:"",A44))"),298.85)</f>
        <v>298.85</v>
      </c>
      <c r="G44" s="40">
        <f t="shared" si="7"/>
        <v>767446.8</v>
      </c>
      <c r="H44" s="72">
        <f t="shared" si="8"/>
        <v>0.225297253</v>
      </c>
      <c r="J44" s="1"/>
      <c r="K44" s="1"/>
      <c r="L44" s="1"/>
      <c r="M44" s="1"/>
      <c r="N44" s="1"/>
      <c r="O44" s="1"/>
      <c r="P44" s="1"/>
      <c r="Q44" s="1"/>
    </row>
    <row r="45">
      <c r="A45" s="63" t="s">
        <v>86</v>
      </c>
      <c r="B45" s="87">
        <v>466.0</v>
      </c>
      <c r="C45" s="87">
        <v>2447.93</v>
      </c>
      <c r="D45" s="40">
        <f t="shared" si="5"/>
        <v>466</v>
      </c>
      <c r="E45" s="40">
        <f t="shared" si="6"/>
        <v>1140735.38</v>
      </c>
      <c r="F45" s="40">
        <f>IFERROR(__xludf.DUMMYFUNCTION("GOOGLEFINANCE(concat(""NSE:"",A45))"),3290.8)</f>
        <v>3290.8</v>
      </c>
      <c r="G45" s="40">
        <f t="shared" si="7"/>
        <v>1533512.8</v>
      </c>
      <c r="H45" s="72">
        <f t="shared" si="8"/>
        <v>0.3443194863</v>
      </c>
      <c r="J45" s="1"/>
      <c r="K45" s="1"/>
      <c r="L45" s="1"/>
      <c r="M45" s="1"/>
      <c r="N45" s="1"/>
      <c r="O45" s="1"/>
      <c r="P45" s="1"/>
      <c r="Q45" s="1"/>
    </row>
    <row r="46">
      <c r="A46" s="63" t="s">
        <v>84</v>
      </c>
      <c r="B46" s="87">
        <v>135.0</v>
      </c>
      <c r="C46" s="87">
        <v>3189.54</v>
      </c>
      <c r="D46" s="40">
        <f t="shared" si="5"/>
        <v>135</v>
      </c>
      <c r="E46" s="40">
        <f t="shared" si="6"/>
        <v>430587.9</v>
      </c>
      <c r="F46" s="40">
        <f>IFERROR(__xludf.DUMMYFUNCTION("GOOGLEFINANCE(concat(""NSE:"",A46))"),2752.2)</f>
        <v>2752.2</v>
      </c>
      <c r="G46" s="40">
        <f t="shared" si="7"/>
        <v>371547</v>
      </c>
      <c r="H46" s="72">
        <f t="shared" si="8"/>
        <v>-0.137116951</v>
      </c>
      <c r="J46" s="1"/>
      <c r="K46" s="1"/>
      <c r="L46" s="1"/>
      <c r="M46" s="1"/>
      <c r="N46" s="1"/>
      <c r="O46" s="1"/>
      <c r="P46" s="1"/>
      <c r="Q46" s="1"/>
    </row>
    <row r="47">
      <c r="A47" s="63" t="s">
        <v>88</v>
      </c>
      <c r="B47" s="87">
        <v>2228.0</v>
      </c>
      <c r="C47" s="87">
        <v>308.2</v>
      </c>
      <c r="D47" s="40">
        <f t="shared" si="5"/>
        <v>2228</v>
      </c>
      <c r="E47" s="40">
        <f t="shared" si="6"/>
        <v>686669.6</v>
      </c>
      <c r="F47" s="40">
        <f>IFERROR(__xludf.DUMMYFUNCTION("GOOGLEFINANCE(concat(""NSE:"",A47))"),406.85)</f>
        <v>406.85</v>
      </c>
      <c r="G47" s="40">
        <f t="shared" si="7"/>
        <v>906461.8</v>
      </c>
      <c r="H47" s="72">
        <f t="shared" si="8"/>
        <v>0.3200843608</v>
      </c>
      <c r="J47" s="1"/>
      <c r="K47" s="1"/>
      <c r="L47" s="1"/>
      <c r="M47" s="1"/>
      <c r="N47" s="1"/>
      <c r="O47" s="1"/>
      <c r="P47" s="1"/>
      <c r="Q47" s="1"/>
    </row>
    <row r="48">
      <c r="A48" s="63" t="s">
        <v>121</v>
      </c>
      <c r="B48" s="87">
        <v>592.0</v>
      </c>
      <c r="C48" s="87">
        <v>893.0</v>
      </c>
      <c r="D48" s="40">
        <f t="shared" si="5"/>
        <v>592</v>
      </c>
      <c r="E48" s="40">
        <f t="shared" si="6"/>
        <v>528656</v>
      </c>
      <c r="F48" s="40">
        <f>IFERROR(__xludf.DUMMYFUNCTION("GOOGLEFINANCE(concat(""NSE:"",A48))"),989.1)</f>
        <v>989.1</v>
      </c>
      <c r="G48" s="40">
        <f t="shared" si="7"/>
        <v>585547.2</v>
      </c>
      <c r="H48" s="72">
        <f t="shared" si="8"/>
        <v>0.1076147816</v>
      </c>
      <c r="J48" s="1"/>
      <c r="K48" s="1"/>
      <c r="L48" s="1"/>
      <c r="M48" s="1"/>
      <c r="N48" s="1"/>
      <c r="O48" s="1"/>
      <c r="P48" s="1"/>
      <c r="Q48" s="1"/>
    </row>
    <row r="49">
      <c r="A49" s="63" t="s">
        <v>98</v>
      </c>
      <c r="B49" s="87">
        <v>2580.0</v>
      </c>
      <c r="C49" s="87">
        <v>171.92</v>
      </c>
      <c r="D49" s="40">
        <f t="shared" si="5"/>
        <v>2580</v>
      </c>
      <c r="E49" s="40">
        <f t="shared" si="6"/>
        <v>443553.6</v>
      </c>
      <c r="F49" s="40">
        <f>IFERROR(__xludf.DUMMYFUNCTION("GOOGLEFINANCE(concat(""NSE:"",A49))"),177.15)</f>
        <v>177.15</v>
      </c>
      <c r="G49" s="40">
        <f t="shared" si="7"/>
        <v>457047</v>
      </c>
      <c r="H49" s="72">
        <f t="shared" si="8"/>
        <v>0.03042112611</v>
      </c>
      <c r="J49" s="1"/>
      <c r="K49" s="1"/>
      <c r="L49" s="1"/>
      <c r="M49" s="1"/>
      <c r="N49" s="1"/>
      <c r="O49" s="1"/>
      <c r="P49" s="1"/>
      <c r="Q49" s="1"/>
    </row>
    <row r="50">
      <c r="A50" s="63" t="s">
        <v>96</v>
      </c>
      <c r="B50" s="87">
        <v>132.0</v>
      </c>
      <c r="C50" s="87">
        <v>0.0</v>
      </c>
      <c r="D50" s="40">
        <f t="shared" si="5"/>
        <v>132</v>
      </c>
      <c r="E50" s="40">
        <f t="shared" si="6"/>
        <v>0</v>
      </c>
      <c r="F50" s="40">
        <f>IFERROR(__xludf.DUMMYFUNCTION("GOOGLEFINANCE(concat(""NSE:"",A50))"),4116.7)</f>
        <v>4116.7</v>
      </c>
      <c r="G50" s="40">
        <f t="shared" si="7"/>
        <v>543404.4</v>
      </c>
      <c r="H50" s="72" t="str">
        <f t="shared" si="8"/>
        <v>#DIV/0!</v>
      </c>
      <c r="J50" s="1"/>
      <c r="K50" s="1"/>
      <c r="L50" s="1"/>
      <c r="M50" s="1"/>
      <c r="N50" s="1"/>
      <c r="O50" s="1"/>
      <c r="P50" s="1"/>
      <c r="Q50" s="1"/>
    </row>
    <row r="51">
      <c r="A51" s="63" t="s">
        <v>108</v>
      </c>
      <c r="B51" s="87">
        <v>3996.0</v>
      </c>
      <c r="C51" s="87">
        <v>163.95</v>
      </c>
      <c r="D51" s="40">
        <f t="shared" si="5"/>
        <v>3996</v>
      </c>
      <c r="E51" s="40">
        <f t="shared" si="6"/>
        <v>655144.2</v>
      </c>
      <c r="F51" s="40">
        <f>IFERROR(__xludf.DUMMYFUNCTION("GOOGLEFINANCE(concat(""NSE:"",A51))"),203.99)</f>
        <v>203.99</v>
      </c>
      <c r="G51" s="40">
        <f t="shared" si="7"/>
        <v>815144.04</v>
      </c>
      <c r="H51" s="72">
        <f t="shared" si="8"/>
        <v>0.244220799</v>
      </c>
      <c r="J51" s="1"/>
      <c r="K51" s="1"/>
      <c r="L51" s="1"/>
      <c r="M51" s="1"/>
      <c r="N51" s="1"/>
      <c r="O51" s="1"/>
      <c r="P51" s="1"/>
      <c r="Q51" s="1"/>
    </row>
    <row r="52">
      <c r="A52" s="63" t="s">
        <v>110</v>
      </c>
      <c r="B52" s="87">
        <v>318.0</v>
      </c>
      <c r="C52" s="87">
        <v>1636.9</v>
      </c>
      <c r="D52" s="40">
        <f t="shared" si="5"/>
        <v>318</v>
      </c>
      <c r="E52" s="40">
        <f t="shared" si="6"/>
        <v>520534.2</v>
      </c>
      <c r="F52" s="40">
        <f>IFERROR(__xludf.DUMMYFUNCTION("GOOGLEFINANCE(concat(""NSE:"",A52))"),1915.6)</f>
        <v>1915.6</v>
      </c>
      <c r="G52" s="40">
        <f t="shared" si="7"/>
        <v>609160.8</v>
      </c>
      <c r="H52" s="72">
        <f t="shared" si="8"/>
        <v>0.1702608589</v>
      </c>
      <c r="J52" s="1"/>
      <c r="K52" s="1"/>
      <c r="L52" s="1"/>
      <c r="M52" s="1"/>
      <c r="N52" s="1"/>
      <c r="O52" s="1"/>
      <c r="P52" s="1"/>
      <c r="Q52" s="1"/>
    </row>
    <row r="53">
      <c r="A53" s="63" t="s">
        <v>118</v>
      </c>
      <c r="B53" s="87">
        <v>125.0</v>
      </c>
      <c r="C53" s="87">
        <v>4684.6</v>
      </c>
      <c r="D53" s="40">
        <f t="shared" si="5"/>
        <v>125</v>
      </c>
      <c r="E53" s="40">
        <f t="shared" si="6"/>
        <v>585575</v>
      </c>
      <c r="F53" s="40">
        <f>IFERROR(__xludf.DUMMYFUNCTION("GOOGLEFINANCE(concat(""NSE:"",A53))"),5003.0)</f>
        <v>5003</v>
      </c>
      <c r="G53" s="40">
        <f t="shared" si="7"/>
        <v>625375</v>
      </c>
      <c r="H53" s="72">
        <f t="shared" si="8"/>
        <v>0.06796738249</v>
      </c>
      <c r="J53" s="1"/>
      <c r="K53" s="1"/>
      <c r="L53" s="1"/>
      <c r="M53" s="1"/>
      <c r="N53" s="1"/>
      <c r="O53" s="1"/>
      <c r="P53" s="1"/>
      <c r="Q53" s="1"/>
    </row>
    <row r="54">
      <c r="A54" s="63" t="s">
        <v>65</v>
      </c>
      <c r="B54" s="87">
        <v>1412.0</v>
      </c>
      <c r="C54" s="87">
        <v>422.85</v>
      </c>
      <c r="D54" s="40">
        <f t="shared" si="5"/>
        <v>1412</v>
      </c>
      <c r="E54" s="40">
        <f t="shared" si="6"/>
        <v>597064.2</v>
      </c>
      <c r="F54" s="40">
        <f>IFERROR(__xludf.DUMMYFUNCTION("GOOGLEFINANCE(concat(""NSE:"",A54))"),422.4)</f>
        <v>422.4</v>
      </c>
      <c r="G54" s="40">
        <f t="shared" si="7"/>
        <v>596428.8</v>
      </c>
      <c r="H54" s="72">
        <f t="shared" si="8"/>
        <v>-0.001064207166</v>
      </c>
      <c r="J54" s="1"/>
      <c r="K54" s="1"/>
      <c r="L54" s="1"/>
      <c r="M54" s="1"/>
      <c r="N54" s="1"/>
      <c r="O54" s="1"/>
      <c r="P54" s="1"/>
      <c r="Q54" s="1"/>
    </row>
    <row r="55">
      <c r="A55" s="63" t="s">
        <v>67</v>
      </c>
      <c r="B55" s="87">
        <v>60.0</v>
      </c>
      <c r="C55" s="87">
        <v>21420.0</v>
      </c>
      <c r="D55" s="40">
        <f t="shared" si="5"/>
        <v>60</v>
      </c>
      <c r="E55" s="40">
        <f t="shared" si="6"/>
        <v>1285200</v>
      </c>
      <c r="F55" s="40">
        <f>IFERROR(__xludf.DUMMYFUNCTION("GOOGLEFINANCE(concat(""NSE:"",A55))"),17516.0)</f>
        <v>17516</v>
      </c>
      <c r="G55" s="40">
        <f t="shared" si="7"/>
        <v>1050960</v>
      </c>
      <c r="H55" s="72">
        <f t="shared" si="8"/>
        <v>-0.1822595705</v>
      </c>
      <c r="J55" s="1"/>
      <c r="K55" s="1"/>
      <c r="L55" s="1"/>
      <c r="M55" s="1"/>
      <c r="N55" s="1"/>
      <c r="O55" s="1"/>
      <c r="P55" s="1"/>
      <c r="Q55" s="1"/>
    </row>
    <row r="56">
      <c r="A56" s="63" t="s">
        <v>71</v>
      </c>
      <c r="B56" s="87">
        <v>219.0</v>
      </c>
      <c r="C56" s="87">
        <v>2052.86</v>
      </c>
      <c r="D56" s="40">
        <f t="shared" si="5"/>
        <v>219</v>
      </c>
      <c r="E56" s="40">
        <f t="shared" si="6"/>
        <v>449576.34</v>
      </c>
      <c r="F56" s="40">
        <f>IFERROR(__xludf.DUMMYFUNCTION("GOOGLEFINANCE(concat(""NSE:"",A56))"),2394.4)</f>
        <v>2394.4</v>
      </c>
      <c r="G56" s="40">
        <f t="shared" si="7"/>
        <v>524373.6</v>
      </c>
      <c r="H56" s="72">
        <f t="shared" si="8"/>
        <v>0.1663727677</v>
      </c>
      <c r="J56" s="1"/>
      <c r="K56" s="1"/>
      <c r="L56" s="1"/>
      <c r="M56" s="1"/>
      <c r="N56" s="1"/>
      <c r="O56" s="1"/>
      <c r="P56" s="1"/>
      <c r="Q56" s="1"/>
    </row>
    <row r="57">
      <c r="A57" s="63" t="s">
        <v>73</v>
      </c>
      <c r="B57" s="87">
        <v>86.0</v>
      </c>
      <c r="C57" s="87">
        <v>5030.5</v>
      </c>
      <c r="D57" s="40">
        <f t="shared" si="5"/>
        <v>86</v>
      </c>
      <c r="E57" s="40">
        <f t="shared" si="6"/>
        <v>432623</v>
      </c>
      <c r="F57" s="40">
        <f>IFERROR(__xludf.DUMMYFUNCTION("GOOGLEFINANCE(concat(""NSE:"",A57))"),5311.0)</f>
        <v>5311</v>
      </c>
      <c r="G57" s="40">
        <f t="shared" si="7"/>
        <v>456746</v>
      </c>
      <c r="H57" s="72">
        <f t="shared" si="8"/>
        <v>0.05575986482</v>
      </c>
      <c r="J57" s="1"/>
      <c r="K57" s="1"/>
      <c r="L57" s="1"/>
      <c r="M57" s="1"/>
      <c r="N57" s="1"/>
      <c r="O57" s="1"/>
      <c r="P57" s="1"/>
      <c r="Q57" s="1"/>
    </row>
    <row r="58">
      <c r="A58" s="63" t="s">
        <v>79</v>
      </c>
      <c r="B58" s="87">
        <v>125.0</v>
      </c>
      <c r="C58" s="87">
        <v>4037.35</v>
      </c>
      <c r="D58" s="40">
        <f t="shared" si="5"/>
        <v>125</v>
      </c>
      <c r="E58" s="40">
        <f t="shared" si="6"/>
        <v>504668.75</v>
      </c>
      <c r="F58" s="40">
        <f>IFERROR(__xludf.DUMMYFUNCTION("GOOGLEFINANCE(concat(""NSE:"",A58))"),4512.5)</f>
        <v>4512.5</v>
      </c>
      <c r="G58" s="40">
        <f t="shared" si="7"/>
        <v>564062.5</v>
      </c>
      <c r="H58" s="72">
        <f t="shared" si="8"/>
        <v>0.1176885829</v>
      </c>
      <c r="J58" s="1"/>
      <c r="K58" s="1"/>
      <c r="L58" s="1"/>
      <c r="M58" s="1"/>
      <c r="N58" s="1"/>
      <c r="O58" s="1"/>
      <c r="P58" s="1"/>
      <c r="Q58" s="1"/>
    </row>
    <row r="59">
      <c r="A59" s="63" t="s">
        <v>90</v>
      </c>
      <c r="B59" s="87">
        <v>701.0</v>
      </c>
      <c r="C59" s="87">
        <v>826.54</v>
      </c>
      <c r="D59" s="40">
        <f t="shared" si="5"/>
        <v>701</v>
      </c>
      <c r="E59" s="40">
        <f t="shared" si="6"/>
        <v>579404.54</v>
      </c>
      <c r="F59" s="40">
        <f>IFERROR(__xludf.DUMMYFUNCTION("GOOGLEFINANCE(concat(""NSE:"",A59))"),1113.3)</f>
        <v>1113.3</v>
      </c>
      <c r="G59" s="40">
        <f t="shared" si="7"/>
        <v>780423.3</v>
      </c>
      <c r="H59" s="72">
        <f t="shared" si="8"/>
        <v>0.346940257</v>
      </c>
      <c r="J59" s="1"/>
      <c r="K59" s="1"/>
      <c r="L59" s="1"/>
      <c r="M59" s="1"/>
      <c r="N59" s="1"/>
      <c r="O59" s="1"/>
      <c r="P59" s="1"/>
      <c r="Q59" s="1"/>
    </row>
    <row r="60">
      <c r="A60" s="63" t="s">
        <v>28</v>
      </c>
      <c r="B60" s="87">
        <v>2557.0</v>
      </c>
      <c r="C60" s="87">
        <v>412.45</v>
      </c>
      <c r="D60" s="40">
        <f t="shared" si="5"/>
        <v>2557</v>
      </c>
      <c r="E60" s="40">
        <f t="shared" si="6"/>
        <v>1054634.65</v>
      </c>
      <c r="F60" s="40">
        <f>IFERROR(__xludf.DUMMYFUNCTION("GOOGLEFINANCE(concat(""NSE:"",A60))"),356.3)</f>
        <v>356.3</v>
      </c>
      <c r="G60" s="40">
        <f t="shared" si="7"/>
        <v>911059.1</v>
      </c>
      <c r="H60" s="72">
        <f t="shared" si="8"/>
        <v>-0.1361377137</v>
      </c>
      <c r="J60" s="1"/>
      <c r="K60" s="1"/>
      <c r="L60" s="1"/>
      <c r="M60" s="1"/>
      <c r="N60" s="1"/>
      <c r="O60" s="1"/>
      <c r="P60" s="1"/>
      <c r="Q60" s="1"/>
    </row>
    <row r="61">
      <c r="A61" s="63" t="s">
        <v>148</v>
      </c>
      <c r="B61" s="87">
        <v>63.0</v>
      </c>
      <c r="C61" s="87">
        <v>6882.0</v>
      </c>
      <c r="D61" s="40">
        <f t="shared" si="5"/>
        <v>63</v>
      </c>
      <c r="E61" s="40">
        <f t="shared" si="6"/>
        <v>433566</v>
      </c>
      <c r="F61" s="40">
        <f>IFERROR(__xludf.DUMMYFUNCTION("GOOGLEFINANCE(concat(""NSE:"",A61))"),8163.5)</f>
        <v>8163.5</v>
      </c>
      <c r="G61" s="40">
        <f t="shared" si="7"/>
        <v>514300.5</v>
      </c>
      <c r="H61" s="72">
        <f t="shared" si="8"/>
        <v>0.186210404</v>
      </c>
      <c r="J61" s="1"/>
      <c r="K61" s="1"/>
      <c r="L61" s="1"/>
      <c r="M61" s="1"/>
      <c r="N61" s="1"/>
      <c r="O61" s="1"/>
      <c r="P61" s="1"/>
      <c r="Q61" s="1"/>
    </row>
    <row r="62">
      <c r="A62" s="63" t="s">
        <v>15</v>
      </c>
      <c r="B62" s="87">
        <v>40.0</v>
      </c>
      <c r="C62" s="87">
        <v>25418.33</v>
      </c>
      <c r="D62" s="40">
        <f t="shared" si="5"/>
        <v>40</v>
      </c>
      <c r="E62" s="40">
        <f t="shared" si="6"/>
        <v>1016733.2</v>
      </c>
      <c r="F62" s="40">
        <f>IFERROR(__xludf.DUMMYFUNCTION("GOOGLEFINANCE(concat(""NSE:"",A62))"),30810.0)</f>
        <v>30810</v>
      </c>
      <c r="G62" s="40">
        <f t="shared" si="7"/>
        <v>1232400</v>
      </c>
      <c r="H62" s="72">
        <f t="shared" si="8"/>
        <v>0.2121173972</v>
      </c>
      <c r="J62" s="1"/>
      <c r="K62" s="1"/>
      <c r="L62" s="1"/>
      <c r="M62" s="1"/>
      <c r="N62" s="1"/>
      <c r="O62" s="1"/>
      <c r="P62" s="1"/>
      <c r="Q62" s="1"/>
    </row>
    <row r="63">
      <c r="A63" s="63" t="s">
        <v>95</v>
      </c>
      <c r="B63" s="87">
        <v>2653.0</v>
      </c>
      <c r="C63" s="87">
        <v>153.15</v>
      </c>
      <c r="D63" s="40">
        <f t="shared" si="5"/>
        <v>2653</v>
      </c>
      <c r="E63" s="40">
        <f t="shared" si="6"/>
        <v>406306.95</v>
      </c>
      <c r="F63" s="40">
        <f>IFERROR(__xludf.DUMMYFUNCTION("GOOGLEFINANCE(concat(""NSE:"",A63))"),173.29)</f>
        <v>173.29</v>
      </c>
      <c r="G63" s="40">
        <f t="shared" si="7"/>
        <v>459738.37</v>
      </c>
      <c r="H63" s="72">
        <f t="shared" si="8"/>
        <v>0.1315050604</v>
      </c>
      <c r="J63" s="1"/>
      <c r="K63" s="1"/>
      <c r="L63" s="1"/>
      <c r="M63" s="1"/>
      <c r="N63" s="1"/>
      <c r="O63" s="1"/>
      <c r="P63" s="1"/>
      <c r="Q63" s="1"/>
    </row>
    <row r="64">
      <c r="A64" s="63" t="s">
        <v>77</v>
      </c>
      <c r="B64" s="87">
        <v>821.0</v>
      </c>
      <c r="C64" s="87">
        <v>707.4</v>
      </c>
      <c r="D64" s="40">
        <f t="shared" si="5"/>
        <v>821</v>
      </c>
      <c r="E64" s="40">
        <f t="shared" si="6"/>
        <v>580775.4</v>
      </c>
      <c r="F64" s="40">
        <f>IFERROR(__xludf.DUMMYFUNCTION("GOOGLEFINANCE(concat(""NSE:"",A64))"),256.3)</f>
        <v>256.3</v>
      </c>
      <c r="G64" s="40">
        <f t="shared" si="7"/>
        <v>210422.3</v>
      </c>
      <c r="H64" s="72">
        <f t="shared" si="8"/>
        <v>-0.6376873056</v>
      </c>
      <c r="J64" s="1"/>
      <c r="K64" s="1"/>
      <c r="L64" s="1"/>
      <c r="M64" s="1"/>
      <c r="N64" s="1"/>
      <c r="O64" s="1"/>
      <c r="P64" s="1"/>
      <c r="Q64" s="1"/>
    </row>
    <row r="65">
      <c r="A65" s="63" t="s">
        <v>102</v>
      </c>
      <c r="B65" s="87">
        <v>145.0</v>
      </c>
      <c r="C65" s="87">
        <v>3062.0</v>
      </c>
      <c r="D65" s="40">
        <f t="shared" si="5"/>
        <v>145</v>
      </c>
      <c r="E65" s="40">
        <f t="shared" si="6"/>
        <v>443990</v>
      </c>
      <c r="F65" s="40">
        <f>IFERROR(__xludf.DUMMYFUNCTION("GOOGLEFINANCE(concat(""NSE:"",A65))"),2497.5)</f>
        <v>2497.5</v>
      </c>
      <c r="G65" s="40">
        <f t="shared" si="7"/>
        <v>362137.5</v>
      </c>
      <c r="H65" s="72">
        <f t="shared" si="8"/>
        <v>-0.1843566297</v>
      </c>
      <c r="J65" s="1"/>
      <c r="K65" s="1"/>
      <c r="L65" s="1"/>
      <c r="M65" s="1"/>
      <c r="N65" s="1"/>
      <c r="O65" s="1"/>
      <c r="P65" s="1"/>
      <c r="Q65" s="1"/>
    </row>
    <row r="66">
      <c r="A66" s="59"/>
      <c r="B66" s="8"/>
      <c r="C66" s="8"/>
      <c r="D66" s="40"/>
      <c r="E66" s="40"/>
      <c r="F66" s="40"/>
      <c r="G66" s="40"/>
      <c r="H66" s="40"/>
      <c r="J66" s="1"/>
      <c r="K66" s="1"/>
      <c r="L66" s="1"/>
      <c r="M66" s="1"/>
      <c r="N66" s="1"/>
      <c r="O66" s="1"/>
      <c r="P66" s="1"/>
      <c r="Q66" s="1"/>
    </row>
    <row r="67">
      <c r="A67" s="59"/>
      <c r="B67" s="8"/>
      <c r="C67" s="8"/>
      <c r="D67" s="40"/>
      <c r="E67" s="40"/>
      <c r="F67" s="40"/>
      <c r="G67" s="40"/>
      <c r="H67" s="40"/>
      <c r="J67" s="1"/>
      <c r="K67" s="1"/>
      <c r="L67" s="1"/>
      <c r="M67" s="1"/>
      <c r="N67" s="1"/>
      <c r="O67" s="1"/>
      <c r="P67" s="1"/>
      <c r="Q67" s="1"/>
    </row>
    <row r="68">
      <c r="A68" s="59">
        <v>46030.0</v>
      </c>
      <c r="B68" s="8" t="s">
        <v>300</v>
      </c>
      <c r="C68" s="8" t="s">
        <v>308</v>
      </c>
      <c r="D68" s="40" t="s">
        <v>302</v>
      </c>
      <c r="E68" s="40" t="s">
        <v>303</v>
      </c>
      <c r="F68" s="40" t="s">
        <v>304</v>
      </c>
      <c r="G68" s="40" t="s">
        <v>305</v>
      </c>
      <c r="H68" s="40" t="s">
        <v>306</v>
      </c>
      <c r="J68" s="1"/>
      <c r="K68" s="1"/>
      <c r="L68" s="1"/>
      <c r="M68" s="1"/>
      <c r="N68" s="1"/>
      <c r="O68" s="1"/>
      <c r="P68" s="1"/>
      <c r="Q68" s="1"/>
    </row>
    <row r="69">
      <c r="A69" s="63" t="s">
        <v>44</v>
      </c>
      <c r="B69" s="87">
        <v>304.0</v>
      </c>
      <c r="C69" s="87">
        <v>1536.2</v>
      </c>
      <c r="D69" s="40">
        <f t="shared" ref="D69:D98" si="9">B69</f>
        <v>304</v>
      </c>
      <c r="E69" s="40">
        <f t="shared" ref="E69:E98" si="10">B69*C69</f>
        <v>467004.8</v>
      </c>
      <c r="F69" s="40">
        <f>IFERROR(__xludf.DUMMYFUNCTION("GOOGLEFINANCE(CONCAT(""NSE:"",A69))"),1144.0)</f>
        <v>1144</v>
      </c>
      <c r="G69" s="40">
        <f t="shared" ref="G69:G98" si="11">D69*F69</f>
        <v>347776</v>
      </c>
      <c r="H69" s="72">
        <f t="shared" ref="H69:H98" si="12">(G69-E69)/E69</f>
        <v>-0.2553052988</v>
      </c>
      <c r="J69" s="1"/>
      <c r="K69" s="1"/>
      <c r="L69" s="1"/>
      <c r="M69" s="1"/>
      <c r="N69" s="1"/>
      <c r="O69" s="1"/>
      <c r="P69" s="1"/>
      <c r="Q69" s="1"/>
    </row>
    <row r="70">
      <c r="A70" s="63" t="s">
        <v>57</v>
      </c>
      <c r="B70" s="87">
        <v>1218.0</v>
      </c>
      <c r="C70" s="87">
        <v>413.6</v>
      </c>
      <c r="D70" s="40">
        <f t="shared" si="9"/>
        <v>1218</v>
      </c>
      <c r="E70" s="40">
        <f t="shared" si="10"/>
        <v>503764.8</v>
      </c>
      <c r="F70" s="40">
        <f>IFERROR(__xludf.DUMMYFUNCTION("GOOGLEFINANCE(CONCAT(""NSE:"",A70))"),392.8)</f>
        <v>392.8</v>
      </c>
      <c r="G70" s="40">
        <f t="shared" si="11"/>
        <v>478430.4</v>
      </c>
      <c r="H70" s="72">
        <f t="shared" si="12"/>
        <v>-0.0502901354</v>
      </c>
      <c r="J70" s="1"/>
      <c r="K70" s="1"/>
      <c r="L70" s="1"/>
      <c r="M70" s="1"/>
      <c r="N70" s="1"/>
      <c r="O70" s="1"/>
      <c r="P70" s="1"/>
      <c r="Q70" s="1"/>
    </row>
    <row r="71">
      <c r="A71" s="63" t="s">
        <v>46</v>
      </c>
      <c r="B71" s="87">
        <v>231.0</v>
      </c>
      <c r="C71" s="87">
        <v>2739.6</v>
      </c>
      <c r="D71" s="40">
        <f t="shared" si="9"/>
        <v>231</v>
      </c>
      <c r="E71" s="40">
        <f t="shared" si="10"/>
        <v>632847.6</v>
      </c>
      <c r="F71" s="40">
        <f>IFERROR(__xludf.DUMMYFUNCTION("GOOGLEFINANCE(CONCAT(""NSE:"",A71))"),3271.6)</f>
        <v>3271.6</v>
      </c>
      <c r="G71" s="40">
        <f t="shared" si="11"/>
        <v>755739.6</v>
      </c>
      <c r="H71" s="72">
        <f t="shared" si="12"/>
        <v>0.1941889327</v>
      </c>
      <c r="J71" s="1"/>
      <c r="K71" s="1"/>
      <c r="L71" s="1"/>
      <c r="M71" s="1"/>
      <c r="N71" s="1"/>
      <c r="O71" s="1"/>
      <c r="P71" s="1"/>
      <c r="Q71" s="1"/>
    </row>
    <row r="72">
      <c r="A72" s="63" t="s">
        <v>76</v>
      </c>
      <c r="B72" s="87">
        <v>796.0</v>
      </c>
      <c r="C72" s="87">
        <v>854.1</v>
      </c>
      <c r="D72" s="40">
        <f t="shared" si="9"/>
        <v>796</v>
      </c>
      <c r="E72" s="40">
        <f t="shared" si="10"/>
        <v>679863.6</v>
      </c>
      <c r="F72" s="40">
        <f>IFERROR(__xludf.DUMMYFUNCTION("GOOGLEFINANCE(CONCAT(""NSE:"",A72))"),842.9)</f>
        <v>842.9</v>
      </c>
      <c r="G72" s="40">
        <f t="shared" si="11"/>
        <v>670948.4</v>
      </c>
      <c r="H72" s="72">
        <f t="shared" si="12"/>
        <v>-0.01311321859</v>
      </c>
      <c r="J72" s="1"/>
      <c r="K72" s="1"/>
      <c r="L72" s="1"/>
      <c r="M72" s="1"/>
      <c r="N72" s="1"/>
      <c r="O72" s="1"/>
      <c r="P72" s="1"/>
      <c r="Q72" s="1"/>
    </row>
    <row r="73">
      <c r="A73" s="63" t="s">
        <v>81</v>
      </c>
      <c r="B73" s="87">
        <v>696.0</v>
      </c>
      <c r="C73" s="87">
        <v>1131.8</v>
      </c>
      <c r="D73" s="40">
        <f t="shared" si="9"/>
        <v>696</v>
      </c>
      <c r="E73" s="40">
        <f t="shared" si="10"/>
        <v>787732.8</v>
      </c>
      <c r="F73" s="40">
        <f>IFERROR(__xludf.DUMMYFUNCTION("GOOGLEFINANCE(CONCAT(""NSE:"",A73))"),1944.7)</f>
        <v>1944.7</v>
      </c>
      <c r="G73" s="40">
        <f t="shared" si="11"/>
        <v>1353511.2</v>
      </c>
      <c r="H73" s="72">
        <f t="shared" si="12"/>
        <v>0.7182364375</v>
      </c>
      <c r="J73" s="1"/>
      <c r="K73" s="1"/>
      <c r="L73" s="1"/>
      <c r="M73" s="1"/>
      <c r="N73" s="1"/>
      <c r="O73" s="1"/>
      <c r="P73" s="1"/>
      <c r="Q73" s="1"/>
    </row>
    <row r="74">
      <c r="A74" s="63" t="s">
        <v>83</v>
      </c>
      <c r="B74" s="87">
        <v>2275.0</v>
      </c>
      <c r="C74" s="87">
        <v>312.3</v>
      </c>
      <c r="D74" s="40">
        <f t="shared" si="9"/>
        <v>2275</v>
      </c>
      <c r="E74" s="40">
        <f t="shared" si="10"/>
        <v>710482.5</v>
      </c>
      <c r="F74" s="40">
        <f>IFERROR(__xludf.DUMMYFUNCTION("GOOGLEFINANCE(CONCAT(""NSE:"",A74))"),317.0)</f>
        <v>317</v>
      </c>
      <c r="G74" s="40">
        <f t="shared" si="11"/>
        <v>721175</v>
      </c>
      <c r="H74" s="72">
        <f t="shared" si="12"/>
        <v>0.01504963176</v>
      </c>
      <c r="J74" s="1"/>
      <c r="K74" s="1"/>
      <c r="L74" s="1"/>
      <c r="M74" s="1"/>
      <c r="N74" s="1"/>
      <c r="O74" s="1"/>
      <c r="P74" s="1"/>
      <c r="Q74" s="1"/>
    </row>
    <row r="75">
      <c r="A75" s="63" t="s">
        <v>84</v>
      </c>
      <c r="B75" s="87">
        <v>220.0</v>
      </c>
      <c r="C75" s="87">
        <v>3973.7</v>
      </c>
      <c r="D75" s="40">
        <f t="shared" si="9"/>
        <v>220</v>
      </c>
      <c r="E75" s="40">
        <f t="shared" si="10"/>
        <v>874214</v>
      </c>
      <c r="F75" s="40">
        <f>IFERROR(__xludf.DUMMYFUNCTION("GOOGLEFINANCE(CONCAT(""NSE:"",A75))"),2752.2)</f>
        <v>2752.2</v>
      </c>
      <c r="G75" s="40">
        <f t="shared" si="11"/>
        <v>605484</v>
      </c>
      <c r="H75" s="72">
        <f t="shared" si="12"/>
        <v>-0.3073961296</v>
      </c>
      <c r="J75" s="1"/>
      <c r="K75" s="1"/>
      <c r="L75" s="1"/>
      <c r="M75" s="1"/>
      <c r="N75" s="1"/>
      <c r="O75" s="1"/>
      <c r="P75" s="1"/>
      <c r="Q75" s="1"/>
    </row>
    <row r="76">
      <c r="A76" s="63" t="s">
        <v>75</v>
      </c>
      <c r="B76" s="87">
        <v>354.0</v>
      </c>
      <c r="C76" s="87">
        <v>1320.6</v>
      </c>
      <c r="D76" s="40">
        <f t="shared" si="9"/>
        <v>354</v>
      </c>
      <c r="E76" s="40">
        <f t="shared" si="10"/>
        <v>467492.4</v>
      </c>
      <c r="F76" s="40">
        <f>IFERROR(__xludf.DUMMYFUNCTION("GOOGLEFINANCE(CONCAT(""NSE:"",A76))"),1761.4)</f>
        <v>1761.4</v>
      </c>
      <c r="G76" s="40">
        <f t="shared" si="11"/>
        <v>623535.6</v>
      </c>
      <c r="H76" s="72">
        <f t="shared" si="12"/>
        <v>0.3337876723</v>
      </c>
      <c r="J76" s="1"/>
      <c r="K76" s="1"/>
      <c r="L76" s="1"/>
      <c r="M76" s="1"/>
      <c r="N76" s="1"/>
      <c r="O76" s="1"/>
      <c r="P76" s="1"/>
      <c r="Q76" s="1"/>
    </row>
    <row r="77">
      <c r="A77" s="63" t="s">
        <v>15</v>
      </c>
      <c r="B77" s="87">
        <v>31.0</v>
      </c>
      <c r="C77" s="87">
        <v>19413.0</v>
      </c>
      <c r="D77" s="40">
        <f t="shared" si="9"/>
        <v>31</v>
      </c>
      <c r="E77" s="40">
        <f t="shared" si="10"/>
        <v>601803</v>
      </c>
      <c r="F77" s="40">
        <f>IFERROR(__xludf.DUMMYFUNCTION("GOOGLEFINANCE(CONCAT(""NSE:"",A77))"),30810.0)</f>
        <v>30810</v>
      </c>
      <c r="G77" s="40">
        <f t="shared" si="11"/>
        <v>955110</v>
      </c>
      <c r="H77" s="72">
        <f t="shared" si="12"/>
        <v>0.5870808221</v>
      </c>
      <c r="J77" s="1"/>
      <c r="K77" s="1"/>
      <c r="L77" s="1"/>
      <c r="M77" s="1"/>
      <c r="N77" s="1"/>
      <c r="O77" s="1"/>
      <c r="P77" s="1"/>
      <c r="Q77" s="1"/>
    </row>
    <row r="78">
      <c r="A78" s="63" t="s">
        <v>98</v>
      </c>
      <c r="B78" s="87">
        <v>2755.0</v>
      </c>
      <c r="C78" s="87">
        <v>165.53</v>
      </c>
      <c r="D78" s="40">
        <f t="shared" si="9"/>
        <v>2755</v>
      </c>
      <c r="E78" s="40">
        <f t="shared" si="10"/>
        <v>456035.15</v>
      </c>
      <c r="F78" s="40">
        <f>IFERROR(__xludf.DUMMYFUNCTION("GOOGLEFINANCE(CONCAT(""NSE:"",A78))"),177.15)</f>
        <v>177.15</v>
      </c>
      <c r="G78" s="40">
        <f t="shared" si="11"/>
        <v>488048.25</v>
      </c>
      <c r="H78" s="72">
        <f t="shared" si="12"/>
        <v>0.07019875551</v>
      </c>
      <c r="J78" s="1"/>
      <c r="K78" s="1"/>
      <c r="L78" s="1"/>
      <c r="M78" s="1"/>
      <c r="N78" s="1"/>
      <c r="O78" s="1"/>
      <c r="P78" s="1"/>
      <c r="Q78" s="1"/>
    </row>
    <row r="79">
      <c r="A79" s="63" t="s">
        <v>37</v>
      </c>
      <c r="B79" s="87">
        <v>2563.0</v>
      </c>
      <c r="C79" s="87">
        <v>361.67</v>
      </c>
      <c r="D79" s="40">
        <f t="shared" si="9"/>
        <v>2563</v>
      </c>
      <c r="E79" s="40">
        <f t="shared" si="10"/>
        <v>926960.21</v>
      </c>
      <c r="F79" s="40">
        <f>IFERROR(__xludf.DUMMYFUNCTION("GOOGLEFINANCE(CONCAT(""NSE:"",A79))"),386.35)</f>
        <v>386.35</v>
      </c>
      <c r="G79" s="40">
        <f t="shared" si="11"/>
        <v>990215.05</v>
      </c>
      <c r="H79" s="72">
        <f t="shared" si="12"/>
        <v>0.06823900241</v>
      </c>
      <c r="J79" s="1"/>
      <c r="K79" s="1"/>
      <c r="L79" s="1"/>
      <c r="M79" s="1"/>
      <c r="N79" s="1"/>
      <c r="O79" s="1"/>
      <c r="P79" s="1"/>
      <c r="Q79" s="1"/>
    </row>
    <row r="80">
      <c r="A80" s="63" t="s">
        <v>51</v>
      </c>
      <c r="B80" s="87">
        <v>4022.0</v>
      </c>
      <c r="C80" s="87">
        <v>185.48</v>
      </c>
      <c r="D80" s="40">
        <f t="shared" si="9"/>
        <v>4022</v>
      </c>
      <c r="E80" s="40">
        <f t="shared" si="10"/>
        <v>746000.56</v>
      </c>
      <c r="F80" s="40">
        <f>IFERROR(__xludf.DUMMYFUNCTION("GOOGLEFINANCE(CONCAT(""NSE:"",A80))"),157.53)</f>
        <v>157.53</v>
      </c>
      <c r="G80" s="40">
        <f t="shared" si="11"/>
        <v>633585.66</v>
      </c>
      <c r="H80" s="72">
        <f t="shared" si="12"/>
        <v>-0.1506901014</v>
      </c>
      <c r="J80" s="1"/>
      <c r="K80" s="1"/>
      <c r="L80" s="1"/>
      <c r="M80" s="1"/>
      <c r="N80" s="1"/>
      <c r="O80" s="1"/>
      <c r="P80" s="1"/>
      <c r="Q80" s="1"/>
    </row>
    <row r="81">
      <c r="A81" s="63" t="s">
        <v>54</v>
      </c>
      <c r="B81" s="87">
        <v>854.0</v>
      </c>
      <c r="C81" s="87">
        <v>1002.63</v>
      </c>
      <c r="D81" s="40">
        <f t="shared" si="9"/>
        <v>854</v>
      </c>
      <c r="E81" s="40">
        <f t="shared" si="10"/>
        <v>856246.02</v>
      </c>
      <c r="F81" s="40">
        <f>IFERROR(__xludf.DUMMYFUNCTION("GOOGLEFINANCE(CONCAT(""NSE:"",A81))"),1036.2)</f>
        <v>1036.2</v>
      </c>
      <c r="G81" s="40">
        <f t="shared" si="11"/>
        <v>884914.8</v>
      </c>
      <c r="H81" s="72">
        <f t="shared" si="12"/>
        <v>0.03348194249</v>
      </c>
      <c r="J81" s="1"/>
      <c r="K81" s="1"/>
      <c r="L81" s="1"/>
      <c r="M81" s="1"/>
      <c r="N81" s="1"/>
      <c r="O81" s="1"/>
      <c r="P81" s="1"/>
      <c r="Q81" s="1"/>
    </row>
    <row r="82">
      <c r="A82" s="63" t="s">
        <v>329</v>
      </c>
      <c r="B82" s="87">
        <v>3547.0</v>
      </c>
      <c r="C82" s="87">
        <v>151.54</v>
      </c>
      <c r="D82" s="40">
        <f t="shared" si="9"/>
        <v>3547</v>
      </c>
      <c r="E82" s="40">
        <f t="shared" si="10"/>
        <v>537512.38</v>
      </c>
      <c r="F82" s="40">
        <f>IFERROR(__xludf.DUMMYFUNCTION("GOOGLEFINANCE(CONCAT(""NSE:"",A82))"),138.55)</f>
        <v>138.55</v>
      </c>
      <c r="G82" s="40">
        <f t="shared" si="11"/>
        <v>491436.85</v>
      </c>
      <c r="H82" s="72">
        <f t="shared" si="12"/>
        <v>-0.08571994193</v>
      </c>
      <c r="J82" s="1"/>
      <c r="K82" s="1"/>
      <c r="L82" s="1"/>
      <c r="M82" s="1"/>
      <c r="N82" s="1"/>
      <c r="O82" s="1"/>
      <c r="P82" s="1"/>
      <c r="Q82" s="1"/>
    </row>
    <row r="83">
      <c r="A83" s="63" t="s">
        <v>62</v>
      </c>
      <c r="B83" s="87">
        <v>3761.0</v>
      </c>
      <c r="C83" s="87">
        <v>155.19</v>
      </c>
      <c r="D83" s="40">
        <f t="shared" si="9"/>
        <v>3761</v>
      </c>
      <c r="E83" s="40">
        <f t="shared" si="10"/>
        <v>583669.59</v>
      </c>
      <c r="F83" s="40">
        <f>IFERROR(__xludf.DUMMYFUNCTION("GOOGLEFINANCE(CONCAT(""NSE:"",A83))"),122.6)</f>
        <v>122.6</v>
      </c>
      <c r="G83" s="40">
        <f t="shared" si="11"/>
        <v>461098.6</v>
      </c>
      <c r="H83" s="72">
        <f t="shared" si="12"/>
        <v>-0.2100006444</v>
      </c>
      <c r="J83" s="1"/>
      <c r="K83" s="1"/>
      <c r="L83" s="1"/>
      <c r="M83" s="1"/>
      <c r="N83" s="1"/>
      <c r="O83" s="1"/>
      <c r="P83" s="1"/>
      <c r="Q83" s="1"/>
    </row>
    <row r="84">
      <c r="A84" s="63" t="s">
        <v>118</v>
      </c>
      <c r="B84" s="87">
        <v>104.0</v>
      </c>
      <c r="C84" s="87">
        <v>4149.17</v>
      </c>
      <c r="D84" s="40">
        <f t="shared" si="9"/>
        <v>104</v>
      </c>
      <c r="E84" s="40">
        <f t="shared" si="10"/>
        <v>431513.68</v>
      </c>
      <c r="F84" s="40">
        <f>IFERROR(__xludf.DUMMYFUNCTION("GOOGLEFINANCE(CONCAT(""NSE:"",A84))"),5003.0)</f>
        <v>5003</v>
      </c>
      <c r="G84" s="40">
        <f t="shared" si="11"/>
        <v>520312</v>
      </c>
      <c r="H84" s="72">
        <f t="shared" si="12"/>
        <v>0.2057833253</v>
      </c>
      <c r="J84" s="1"/>
      <c r="K84" s="1"/>
      <c r="L84" s="1"/>
      <c r="M84" s="1"/>
      <c r="N84" s="1"/>
      <c r="O84" s="1"/>
      <c r="P84" s="1"/>
      <c r="Q84" s="1"/>
    </row>
    <row r="85">
      <c r="A85" s="63" t="s">
        <v>112</v>
      </c>
      <c r="B85" s="87">
        <v>619.0</v>
      </c>
      <c r="C85" s="87">
        <v>943.05</v>
      </c>
      <c r="D85" s="40">
        <f t="shared" si="9"/>
        <v>619</v>
      </c>
      <c r="E85" s="40">
        <f t="shared" si="10"/>
        <v>583747.95</v>
      </c>
      <c r="F85" s="40">
        <f>IFERROR(__xludf.DUMMYFUNCTION("GOOGLEFINANCE(CONCAT(""NSE:"",A85))"),983.7)</f>
        <v>983.7</v>
      </c>
      <c r="G85" s="40">
        <f t="shared" si="11"/>
        <v>608910.3</v>
      </c>
      <c r="H85" s="72">
        <f t="shared" si="12"/>
        <v>0.04310481947</v>
      </c>
      <c r="J85" s="1"/>
      <c r="K85" s="1"/>
      <c r="L85" s="1"/>
      <c r="M85" s="1"/>
      <c r="N85" s="1"/>
      <c r="O85" s="1"/>
      <c r="P85" s="1"/>
      <c r="Q85" s="1"/>
    </row>
    <row r="86">
      <c r="A86" s="63" t="s">
        <v>460</v>
      </c>
      <c r="B86" s="87">
        <v>729.0</v>
      </c>
      <c r="C86" s="87">
        <v>654.5</v>
      </c>
      <c r="D86" s="40">
        <f t="shared" si="9"/>
        <v>729</v>
      </c>
      <c r="E86" s="40">
        <f t="shared" si="10"/>
        <v>477130.5</v>
      </c>
      <c r="F86" s="40">
        <f>IFERROR(__xludf.DUMMYFUNCTION("GOOGLEFINANCE(CONCAT(""NSE:"",A86))"),597.1)</f>
        <v>597.1</v>
      </c>
      <c r="G86" s="40">
        <f t="shared" si="11"/>
        <v>435285.9</v>
      </c>
      <c r="H86" s="72">
        <f t="shared" si="12"/>
        <v>-0.08770053476</v>
      </c>
      <c r="J86" s="1"/>
      <c r="K86" s="1"/>
      <c r="L86" s="1"/>
      <c r="M86" s="1"/>
      <c r="N86" s="1"/>
      <c r="O86" s="1"/>
      <c r="P86" s="1"/>
      <c r="Q86" s="1"/>
    </row>
    <row r="87">
      <c r="A87" s="63" t="s">
        <v>82</v>
      </c>
      <c r="B87" s="87">
        <v>3386.0</v>
      </c>
      <c r="C87" s="87">
        <v>314.05</v>
      </c>
      <c r="D87" s="40">
        <f t="shared" si="9"/>
        <v>3386</v>
      </c>
      <c r="E87" s="40">
        <f t="shared" si="10"/>
        <v>1063373.3</v>
      </c>
      <c r="F87" s="40">
        <f>IFERROR(__xludf.DUMMYFUNCTION("GOOGLEFINANCE(CONCAT(""NSE:"",A87))"),298.85)</f>
        <v>298.85</v>
      </c>
      <c r="G87" s="40">
        <f t="shared" si="11"/>
        <v>1011906.1</v>
      </c>
      <c r="H87" s="72">
        <f t="shared" si="12"/>
        <v>-0.04839993632</v>
      </c>
      <c r="J87" s="1"/>
      <c r="K87" s="1"/>
      <c r="L87" s="1"/>
      <c r="M87" s="1"/>
      <c r="N87" s="1"/>
      <c r="O87" s="1"/>
      <c r="P87" s="1"/>
      <c r="Q87" s="1"/>
    </row>
    <row r="88">
      <c r="A88" s="63" t="s">
        <v>461</v>
      </c>
      <c r="B88" s="87">
        <v>24.0</v>
      </c>
      <c r="C88" s="87">
        <v>17023.0</v>
      </c>
      <c r="D88" s="40">
        <f t="shared" si="9"/>
        <v>24</v>
      </c>
      <c r="E88" s="40">
        <f t="shared" si="10"/>
        <v>408552</v>
      </c>
      <c r="F88" s="40">
        <f>IFERROR(__xludf.DUMMYFUNCTION("GOOGLEFINANCE(CONCAT(""NSE:"",A88))"),12324.0)</f>
        <v>12324</v>
      </c>
      <c r="G88" s="40">
        <f t="shared" si="11"/>
        <v>295776</v>
      </c>
      <c r="H88" s="72">
        <f t="shared" si="12"/>
        <v>-0.2760383011</v>
      </c>
      <c r="J88" s="1"/>
      <c r="K88" s="1"/>
      <c r="L88" s="1"/>
      <c r="M88" s="1"/>
      <c r="N88" s="1"/>
      <c r="O88" s="1"/>
      <c r="P88" s="1"/>
      <c r="Q88" s="1"/>
    </row>
    <row r="89">
      <c r="A89" s="63" t="s">
        <v>86</v>
      </c>
      <c r="B89" s="87">
        <v>373.0</v>
      </c>
      <c r="C89" s="87">
        <v>2282.0</v>
      </c>
      <c r="D89" s="40">
        <f t="shared" si="9"/>
        <v>373</v>
      </c>
      <c r="E89" s="40">
        <f t="shared" si="10"/>
        <v>851186</v>
      </c>
      <c r="F89" s="40">
        <f>IFERROR(__xludf.DUMMYFUNCTION("GOOGLEFINANCE(CONCAT(""NSE:"",A89))"),3290.8)</f>
        <v>3290.8</v>
      </c>
      <c r="G89" s="40">
        <f t="shared" si="11"/>
        <v>1227468.4</v>
      </c>
      <c r="H89" s="72">
        <f t="shared" si="12"/>
        <v>0.4420683611</v>
      </c>
      <c r="J89" s="1"/>
      <c r="K89" s="1"/>
      <c r="L89" s="1"/>
      <c r="M89" s="1"/>
      <c r="N89" s="1"/>
      <c r="O89" s="1"/>
      <c r="P89" s="1"/>
      <c r="Q89" s="1"/>
    </row>
    <row r="90">
      <c r="A90" s="63" t="s">
        <v>462</v>
      </c>
      <c r="B90" s="87">
        <v>306.0</v>
      </c>
      <c r="C90" s="87">
        <v>1739.4</v>
      </c>
      <c r="D90" s="40">
        <f t="shared" si="9"/>
        <v>306</v>
      </c>
      <c r="E90" s="40">
        <f t="shared" si="10"/>
        <v>532256.4</v>
      </c>
      <c r="F90" s="40">
        <f>IFERROR(__xludf.DUMMYFUNCTION("GOOGLEFINANCE(CONCAT(""NSE:"",A90))"),1531.1)</f>
        <v>1531.1</v>
      </c>
      <c r="G90" s="40">
        <f t="shared" si="11"/>
        <v>468516.6</v>
      </c>
      <c r="H90" s="72">
        <f t="shared" si="12"/>
        <v>-0.1197539381</v>
      </c>
      <c r="J90" s="1"/>
      <c r="K90" s="1"/>
      <c r="L90" s="1"/>
      <c r="M90" s="1"/>
      <c r="N90" s="1"/>
      <c r="O90" s="1"/>
      <c r="P90" s="1"/>
      <c r="Q90" s="1"/>
    </row>
    <row r="91">
      <c r="A91" s="63" t="s">
        <v>28</v>
      </c>
      <c r="B91" s="87">
        <v>1814.0</v>
      </c>
      <c r="C91" s="87">
        <v>351.4</v>
      </c>
      <c r="D91" s="40">
        <f t="shared" si="9"/>
        <v>1814</v>
      </c>
      <c r="E91" s="40">
        <f t="shared" si="10"/>
        <v>637439.6</v>
      </c>
      <c r="F91" s="40">
        <f>IFERROR(__xludf.DUMMYFUNCTION("GOOGLEFINANCE(CONCAT(""NSE:"",A91))"),356.3)</f>
        <v>356.3</v>
      </c>
      <c r="G91" s="40">
        <f t="shared" si="11"/>
        <v>646328.2</v>
      </c>
      <c r="H91" s="72">
        <f t="shared" si="12"/>
        <v>0.01394422311</v>
      </c>
      <c r="J91" s="1"/>
      <c r="K91" s="1"/>
      <c r="L91" s="1"/>
      <c r="M91" s="1"/>
      <c r="N91" s="1"/>
      <c r="O91" s="1"/>
      <c r="P91" s="1"/>
      <c r="Q91" s="1"/>
    </row>
    <row r="92">
      <c r="A92" s="63" t="s">
        <v>138</v>
      </c>
      <c r="B92" s="87">
        <v>1880.0</v>
      </c>
      <c r="C92" s="87">
        <v>268.8</v>
      </c>
      <c r="D92" s="40">
        <f t="shared" si="9"/>
        <v>1880</v>
      </c>
      <c r="E92" s="40">
        <f t="shared" si="10"/>
        <v>505344</v>
      </c>
      <c r="F92" s="40">
        <f>IFERROR(__xludf.DUMMYFUNCTION("GOOGLEFINANCE(CONCAT(""NSE:"",A92))"),324.9)</f>
        <v>324.9</v>
      </c>
      <c r="G92" s="40">
        <f t="shared" si="11"/>
        <v>610812</v>
      </c>
      <c r="H92" s="72">
        <f t="shared" si="12"/>
        <v>0.2087053571</v>
      </c>
      <c r="J92" s="1"/>
      <c r="K92" s="1"/>
      <c r="L92" s="1"/>
      <c r="M92" s="1"/>
      <c r="N92" s="1"/>
      <c r="O92" s="1"/>
      <c r="P92" s="1"/>
      <c r="Q92" s="1"/>
    </row>
    <row r="93">
      <c r="A93" s="63" t="s">
        <v>88</v>
      </c>
      <c r="B93" s="87">
        <v>2637.0</v>
      </c>
      <c r="C93" s="87">
        <v>319.0</v>
      </c>
      <c r="D93" s="40">
        <f t="shared" si="9"/>
        <v>2637</v>
      </c>
      <c r="E93" s="40">
        <f t="shared" si="10"/>
        <v>841203</v>
      </c>
      <c r="F93" s="40">
        <f>IFERROR(__xludf.DUMMYFUNCTION("GOOGLEFINANCE(CONCAT(""NSE:"",A93))"),406.85)</f>
        <v>406.85</v>
      </c>
      <c r="G93" s="40">
        <f t="shared" si="11"/>
        <v>1072863.45</v>
      </c>
      <c r="H93" s="72">
        <f t="shared" si="12"/>
        <v>0.2753918495</v>
      </c>
      <c r="J93" s="1"/>
      <c r="K93" s="1"/>
      <c r="L93" s="1"/>
      <c r="M93" s="1"/>
      <c r="N93" s="1"/>
      <c r="O93" s="1"/>
      <c r="P93" s="1"/>
      <c r="Q93" s="1"/>
    </row>
    <row r="94">
      <c r="A94" s="63" t="s">
        <v>467</v>
      </c>
      <c r="B94" s="87">
        <v>225.0</v>
      </c>
      <c r="C94" s="87">
        <v>2083.11</v>
      </c>
      <c r="D94" s="40">
        <f t="shared" si="9"/>
        <v>225</v>
      </c>
      <c r="E94" s="40">
        <f t="shared" si="10"/>
        <v>468699.75</v>
      </c>
      <c r="F94" s="40">
        <f>IFERROR(__xludf.DUMMYFUNCTION("GOOGLEFINANCE(CONCAT(""NSE:"",A94))"),1734.0)</f>
        <v>1734</v>
      </c>
      <c r="G94" s="40">
        <f t="shared" si="11"/>
        <v>390150</v>
      </c>
      <c r="H94" s="72">
        <f t="shared" si="12"/>
        <v>-0.1675907657</v>
      </c>
      <c r="J94" s="1"/>
      <c r="K94" s="1"/>
      <c r="L94" s="1"/>
      <c r="M94" s="1"/>
      <c r="N94" s="1"/>
      <c r="O94" s="1"/>
      <c r="P94" s="1"/>
      <c r="Q94" s="1"/>
    </row>
    <row r="95">
      <c r="A95" s="63" t="s">
        <v>121</v>
      </c>
      <c r="B95" s="87">
        <v>676.0</v>
      </c>
      <c r="C95" s="87">
        <v>999.0</v>
      </c>
      <c r="D95" s="40">
        <f t="shared" si="9"/>
        <v>676</v>
      </c>
      <c r="E95" s="40">
        <f t="shared" si="10"/>
        <v>675324</v>
      </c>
      <c r="F95" s="40">
        <f>IFERROR(__xludf.DUMMYFUNCTION("GOOGLEFINANCE(CONCAT(""NSE:"",A95))"),989.1)</f>
        <v>989.1</v>
      </c>
      <c r="G95" s="40">
        <f t="shared" si="11"/>
        <v>668631.6</v>
      </c>
      <c r="H95" s="72">
        <f t="shared" si="12"/>
        <v>-0.00990990991</v>
      </c>
      <c r="J95" s="1"/>
      <c r="K95" s="1"/>
      <c r="L95" s="1"/>
      <c r="M95" s="1"/>
      <c r="N95" s="1"/>
      <c r="O95" s="1"/>
      <c r="P95" s="1"/>
      <c r="Q95" s="1"/>
    </row>
    <row r="96">
      <c r="A96" s="63" t="s">
        <v>468</v>
      </c>
      <c r="B96" s="87">
        <v>32.0</v>
      </c>
      <c r="C96" s="87">
        <v>13109.0</v>
      </c>
      <c r="D96" s="40">
        <f t="shared" si="9"/>
        <v>32</v>
      </c>
      <c r="E96" s="40">
        <f t="shared" si="10"/>
        <v>419488</v>
      </c>
      <c r="F96" s="40">
        <f>IFERROR(__xludf.DUMMYFUNCTION("GOOGLEFINANCE(CONCAT(""NSE:"",A96))"),18950.0)</f>
        <v>18950</v>
      </c>
      <c r="G96" s="40">
        <f t="shared" si="11"/>
        <v>606400</v>
      </c>
      <c r="H96" s="72">
        <f t="shared" si="12"/>
        <v>0.4455717446</v>
      </c>
      <c r="J96" s="1"/>
      <c r="K96" s="1"/>
      <c r="L96" s="1"/>
      <c r="M96" s="1"/>
      <c r="N96" s="1"/>
      <c r="O96" s="1"/>
      <c r="P96" s="1"/>
      <c r="Q96" s="1"/>
    </row>
    <row r="97">
      <c r="A97" s="63" t="s">
        <v>96</v>
      </c>
      <c r="B97" s="87">
        <v>132.0</v>
      </c>
      <c r="C97" s="87">
        <v>3854.1</v>
      </c>
      <c r="D97" s="40">
        <f t="shared" si="9"/>
        <v>132</v>
      </c>
      <c r="E97" s="40">
        <f t="shared" si="10"/>
        <v>508741.2</v>
      </c>
      <c r="F97" s="40">
        <f>IFERROR(__xludf.DUMMYFUNCTION("GOOGLEFINANCE(CONCAT(""NSE:"",A97))"),4116.7)</f>
        <v>4116.7</v>
      </c>
      <c r="G97" s="40">
        <f t="shared" si="11"/>
        <v>543404.4</v>
      </c>
      <c r="H97" s="72">
        <f t="shared" si="12"/>
        <v>0.06813523261</v>
      </c>
      <c r="J97" s="1"/>
      <c r="K97" s="1"/>
      <c r="L97" s="1"/>
      <c r="M97" s="1"/>
      <c r="N97" s="1"/>
      <c r="O97" s="1"/>
      <c r="P97" s="1"/>
      <c r="Q97" s="1"/>
    </row>
    <row r="98">
      <c r="A98" s="63" t="s">
        <v>97</v>
      </c>
      <c r="B98" s="87">
        <v>664.0</v>
      </c>
      <c r="C98" s="87">
        <v>801.25</v>
      </c>
      <c r="D98" s="40">
        <f t="shared" si="9"/>
        <v>664</v>
      </c>
      <c r="E98" s="40">
        <f t="shared" si="10"/>
        <v>532030</v>
      </c>
      <c r="F98" s="40">
        <f>IFERROR(__xludf.DUMMYFUNCTION("GOOGLEFINANCE(CONCAT(""NSE:"",A98))"),550.2)</f>
        <v>550.2</v>
      </c>
      <c r="G98" s="40">
        <f t="shared" si="11"/>
        <v>365332.8</v>
      </c>
      <c r="H98" s="72">
        <f t="shared" si="12"/>
        <v>-0.3133229329</v>
      </c>
      <c r="J98" s="1"/>
      <c r="K98" s="1"/>
      <c r="L98" s="1"/>
      <c r="M98" s="1"/>
      <c r="N98" s="1"/>
      <c r="O98" s="1"/>
      <c r="P98" s="1"/>
      <c r="Q98" s="1"/>
    </row>
    <row r="99">
      <c r="A99" s="1"/>
      <c r="B99" s="8"/>
      <c r="C99" s="8"/>
      <c r="D99" s="40"/>
      <c r="E99" s="40"/>
      <c r="F99" s="40"/>
      <c r="G99" s="40">
        <f>SUM(G69:G98)</f>
        <v>19933107.16</v>
      </c>
      <c r="H99" s="40"/>
      <c r="J99" s="1"/>
      <c r="K99" s="1"/>
      <c r="L99" s="1"/>
      <c r="M99" s="1"/>
      <c r="N99" s="1"/>
      <c r="O99" s="1"/>
      <c r="P99" s="1"/>
      <c r="Q99" s="1"/>
    </row>
    <row r="100">
      <c r="A100" s="59">
        <v>45931.0</v>
      </c>
      <c r="B100" s="8" t="s">
        <v>300</v>
      </c>
      <c r="C100" s="8" t="s">
        <v>308</v>
      </c>
      <c r="D100" s="40" t="s">
        <v>302</v>
      </c>
      <c r="E100" s="40" t="s">
        <v>303</v>
      </c>
      <c r="F100" s="40" t="s">
        <v>304</v>
      </c>
      <c r="G100" s="40" t="s">
        <v>305</v>
      </c>
      <c r="H100" s="40" t="s">
        <v>306</v>
      </c>
      <c r="J100" s="1"/>
      <c r="K100" s="1"/>
      <c r="L100" s="1"/>
      <c r="M100" s="1"/>
      <c r="N100" s="1"/>
      <c r="O100" s="1"/>
      <c r="P100" s="1"/>
      <c r="Q100" s="1"/>
    </row>
    <row r="101">
      <c r="A101" s="63" t="s">
        <v>46</v>
      </c>
      <c r="B101" s="87">
        <v>467.0</v>
      </c>
      <c r="C101" s="87">
        <v>2068.2</v>
      </c>
      <c r="D101" s="14">
        <f t="shared" ref="D101:D131" si="13">B101</f>
        <v>467</v>
      </c>
      <c r="E101" s="14">
        <f t="shared" ref="E101:E131" si="14">B101*C101</f>
        <v>965849.4</v>
      </c>
      <c r="F101" s="14">
        <f>IFERROR(__xludf.DUMMYFUNCTION("GOOGLEFINANCE(CONCAT(""NSE:"",A101))"),3271.6)</f>
        <v>3271.6</v>
      </c>
      <c r="G101" s="14">
        <f t="shared" ref="G101:G131" si="15">F101*D101</f>
        <v>1527837.2</v>
      </c>
      <c r="H101" s="44">
        <f t="shared" ref="H101:H131" si="16">(G101-E101)/E101</f>
        <v>0.581858621</v>
      </c>
      <c r="J101" s="1"/>
      <c r="K101" s="1"/>
      <c r="L101" s="1"/>
      <c r="M101" s="1"/>
      <c r="N101" s="1"/>
      <c r="O101" s="1"/>
      <c r="P101" s="1"/>
      <c r="Q101" s="1"/>
      <c r="U101" s="1" t="s">
        <v>215</v>
      </c>
      <c r="V101" s="1" t="s">
        <v>37</v>
      </c>
      <c r="W101" s="1" t="s">
        <v>216</v>
      </c>
      <c r="X101" s="17">
        <v>1400.0</v>
      </c>
      <c r="Y101" s="17">
        <v>363.3</v>
      </c>
      <c r="Z101" s="17">
        <v>508620.0</v>
      </c>
    </row>
    <row r="102">
      <c r="A102" s="63" t="s">
        <v>55</v>
      </c>
      <c r="B102" s="87">
        <v>704.0</v>
      </c>
      <c r="C102" s="87">
        <v>986.52</v>
      </c>
      <c r="D102" s="14">
        <f t="shared" si="13"/>
        <v>704</v>
      </c>
      <c r="E102" s="14">
        <f t="shared" si="14"/>
        <v>694510.08</v>
      </c>
      <c r="F102" s="14">
        <f>IFERROR(__xludf.DUMMYFUNCTION("GOOGLEFINANCE(CONCAT(""NSE:"",A102))"),888.05)</f>
        <v>888.05</v>
      </c>
      <c r="G102" s="14">
        <f t="shared" si="15"/>
        <v>625187.2</v>
      </c>
      <c r="H102" s="44">
        <f t="shared" si="16"/>
        <v>-0.09981551312</v>
      </c>
      <c r="J102" s="1"/>
      <c r="K102" s="1"/>
      <c r="L102" s="1"/>
      <c r="M102" s="1"/>
      <c r="N102" s="1"/>
      <c r="O102" s="1"/>
      <c r="P102" s="1"/>
      <c r="Q102" s="1"/>
      <c r="U102" s="1" t="s">
        <v>415</v>
      </c>
      <c r="V102" s="1" t="s">
        <v>49</v>
      </c>
      <c r="W102" s="1" t="s">
        <v>416</v>
      </c>
      <c r="X102" s="17">
        <v>126.0</v>
      </c>
      <c r="Y102" s="17">
        <v>6712.0</v>
      </c>
      <c r="Z102" s="17">
        <v>845712.0</v>
      </c>
    </row>
    <row r="103">
      <c r="A103" s="63" t="s">
        <v>71</v>
      </c>
      <c r="B103" s="87">
        <v>174.0</v>
      </c>
      <c r="C103" s="87">
        <v>1965.5</v>
      </c>
      <c r="D103" s="14">
        <f t="shared" si="13"/>
        <v>174</v>
      </c>
      <c r="E103" s="14">
        <f t="shared" si="14"/>
        <v>341997</v>
      </c>
      <c r="F103" s="14">
        <f>IFERROR(__xludf.DUMMYFUNCTION("GOOGLEFINANCE(CONCAT(""NSE:"",A103))"),2394.4)</f>
        <v>2394.4</v>
      </c>
      <c r="G103" s="14">
        <f t="shared" si="15"/>
        <v>416625.6</v>
      </c>
      <c r="H103" s="44">
        <f t="shared" si="16"/>
        <v>0.2182141949</v>
      </c>
      <c r="J103" s="1"/>
      <c r="K103" s="1"/>
      <c r="L103" s="1"/>
      <c r="M103" s="1"/>
      <c r="N103" s="1"/>
      <c r="O103" s="1"/>
      <c r="P103" s="1"/>
      <c r="Q103" s="1"/>
      <c r="U103" s="1" t="s">
        <v>469</v>
      </c>
      <c r="V103" s="1" t="s">
        <v>51</v>
      </c>
      <c r="W103" s="1" t="s">
        <v>327</v>
      </c>
      <c r="X103" s="17">
        <v>3474.0</v>
      </c>
      <c r="Y103" s="17">
        <v>187.76</v>
      </c>
      <c r="Z103" s="17">
        <v>652278.2</v>
      </c>
    </row>
    <row r="104">
      <c r="A104" s="63" t="s">
        <v>16</v>
      </c>
      <c r="B104" s="87">
        <v>91.0</v>
      </c>
      <c r="C104" s="87">
        <v>7185.0</v>
      </c>
      <c r="D104" s="14">
        <f t="shared" si="13"/>
        <v>91</v>
      </c>
      <c r="E104" s="14">
        <f t="shared" si="14"/>
        <v>653835</v>
      </c>
      <c r="F104" s="14">
        <f>IFERROR(__xludf.DUMMYFUNCTION("GOOGLEFINANCE(CONCAT(""NSE:"",A104))"),3537.8)</f>
        <v>3537.8</v>
      </c>
      <c r="G104" s="14">
        <f t="shared" si="15"/>
        <v>321939.8</v>
      </c>
      <c r="H104" s="44">
        <f t="shared" si="16"/>
        <v>-0.5076130828</v>
      </c>
      <c r="J104" s="1"/>
      <c r="K104" s="1"/>
      <c r="L104" s="1"/>
      <c r="M104" s="1"/>
      <c r="N104" s="1"/>
      <c r="O104" s="1"/>
      <c r="P104" s="1"/>
      <c r="Q104" s="1"/>
      <c r="U104" s="1" t="s">
        <v>470</v>
      </c>
      <c r="V104" s="1" t="s">
        <v>471</v>
      </c>
      <c r="W104" s="1" t="s">
        <v>472</v>
      </c>
      <c r="X104" s="17">
        <v>470.0</v>
      </c>
      <c r="Y104" s="17">
        <v>978.75</v>
      </c>
      <c r="Z104" s="17">
        <v>460012.5</v>
      </c>
    </row>
    <row r="105">
      <c r="A105" s="63" t="s">
        <v>86</v>
      </c>
      <c r="B105" s="87">
        <v>83.0</v>
      </c>
      <c r="C105" s="87">
        <v>8031.0</v>
      </c>
      <c r="D105" s="14">
        <f t="shared" si="13"/>
        <v>83</v>
      </c>
      <c r="E105" s="14">
        <f t="shared" si="14"/>
        <v>666573</v>
      </c>
      <c r="F105" s="14">
        <f>IFERROR(__xludf.DUMMYFUNCTION("GOOGLEFINANCE(CONCAT(""NSE:"",A105))"),3290.8)</f>
        <v>3290.8</v>
      </c>
      <c r="G105" s="14">
        <f t="shared" si="15"/>
        <v>273136.4</v>
      </c>
      <c r="H105" s="44">
        <f t="shared" si="16"/>
        <v>-0.5902378284</v>
      </c>
      <c r="J105" s="1"/>
      <c r="K105" s="1"/>
      <c r="L105" s="1"/>
      <c r="M105" s="1"/>
      <c r="N105" s="1"/>
      <c r="O105" s="1"/>
      <c r="P105" s="1"/>
      <c r="Q105" s="1"/>
      <c r="U105" s="1" t="s">
        <v>473</v>
      </c>
      <c r="V105" s="1" t="s">
        <v>44</v>
      </c>
      <c r="W105" s="1" t="s">
        <v>474</v>
      </c>
      <c r="X105" s="17">
        <v>460.0</v>
      </c>
      <c r="Y105" s="17">
        <v>1541.8</v>
      </c>
      <c r="Z105" s="17">
        <v>709228.0</v>
      </c>
    </row>
    <row r="106">
      <c r="A106" s="63" t="s">
        <v>462</v>
      </c>
      <c r="B106" s="87">
        <v>257.0</v>
      </c>
      <c r="C106" s="87">
        <v>1637.08</v>
      </c>
      <c r="D106" s="14">
        <f t="shared" si="13"/>
        <v>257</v>
      </c>
      <c r="E106" s="14">
        <f t="shared" si="14"/>
        <v>420729.56</v>
      </c>
      <c r="F106" s="14">
        <f>IFERROR(__xludf.DUMMYFUNCTION("GOOGLEFINANCE(CONCAT(""NSE:"",A106))"),1531.1)</f>
        <v>1531.1</v>
      </c>
      <c r="G106" s="14">
        <f t="shared" si="15"/>
        <v>393492.7</v>
      </c>
      <c r="H106" s="44">
        <f t="shared" si="16"/>
        <v>-0.06473721504</v>
      </c>
      <c r="J106" s="1"/>
      <c r="K106" s="1"/>
      <c r="L106" s="1"/>
      <c r="M106" s="1"/>
      <c r="N106" s="1"/>
      <c r="O106" s="1"/>
      <c r="P106" s="1"/>
      <c r="Q106" s="1"/>
      <c r="U106" s="1" t="s">
        <v>475</v>
      </c>
      <c r="V106" s="1" t="s">
        <v>57</v>
      </c>
      <c r="W106" s="1" t="s">
        <v>330</v>
      </c>
      <c r="X106" s="17">
        <v>1688.0</v>
      </c>
      <c r="Y106" s="17">
        <v>413.8</v>
      </c>
      <c r="Z106" s="17">
        <v>698494.4</v>
      </c>
    </row>
    <row r="107">
      <c r="A107" s="63" t="s">
        <v>75</v>
      </c>
      <c r="B107" s="87">
        <v>782.0</v>
      </c>
      <c r="C107" s="87">
        <v>1150.53</v>
      </c>
      <c r="D107" s="14">
        <f t="shared" si="13"/>
        <v>782</v>
      </c>
      <c r="E107" s="14">
        <f t="shared" si="14"/>
        <v>899714.46</v>
      </c>
      <c r="F107" s="14">
        <f>IFERROR(__xludf.DUMMYFUNCTION("GOOGLEFINANCE(CONCAT(""NSE:"",A107))"),1761.4)</f>
        <v>1761.4</v>
      </c>
      <c r="G107" s="14">
        <f t="shared" si="15"/>
        <v>1377414.8</v>
      </c>
      <c r="H107" s="44">
        <f t="shared" si="16"/>
        <v>0.5309466072</v>
      </c>
      <c r="J107" s="1"/>
      <c r="K107" s="1"/>
      <c r="L107" s="1"/>
      <c r="M107" s="1"/>
      <c r="N107" s="1"/>
      <c r="O107" s="1"/>
      <c r="P107" s="1"/>
      <c r="Q107" s="1"/>
      <c r="U107" s="1" t="s">
        <v>229</v>
      </c>
      <c r="V107" s="1" t="s">
        <v>46</v>
      </c>
      <c r="W107" s="1" t="s">
        <v>230</v>
      </c>
      <c r="X107" s="17">
        <v>467.0</v>
      </c>
      <c r="Y107" s="17">
        <v>2673.9</v>
      </c>
      <c r="Z107" s="17">
        <v>1248711.0</v>
      </c>
    </row>
    <row r="108">
      <c r="A108" s="63" t="s">
        <v>476</v>
      </c>
      <c r="B108" s="87">
        <v>303.0</v>
      </c>
      <c r="C108" s="87" t="str">
        <f>IFERROR(__xludf.DUMMYFUNCTION("GOOGLEFINANCE(CONCAT(""NSE:"",A108))"),"#N/A")</f>
        <v>#N/A</v>
      </c>
      <c r="D108" s="14">
        <f t="shared" si="13"/>
        <v>303</v>
      </c>
      <c r="E108" s="14" t="str">
        <f t="shared" si="14"/>
        <v>#N/A</v>
      </c>
      <c r="F108" s="14" t="str">
        <f>IFERROR(__xludf.DUMMYFUNCTION("GOOGLEFINANCE(CONCAT(""NSE:"",A108))"),"#N/A")</f>
        <v>#N/A</v>
      </c>
      <c r="G108" s="14" t="str">
        <f t="shared" si="15"/>
        <v>#N/A</v>
      </c>
      <c r="H108" s="44" t="str">
        <f t="shared" si="16"/>
        <v>#N/A</v>
      </c>
      <c r="J108" s="1"/>
      <c r="K108" s="1"/>
      <c r="L108" s="1"/>
      <c r="M108" s="1"/>
      <c r="N108" s="1"/>
      <c r="O108" s="1"/>
      <c r="P108" s="1"/>
      <c r="Q108" s="1"/>
      <c r="U108" s="1" t="s">
        <v>419</v>
      </c>
      <c r="V108" s="1" t="s">
        <v>344</v>
      </c>
      <c r="W108" s="1" t="s">
        <v>420</v>
      </c>
      <c r="X108" s="17">
        <v>214.0</v>
      </c>
      <c r="Y108" s="17">
        <v>1642.0</v>
      </c>
      <c r="Z108" s="17">
        <v>351388.0</v>
      </c>
    </row>
    <row r="109">
      <c r="A109" s="63" t="s">
        <v>468</v>
      </c>
      <c r="B109" s="87">
        <v>28.0</v>
      </c>
      <c r="C109" s="87">
        <v>13858.0</v>
      </c>
      <c r="D109" s="14">
        <f t="shared" si="13"/>
        <v>28</v>
      </c>
      <c r="E109" s="14">
        <f t="shared" si="14"/>
        <v>388024</v>
      </c>
      <c r="F109" s="14">
        <f>IFERROR(__xludf.DUMMYFUNCTION("GOOGLEFINANCE(CONCAT(""NSE:"",A109))"),18950.0)</f>
        <v>18950</v>
      </c>
      <c r="G109" s="14">
        <f t="shared" si="15"/>
        <v>530600</v>
      </c>
      <c r="H109" s="44">
        <f t="shared" si="16"/>
        <v>0.3674411892</v>
      </c>
      <c r="J109" s="1"/>
      <c r="K109" s="1"/>
      <c r="L109" s="1"/>
      <c r="M109" s="1"/>
      <c r="N109" s="1"/>
      <c r="O109" s="1"/>
      <c r="P109" s="1"/>
      <c r="Q109" s="1"/>
      <c r="U109" s="1" t="s">
        <v>477</v>
      </c>
      <c r="V109" s="1" t="s">
        <v>14</v>
      </c>
      <c r="W109" s="1" t="s">
        <v>478</v>
      </c>
      <c r="X109" s="17">
        <v>34.0</v>
      </c>
      <c r="Y109" s="17">
        <v>12051.0</v>
      </c>
      <c r="Z109" s="17">
        <v>409734.0</v>
      </c>
    </row>
    <row r="110">
      <c r="A110" s="63" t="s">
        <v>37</v>
      </c>
      <c r="B110" s="87">
        <v>1400.0</v>
      </c>
      <c r="C110" s="87">
        <v>302.55</v>
      </c>
      <c r="D110" s="14">
        <f t="shared" si="13"/>
        <v>1400</v>
      </c>
      <c r="E110" s="14">
        <f t="shared" si="14"/>
        <v>423570</v>
      </c>
      <c r="F110" s="14">
        <f>IFERROR(__xludf.DUMMYFUNCTION("GOOGLEFINANCE(CONCAT(""NSE:"",A110))"),386.35)</f>
        <v>386.35</v>
      </c>
      <c r="G110" s="14">
        <f t="shared" si="15"/>
        <v>540890</v>
      </c>
      <c r="H110" s="44">
        <f t="shared" si="16"/>
        <v>0.2769790117</v>
      </c>
      <c r="J110" s="1"/>
      <c r="K110" s="1"/>
      <c r="L110" s="1"/>
      <c r="M110" s="1"/>
      <c r="N110" s="1"/>
      <c r="O110" s="1"/>
      <c r="P110" s="1"/>
      <c r="Q110" s="1"/>
      <c r="U110" s="1" t="s">
        <v>479</v>
      </c>
      <c r="V110" s="1" t="s">
        <v>480</v>
      </c>
      <c r="W110" s="1" t="s">
        <v>481</v>
      </c>
      <c r="X110" s="17">
        <v>83.0</v>
      </c>
      <c r="Y110" s="17">
        <v>7482.5</v>
      </c>
      <c r="Z110" s="17">
        <v>621047.5</v>
      </c>
    </row>
    <row r="111">
      <c r="A111" s="63" t="s">
        <v>49</v>
      </c>
      <c r="B111" s="87">
        <v>126.0</v>
      </c>
      <c r="C111" s="87">
        <v>8195.47</v>
      </c>
      <c r="D111" s="14">
        <f t="shared" si="13"/>
        <v>126</v>
      </c>
      <c r="E111" s="14">
        <f t="shared" si="14"/>
        <v>1032629.22</v>
      </c>
      <c r="F111" s="14">
        <f>IFERROR(__xludf.DUMMYFUNCTION("GOOGLEFINANCE(CONCAT(""NSE:"",A111))"),7028.5)</f>
        <v>7028.5</v>
      </c>
      <c r="G111" s="14">
        <f t="shared" si="15"/>
        <v>885591</v>
      </c>
      <c r="H111" s="44">
        <f t="shared" si="16"/>
        <v>-0.1423920776</v>
      </c>
      <c r="J111" s="1"/>
      <c r="K111" s="1"/>
      <c r="L111" s="1"/>
      <c r="M111" s="1"/>
      <c r="N111" s="1"/>
      <c r="O111" s="1"/>
      <c r="P111" s="1"/>
      <c r="Q111" s="1"/>
      <c r="U111" s="1" t="s">
        <v>482</v>
      </c>
      <c r="V111" s="1" t="s">
        <v>55</v>
      </c>
      <c r="W111" s="1" t="s">
        <v>483</v>
      </c>
      <c r="X111" s="17">
        <v>704.0</v>
      </c>
      <c r="Y111" s="17">
        <v>915.45</v>
      </c>
      <c r="Z111" s="17">
        <v>644476.8</v>
      </c>
    </row>
    <row r="112">
      <c r="A112" s="63" t="s">
        <v>51</v>
      </c>
      <c r="B112" s="87">
        <v>3474.0</v>
      </c>
      <c r="C112" s="87">
        <v>138.8</v>
      </c>
      <c r="D112" s="14">
        <f t="shared" si="13"/>
        <v>3474</v>
      </c>
      <c r="E112" s="14">
        <f t="shared" si="14"/>
        <v>482191.2</v>
      </c>
      <c r="F112" s="14">
        <f>IFERROR(__xludf.DUMMYFUNCTION("GOOGLEFINANCE(CONCAT(""NSE:"",A112))"),157.53)</f>
        <v>157.53</v>
      </c>
      <c r="G112" s="14">
        <f t="shared" si="15"/>
        <v>547259.22</v>
      </c>
      <c r="H112" s="44">
        <f t="shared" si="16"/>
        <v>0.1349423631</v>
      </c>
      <c r="J112" s="1"/>
      <c r="K112" s="1"/>
      <c r="L112" s="1"/>
      <c r="M112" s="1"/>
      <c r="N112" s="1"/>
      <c r="O112" s="1"/>
      <c r="P112" s="1"/>
      <c r="Q112" s="1"/>
      <c r="U112" s="1" t="s">
        <v>484</v>
      </c>
      <c r="V112" s="1" t="s">
        <v>71</v>
      </c>
      <c r="W112" s="1" t="s">
        <v>485</v>
      </c>
      <c r="X112" s="17">
        <v>174.0</v>
      </c>
      <c r="Y112" s="17">
        <v>2039.2</v>
      </c>
      <c r="Z112" s="17">
        <v>354820.8</v>
      </c>
    </row>
    <row r="113">
      <c r="A113" s="63" t="s">
        <v>471</v>
      </c>
      <c r="B113" s="87">
        <v>470.0</v>
      </c>
      <c r="C113" s="87">
        <v>1006.5</v>
      </c>
      <c r="D113" s="14">
        <f t="shared" si="13"/>
        <v>470</v>
      </c>
      <c r="E113" s="14">
        <f t="shared" si="14"/>
        <v>473055</v>
      </c>
      <c r="F113" s="14">
        <f>IFERROR(__xludf.DUMMYFUNCTION("GOOGLEFINANCE(CONCAT(""NSE:"",A113))"),1011.4)</f>
        <v>1011.4</v>
      </c>
      <c r="G113" s="14">
        <f t="shared" si="15"/>
        <v>475358</v>
      </c>
      <c r="H113" s="44">
        <f t="shared" si="16"/>
        <v>0.004868355688</v>
      </c>
      <c r="J113" s="1"/>
      <c r="K113" s="1"/>
      <c r="L113" s="1"/>
      <c r="M113" s="1"/>
      <c r="N113" s="1"/>
      <c r="O113" s="1"/>
      <c r="P113" s="1"/>
      <c r="Q113" s="1"/>
      <c r="U113" s="1" t="s">
        <v>486</v>
      </c>
      <c r="V113" s="1" t="s">
        <v>452</v>
      </c>
      <c r="W113" s="1" t="s">
        <v>487</v>
      </c>
      <c r="X113" s="17">
        <v>72.0</v>
      </c>
      <c r="Y113" s="17">
        <v>4526.1</v>
      </c>
      <c r="Z113" s="17">
        <v>325879.2</v>
      </c>
    </row>
    <row r="114">
      <c r="A114" s="63" t="s">
        <v>44</v>
      </c>
      <c r="B114" s="87">
        <v>460.0</v>
      </c>
      <c r="C114" s="87">
        <v>1575.7</v>
      </c>
      <c r="D114" s="14">
        <f t="shared" si="13"/>
        <v>460</v>
      </c>
      <c r="E114" s="14">
        <f t="shared" si="14"/>
        <v>724822</v>
      </c>
      <c r="F114" s="14">
        <f>IFERROR(__xludf.DUMMYFUNCTION("GOOGLEFINANCE(CONCAT(""NSE:"",A114))"),1144.0)</f>
        <v>1144</v>
      </c>
      <c r="G114" s="14">
        <f t="shared" si="15"/>
        <v>526240</v>
      </c>
      <c r="H114" s="44">
        <f t="shared" si="16"/>
        <v>-0.2739734721</v>
      </c>
      <c r="J114" s="1"/>
      <c r="K114" s="1"/>
      <c r="L114" s="1"/>
      <c r="M114" s="1"/>
      <c r="N114" s="1"/>
      <c r="O114" s="1"/>
      <c r="P114" s="1"/>
      <c r="Q114" s="1"/>
      <c r="U114" s="1" t="s">
        <v>488</v>
      </c>
      <c r="V114" s="1" t="s">
        <v>489</v>
      </c>
      <c r="W114" s="1" t="s">
        <v>490</v>
      </c>
      <c r="X114" s="17">
        <v>98.0</v>
      </c>
      <c r="Y114" s="17">
        <v>2660.7</v>
      </c>
      <c r="Z114" s="17">
        <v>260748.6</v>
      </c>
    </row>
    <row r="115">
      <c r="A115" s="63" t="s">
        <v>57</v>
      </c>
      <c r="B115" s="87">
        <v>1688.0</v>
      </c>
      <c r="C115" s="87">
        <v>413.1</v>
      </c>
      <c r="D115" s="14">
        <f t="shared" si="13"/>
        <v>1688</v>
      </c>
      <c r="E115" s="14">
        <f t="shared" si="14"/>
        <v>697312.8</v>
      </c>
      <c r="F115" s="14">
        <f>IFERROR(__xludf.DUMMYFUNCTION("GOOGLEFINANCE(CONCAT(""NSE:"",A115))"),392.8)</f>
        <v>392.8</v>
      </c>
      <c r="G115" s="14">
        <f t="shared" si="15"/>
        <v>663046.4</v>
      </c>
      <c r="H115" s="44">
        <f t="shared" si="16"/>
        <v>-0.04914064391</v>
      </c>
      <c r="J115" s="1"/>
      <c r="K115" s="1"/>
      <c r="L115" s="1"/>
      <c r="M115" s="1"/>
      <c r="N115" s="1"/>
      <c r="O115" s="1"/>
      <c r="P115" s="1"/>
      <c r="Q115" s="1"/>
      <c r="U115" s="1" t="s">
        <v>491</v>
      </c>
      <c r="V115" s="1" t="s">
        <v>76</v>
      </c>
      <c r="W115" s="1" t="s">
        <v>492</v>
      </c>
      <c r="X115" s="17">
        <v>840.0</v>
      </c>
      <c r="Y115" s="17">
        <v>858.2</v>
      </c>
      <c r="Z115" s="17">
        <v>720888.0</v>
      </c>
    </row>
    <row r="116">
      <c r="A116" s="63" t="s">
        <v>344</v>
      </c>
      <c r="B116" s="87">
        <v>214.0</v>
      </c>
      <c r="C116" s="87">
        <v>1608.06</v>
      </c>
      <c r="D116" s="14">
        <f t="shared" si="13"/>
        <v>214</v>
      </c>
      <c r="E116" s="14">
        <f t="shared" si="14"/>
        <v>344124.84</v>
      </c>
      <c r="F116" s="14">
        <f>IFERROR(__xludf.DUMMYFUNCTION("GOOGLEFINANCE(CONCAT(""NSE:"",A116))"),1773.7)</f>
        <v>1773.7</v>
      </c>
      <c r="G116" s="14">
        <f t="shared" si="15"/>
        <v>379571.8</v>
      </c>
      <c r="H116" s="44">
        <f t="shared" si="16"/>
        <v>0.1030061067</v>
      </c>
      <c r="J116" s="1"/>
      <c r="K116" s="1"/>
      <c r="L116" s="1"/>
      <c r="M116" s="1"/>
      <c r="N116" s="1"/>
      <c r="O116" s="1"/>
      <c r="P116" s="1"/>
      <c r="Q116" s="1"/>
      <c r="U116" s="1" t="s">
        <v>493</v>
      </c>
      <c r="V116" s="1" t="s">
        <v>16</v>
      </c>
      <c r="W116" s="1" t="s">
        <v>494</v>
      </c>
      <c r="X116" s="17">
        <v>91.0</v>
      </c>
      <c r="Y116" s="17">
        <v>3997.6</v>
      </c>
      <c r="Z116" s="17">
        <v>363781.6</v>
      </c>
    </row>
    <row r="117">
      <c r="A117" s="63" t="s">
        <v>14</v>
      </c>
      <c r="B117" s="87">
        <v>34.0</v>
      </c>
      <c r="C117" s="87">
        <v>16616.0</v>
      </c>
      <c r="D117" s="14">
        <f t="shared" si="13"/>
        <v>34</v>
      </c>
      <c r="E117" s="14">
        <f t="shared" si="14"/>
        <v>564944</v>
      </c>
      <c r="F117" s="14">
        <f>IFERROR(__xludf.DUMMYFUNCTION("GOOGLEFINANCE(CONCAT(""NSE:"",A117))"),13282.0)</f>
        <v>13282</v>
      </c>
      <c r="G117" s="14">
        <f t="shared" si="15"/>
        <v>451588</v>
      </c>
      <c r="H117" s="44">
        <f t="shared" si="16"/>
        <v>-0.2006499759</v>
      </c>
      <c r="J117" s="1"/>
      <c r="K117" s="1"/>
      <c r="L117" s="1"/>
      <c r="M117" s="1"/>
      <c r="N117" s="1"/>
      <c r="O117" s="1"/>
      <c r="P117" s="1"/>
      <c r="Q117" s="1"/>
      <c r="U117" s="1" t="s">
        <v>255</v>
      </c>
      <c r="V117" s="1" t="s">
        <v>81</v>
      </c>
      <c r="W117" s="1" t="s">
        <v>256</v>
      </c>
      <c r="X117" s="17">
        <v>1146.0</v>
      </c>
      <c r="Y117" s="17">
        <v>1103.2</v>
      </c>
      <c r="Z117" s="17">
        <v>1264267.0</v>
      </c>
    </row>
    <row r="118">
      <c r="A118" s="63" t="s">
        <v>480</v>
      </c>
      <c r="B118" s="87">
        <v>83.0</v>
      </c>
      <c r="C118" s="87">
        <v>6918.0</v>
      </c>
      <c r="D118" s="14">
        <f t="shared" si="13"/>
        <v>83</v>
      </c>
      <c r="E118" s="14">
        <f t="shared" si="14"/>
        <v>574194</v>
      </c>
      <c r="F118" s="14">
        <f>IFERROR(__xludf.DUMMYFUNCTION("GOOGLEFINANCE(CONCAT(""NSE:"",A118))"),7505.0)</f>
        <v>7505</v>
      </c>
      <c r="G118" s="14">
        <f t="shared" si="15"/>
        <v>622915</v>
      </c>
      <c r="H118" s="44">
        <f t="shared" si="16"/>
        <v>0.08485111304</v>
      </c>
      <c r="J118" s="1"/>
      <c r="K118" s="1"/>
      <c r="L118" s="1"/>
      <c r="M118" s="1"/>
      <c r="N118" s="1"/>
      <c r="O118" s="1"/>
      <c r="P118" s="1"/>
      <c r="Q118" s="1"/>
      <c r="U118" s="1" t="s">
        <v>257</v>
      </c>
      <c r="V118" s="1" t="s">
        <v>82</v>
      </c>
      <c r="W118" s="1" t="s">
        <v>258</v>
      </c>
      <c r="X118" s="17">
        <v>2033.0</v>
      </c>
      <c r="Y118" s="17">
        <v>320.3</v>
      </c>
      <c r="Z118" s="17">
        <v>651169.9</v>
      </c>
    </row>
    <row r="119">
      <c r="A119" s="63" t="s">
        <v>452</v>
      </c>
      <c r="B119" s="87">
        <v>72.0</v>
      </c>
      <c r="C119" s="87">
        <v>4890.0</v>
      </c>
      <c r="D119" s="14">
        <f t="shared" si="13"/>
        <v>72</v>
      </c>
      <c r="E119" s="14">
        <f t="shared" si="14"/>
        <v>352080</v>
      </c>
      <c r="F119" s="14">
        <f>IFERROR(__xludf.DUMMYFUNCTION("GOOGLEFINANCE(CONCAT(""NSE:"",A119))"),4754.8)</f>
        <v>4754.8</v>
      </c>
      <c r="G119" s="14">
        <f t="shared" si="15"/>
        <v>342345.6</v>
      </c>
      <c r="H119" s="44">
        <f t="shared" si="16"/>
        <v>-0.02764826176</v>
      </c>
      <c r="J119" s="1"/>
      <c r="K119" s="1"/>
      <c r="L119" s="1"/>
      <c r="M119" s="1"/>
      <c r="N119" s="1"/>
      <c r="O119" s="1"/>
      <c r="P119" s="1"/>
      <c r="Q119" s="1"/>
      <c r="U119" s="1" t="s">
        <v>151</v>
      </c>
      <c r="V119" s="1" t="s">
        <v>83</v>
      </c>
      <c r="W119" s="1" t="s">
        <v>153</v>
      </c>
      <c r="X119" s="17">
        <v>2347.0</v>
      </c>
      <c r="Y119" s="17">
        <v>307.1</v>
      </c>
      <c r="Z119" s="17">
        <v>720763.7</v>
      </c>
    </row>
    <row r="120">
      <c r="A120" s="63" t="s">
        <v>489</v>
      </c>
      <c r="B120" s="87">
        <v>98.0</v>
      </c>
      <c r="C120" s="87">
        <v>5656.17</v>
      </c>
      <c r="D120" s="14">
        <f t="shared" si="13"/>
        <v>98</v>
      </c>
      <c r="E120" s="14">
        <f t="shared" si="14"/>
        <v>554304.66</v>
      </c>
      <c r="F120" s="14">
        <f>IFERROR(__xludf.DUMMYFUNCTION("GOOGLEFINANCE(CONCAT(""NSE:"",A120))"),2391.3)</f>
        <v>2391.3</v>
      </c>
      <c r="G120" s="14">
        <f t="shared" si="15"/>
        <v>234347.4</v>
      </c>
      <c r="H120" s="44">
        <f t="shared" si="16"/>
        <v>-0.5772227497</v>
      </c>
      <c r="J120" s="1"/>
      <c r="K120" s="1"/>
      <c r="L120" s="1"/>
      <c r="M120" s="1"/>
      <c r="N120" s="1"/>
      <c r="O120" s="1"/>
      <c r="P120" s="1"/>
      <c r="Q120" s="1"/>
      <c r="U120" s="1" t="s">
        <v>429</v>
      </c>
      <c r="V120" s="1" t="s">
        <v>72</v>
      </c>
      <c r="W120" s="1" t="s">
        <v>430</v>
      </c>
      <c r="X120" s="17">
        <v>272.0</v>
      </c>
      <c r="Y120" s="17">
        <v>2514.7</v>
      </c>
      <c r="Z120" s="17">
        <v>683998.4</v>
      </c>
    </row>
    <row r="121">
      <c r="A121" s="63" t="s">
        <v>76</v>
      </c>
      <c r="B121" s="87">
        <v>840.0</v>
      </c>
      <c r="C121" s="87">
        <v>767.6</v>
      </c>
      <c r="D121" s="14">
        <f t="shared" si="13"/>
        <v>840</v>
      </c>
      <c r="E121" s="14">
        <f t="shared" si="14"/>
        <v>644784</v>
      </c>
      <c r="F121" s="14">
        <f>IFERROR(__xludf.DUMMYFUNCTION("GOOGLEFINANCE(CONCAT(""NSE:"",A121))"),842.9)</f>
        <v>842.9</v>
      </c>
      <c r="G121" s="14">
        <f t="shared" si="15"/>
        <v>708036</v>
      </c>
      <c r="H121" s="44">
        <f t="shared" si="16"/>
        <v>0.09809796769</v>
      </c>
      <c r="J121" s="1"/>
      <c r="K121" s="1"/>
      <c r="L121" s="1"/>
      <c r="M121" s="1"/>
      <c r="N121" s="1"/>
      <c r="O121" s="1"/>
      <c r="P121" s="1"/>
      <c r="Q121" s="1"/>
      <c r="U121" s="1" t="s">
        <v>260</v>
      </c>
      <c r="V121" s="1" t="s">
        <v>86</v>
      </c>
      <c r="W121" s="1" t="s">
        <v>431</v>
      </c>
      <c r="X121" s="17">
        <v>83.0</v>
      </c>
      <c r="Y121" s="17">
        <v>2199.0</v>
      </c>
      <c r="Z121" s="17">
        <v>182517.0</v>
      </c>
    </row>
    <row r="122">
      <c r="A122" s="63" t="s">
        <v>81</v>
      </c>
      <c r="B122" s="87">
        <v>1146.0</v>
      </c>
      <c r="C122" s="87">
        <v>860.8</v>
      </c>
      <c r="D122" s="14">
        <f t="shared" si="13"/>
        <v>1146</v>
      </c>
      <c r="E122" s="14">
        <f t="shared" si="14"/>
        <v>986476.8</v>
      </c>
      <c r="F122" s="14">
        <f>IFERROR(__xludf.DUMMYFUNCTION("GOOGLEFINANCE(CONCAT(""NSE:"",A122))"),1944.7)</f>
        <v>1944.7</v>
      </c>
      <c r="G122" s="14">
        <f t="shared" si="15"/>
        <v>2228626.2</v>
      </c>
      <c r="H122" s="44">
        <f t="shared" si="16"/>
        <v>1.259177509</v>
      </c>
      <c r="J122" s="1"/>
      <c r="K122" s="1"/>
      <c r="L122" s="1"/>
      <c r="M122" s="1"/>
      <c r="N122" s="1"/>
      <c r="O122" s="1"/>
      <c r="P122" s="1"/>
      <c r="Q122" s="1"/>
      <c r="U122" s="1" t="s">
        <v>497</v>
      </c>
      <c r="V122" s="1" t="s">
        <v>462</v>
      </c>
      <c r="W122" s="1" t="s">
        <v>498</v>
      </c>
      <c r="X122" s="17">
        <v>257.0</v>
      </c>
      <c r="Y122" s="17">
        <v>1703.7</v>
      </c>
      <c r="Z122" s="17">
        <v>437850.9</v>
      </c>
    </row>
    <row r="123">
      <c r="A123" s="63" t="s">
        <v>82</v>
      </c>
      <c r="B123" s="87">
        <v>2033.0</v>
      </c>
      <c r="C123" s="87">
        <v>256.24</v>
      </c>
      <c r="D123" s="14">
        <f t="shared" si="13"/>
        <v>2033</v>
      </c>
      <c r="E123" s="14">
        <f t="shared" si="14"/>
        <v>520935.92</v>
      </c>
      <c r="F123" s="14">
        <f>IFERROR(__xludf.DUMMYFUNCTION("GOOGLEFINANCE(CONCAT(""NSE:"",A123))"),298.85)</f>
        <v>298.85</v>
      </c>
      <c r="G123" s="14">
        <f t="shared" si="15"/>
        <v>607562.05</v>
      </c>
      <c r="H123" s="44">
        <f t="shared" si="16"/>
        <v>0.1662894162</v>
      </c>
      <c r="J123" s="1"/>
      <c r="K123" s="1"/>
      <c r="L123" s="1"/>
      <c r="M123" s="1"/>
      <c r="N123" s="1"/>
      <c r="O123" s="1"/>
      <c r="P123" s="1"/>
      <c r="Q123" s="1"/>
      <c r="U123" s="1" t="s">
        <v>499</v>
      </c>
      <c r="V123" s="1" t="s">
        <v>84</v>
      </c>
      <c r="W123" s="1" t="s">
        <v>340</v>
      </c>
      <c r="X123" s="17">
        <v>246.0</v>
      </c>
      <c r="Y123" s="17">
        <v>3921.0</v>
      </c>
      <c r="Z123" s="17">
        <v>964566.0</v>
      </c>
    </row>
    <row r="124">
      <c r="A124" s="63" t="s">
        <v>83</v>
      </c>
      <c r="B124" s="87">
        <v>2347.0</v>
      </c>
      <c r="C124" s="87">
        <v>284.6</v>
      </c>
      <c r="D124" s="14">
        <f t="shared" si="13"/>
        <v>2347</v>
      </c>
      <c r="E124" s="14">
        <f t="shared" si="14"/>
        <v>667956.2</v>
      </c>
      <c r="F124" s="14">
        <f>IFERROR(__xludf.DUMMYFUNCTION("GOOGLEFINANCE(CONCAT(""NSE:"",A124))"),317.0)</f>
        <v>317</v>
      </c>
      <c r="G124" s="14">
        <f t="shared" si="15"/>
        <v>743999</v>
      </c>
      <c r="H124" s="44">
        <f t="shared" si="16"/>
        <v>0.1138439916</v>
      </c>
      <c r="J124" s="1"/>
      <c r="K124" s="1"/>
      <c r="L124" s="1"/>
      <c r="M124" s="1"/>
      <c r="N124" s="1"/>
      <c r="O124" s="1"/>
      <c r="P124" s="1"/>
      <c r="Q124" s="1"/>
      <c r="U124" s="1" t="s">
        <v>434</v>
      </c>
      <c r="V124" s="1" t="s">
        <v>75</v>
      </c>
      <c r="W124" s="1" t="s">
        <v>435</v>
      </c>
      <c r="X124" s="17">
        <v>782.0</v>
      </c>
      <c r="Y124" s="17">
        <v>1340.1</v>
      </c>
      <c r="Z124" s="17">
        <v>1047958.0</v>
      </c>
    </row>
    <row r="125">
      <c r="A125" s="63" t="s">
        <v>72</v>
      </c>
      <c r="B125" s="87">
        <v>272.0</v>
      </c>
      <c r="C125" s="87">
        <v>2894.5</v>
      </c>
      <c r="D125" s="14">
        <f t="shared" si="13"/>
        <v>272</v>
      </c>
      <c r="E125" s="14">
        <f t="shared" si="14"/>
        <v>787304</v>
      </c>
      <c r="F125" s="14">
        <f>IFERROR(__xludf.DUMMYFUNCTION("GOOGLEFINANCE(CONCAT(""NSE:"",A125))"),2203.2)</f>
        <v>2203.2</v>
      </c>
      <c r="G125" s="14">
        <f t="shared" si="15"/>
        <v>599270.4</v>
      </c>
      <c r="H125" s="44">
        <f t="shared" si="16"/>
        <v>-0.2388322681</v>
      </c>
      <c r="J125" s="1"/>
      <c r="K125" s="1"/>
      <c r="L125" s="1"/>
      <c r="M125" s="1"/>
      <c r="N125" s="1"/>
      <c r="O125" s="1"/>
      <c r="P125" s="1"/>
      <c r="Q125" s="1"/>
      <c r="U125" s="1" t="s">
        <v>500</v>
      </c>
      <c r="V125" s="1" t="s">
        <v>501</v>
      </c>
      <c r="W125" s="1" t="s">
        <v>502</v>
      </c>
      <c r="X125" s="17">
        <v>303.0</v>
      </c>
      <c r="Y125" s="17">
        <v>1770.6</v>
      </c>
      <c r="Z125" s="17">
        <v>536491.8</v>
      </c>
    </row>
    <row r="126">
      <c r="A126" s="63" t="s">
        <v>84</v>
      </c>
      <c r="B126" s="87">
        <v>246.0</v>
      </c>
      <c r="C126" s="87">
        <v>3192.89</v>
      </c>
      <c r="D126" s="14">
        <f t="shared" si="13"/>
        <v>246</v>
      </c>
      <c r="E126" s="14">
        <f t="shared" si="14"/>
        <v>785450.94</v>
      </c>
      <c r="F126" s="14">
        <f>IFERROR(__xludf.DUMMYFUNCTION("GOOGLEFINANCE(CONCAT(""NSE:"",A126))"),2752.2)</f>
        <v>2752.2</v>
      </c>
      <c r="G126" s="14">
        <f t="shared" si="15"/>
        <v>677041.2</v>
      </c>
      <c r="H126" s="44">
        <f t="shared" si="16"/>
        <v>-0.1380222933</v>
      </c>
      <c r="J126" s="1"/>
      <c r="K126" s="1"/>
      <c r="L126" s="1"/>
      <c r="M126" s="1"/>
      <c r="N126" s="1"/>
      <c r="O126" s="1"/>
      <c r="P126" s="1"/>
      <c r="Q126" s="1"/>
      <c r="U126" s="1" t="s">
        <v>267</v>
      </c>
      <c r="V126" s="1" t="s">
        <v>15</v>
      </c>
      <c r="W126" s="1" t="s">
        <v>268</v>
      </c>
      <c r="X126" s="17">
        <v>42.0</v>
      </c>
      <c r="Y126" s="17">
        <v>19004.0</v>
      </c>
      <c r="Z126" s="17">
        <v>798168.0</v>
      </c>
    </row>
    <row r="127">
      <c r="A127" s="63" t="s">
        <v>15</v>
      </c>
      <c r="B127" s="87">
        <v>42.0</v>
      </c>
      <c r="C127" s="87">
        <v>18294.36</v>
      </c>
      <c r="D127" s="14">
        <f t="shared" si="13"/>
        <v>42</v>
      </c>
      <c r="E127" s="14">
        <f t="shared" si="14"/>
        <v>768363.12</v>
      </c>
      <c r="F127" s="14">
        <f>IFERROR(__xludf.DUMMYFUNCTION("GOOGLEFINANCE(CONCAT(""NSE:"",A127))"),30810.0)</f>
        <v>30810</v>
      </c>
      <c r="G127" s="14">
        <f t="shared" si="15"/>
        <v>1294020</v>
      </c>
      <c r="H127" s="44">
        <f t="shared" si="16"/>
        <v>0.6841255994</v>
      </c>
      <c r="J127" s="1"/>
      <c r="K127" s="1"/>
      <c r="L127" s="1"/>
      <c r="M127" s="1"/>
      <c r="N127" s="1"/>
      <c r="O127" s="1"/>
      <c r="P127" s="1"/>
      <c r="Q127" s="1"/>
      <c r="U127" s="1" t="s">
        <v>503</v>
      </c>
      <c r="V127" s="1" t="s">
        <v>88</v>
      </c>
      <c r="W127" s="1" t="s">
        <v>342</v>
      </c>
      <c r="X127" s="17">
        <v>2205.0</v>
      </c>
      <c r="Y127" s="17">
        <v>316.05</v>
      </c>
      <c r="Z127" s="17">
        <v>696890.3</v>
      </c>
    </row>
    <row r="128">
      <c r="A128" s="63" t="s">
        <v>88</v>
      </c>
      <c r="B128" s="87">
        <v>2205.0</v>
      </c>
      <c r="C128" s="87">
        <v>276.55</v>
      </c>
      <c r="D128" s="14">
        <f t="shared" si="13"/>
        <v>2205</v>
      </c>
      <c r="E128" s="14">
        <f t="shared" si="14"/>
        <v>609792.75</v>
      </c>
      <c r="F128" s="14">
        <f>IFERROR(__xludf.DUMMYFUNCTION("GOOGLEFINANCE(CONCAT(""NSE:"",A128))"),406.85)</f>
        <v>406.85</v>
      </c>
      <c r="G128" s="14">
        <f t="shared" si="15"/>
        <v>897104.25</v>
      </c>
      <c r="H128" s="44">
        <f t="shared" si="16"/>
        <v>0.4711625384</v>
      </c>
      <c r="J128" s="1"/>
      <c r="K128" s="1"/>
      <c r="L128" s="1"/>
      <c r="M128" s="1"/>
      <c r="N128" s="1"/>
      <c r="O128" s="1"/>
      <c r="P128" s="1"/>
      <c r="Q128" s="1"/>
      <c r="U128" s="1" t="s">
        <v>504</v>
      </c>
      <c r="V128" s="1" t="s">
        <v>468</v>
      </c>
      <c r="W128" s="1" t="s">
        <v>505</v>
      </c>
      <c r="X128" s="17">
        <v>28.0</v>
      </c>
      <c r="Y128" s="17">
        <v>12731.0</v>
      </c>
      <c r="Z128" s="17">
        <v>356468.0</v>
      </c>
    </row>
    <row r="129">
      <c r="A129" s="63" t="s">
        <v>96</v>
      </c>
      <c r="B129" s="87">
        <v>104.0</v>
      </c>
      <c r="C129" s="87">
        <v>3439.09</v>
      </c>
      <c r="D129" s="14">
        <f t="shared" si="13"/>
        <v>104</v>
      </c>
      <c r="E129" s="14">
        <f t="shared" si="14"/>
        <v>357665.36</v>
      </c>
      <c r="F129" s="14">
        <f>IFERROR(__xludf.DUMMYFUNCTION("GOOGLEFINANCE(CONCAT(""NSE:"",A129))"),4116.7)</f>
        <v>4116.7</v>
      </c>
      <c r="G129" s="14">
        <f t="shared" si="15"/>
        <v>428136.8</v>
      </c>
      <c r="H129" s="44">
        <f t="shared" si="16"/>
        <v>0.1970317729</v>
      </c>
      <c r="J129" s="1"/>
      <c r="K129" s="1"/>
      <c r="L129" s="1"/>
      <c r="M129" s="1"/>
      <c r="N129" s="1"/>
      <c r="O129" s="1"/>
      <c r="P129" s="1"/>
      <c r="Q129" s="1"/>
      <c r="U129" s="1" t="s">
        <v>506</v>
      </c>
      <c r="V129" s="1" t="s">
        <v>96</v>
      </c>
      <c r="W129" s="1" t="s">
        <v>507</v>
      </c>
      <c r="X129" s="17">
        <v>104.0</v>
      </c>
      <c r="Y129" s="17">
        <v>3864.2</v>
      </c>
      <c r="Z129" s="17">
        <v>401876.8</v>
      </c>
    </row>
    <row r="130">
      <c r="A130" s="63" t="s">
        <v>98</v>
      </c>
      <c r="B130" s="87">
        <v>2911.0</v>
      </c>
      <c r="C130" s="87">
        <v>137.21</v>
      </c>
      <c r="D130" s="14">
        <f t="shared" si="13"/>
        <v>2911</v>
      </c>
      <c r="E130" s="14">
        <f t="shared" si="14"/>
        <v>399418.31</v>
      </c>
      <c r="F130" s="14">
        <f>IFERROR(__xludf.DUMMYFUNCTION("GOOGLEFINANCE(CONCAT(""NSE:"",A130))"),177.15)</f>
        <v>177.15</v>
      </c>
      <c r="G130" s="14">
        <f t="shared" si="15"/>
        <v>515683.65</v>
      </c>
      <c r="H130" s="44">
        <f t="shared" si="16"/>
        <v>0.2910866555</v>
      </c>
      <c r="J130" s="1"/>
      <c r="K130" s="1"/>
      <c r="L130" s="1"/>
      <c r="M130" s="1"/>
      <c r="N130" s="1"/>
      <c r="O130" s="1"/>
      <c r="P130" s="1"/>
      <c r="Q130" s="1"/>
      <c r="U130" s="1" t="s">
        <v>508</v>
      </c>
      <c r="V130" s="1" t="s">
        <v>98</v>
      </c>
      <c r="W130" s="1" t="s">
        <v>345</v>
      </c>
      <c r="X130" s="17">
        <v>2911.0</v>
      </c>
      <c r="Y130" s="17">
        <v>162.36</v>
      </c>
      <c r="Z130" s="17">
        <v>472630.0</v>
      </c>
    </row>
    <row r="131">
      <c r="A131" s="63" t="s">
        <v>509</v>
      </c>
      <c r="B131" s="87">
        <v>246.0</v>
      </c>
      <c r="C131" s="87">
        <v>1308.9</v>
      </c>
      <c r="D131" s="14">
        <f t="shared" si="13"/>
        <v>246</v>
      </c>
      <c r="E131" s="14">
        <f t="shared" si="14"/>
        <v>321989.4</v>
      </c>
      <c r="F131" s="14">
        <f>IFERROR(__xludf.DUMMYFUNCTION("GOOGLEFINANCE(CONCAT(""NSE:"",A131))"),1197.7)</f>
        <v>1197.7</v>
      </c>
      <c r="G131" s="14">
        <f t="shared" si="15"/>
        <v>294634.2</v>
      </c>
      <c r="H131" s="44">
        <f t="shared" si="16"/>
        <v>-0.08495683398</v>
      </c>
      <c r="J131" s="1"/>
      <c r="K131" s="1"/>
      <c r="L131" s="1"/>
      <c r="M131" s="1"/>
      <c r="N131" s="1"/>
      <c r="O131" s="1"/>
      <c r="P131" s="1"/>
      <c r="Q131" s="1"/>
      <c r="U131" s="1" t="s">
        <v>512</v>
      </c>
      <c r="V131" s="1" t="s">
        <v>509</v>
      </c>
      <c r="W131" s="1" t="s">
        <v>513</v>
      </c>
      <c r="X131" s="17">
        <v>246.0</v>
      </c>
      <c r="Y131" s="17">
        <v>1336.6</v>
      </c>
      <c r="Z131" s="17">
        <v>328803.6</v>
      </c>
    </row>
    <row r="132">
      <c r="J132" s="1"/>
      <c r="K132" s="1"/>
      <c r="L132" s="1"/>
      <c r="M132" s="1"/>
      <c r="N132" s="1"/>
      <c r="O132" s="1"/>
      <c r="P132" s="1"/>
      <c r="Q132" s="1"/>
    </row>
    <row r="133">
      <c r="A133" s="60">
        <v>45839.0</v>
      </c>
      <c r="B133" s="39" t="s">
        <v>300</v>
      </c>
      <c r="C133" s="39" t="s">
        <v>308</v>
      </c>
      <c r="D133" s="40" t="s">
        <v>302</v>
      </c>
      <c r="E133" s="40" t="s">
        <v>303</v>
      </c>
      <c r="F133" s="40" t="s">
        <v>304</v>
      </c>
      <c r="G133" s="40" t="s">
        <v>305</v>
      </c>
      <c r="H133" s="40" t="s">
        <v>306</v>
      </c>
      <c r="J133" s="1"/>
      <c r="K133" s="1"/>
      <c r="L133" s="1"/>
      <c r="M133" s="1"/>
      <c r="N133" s="1"/>
      <c r="O133" s="1"/>
      <c r="P133" s="1"/>
      <c r="Q133" s="1"/>
    </row>
    <row r="134">
      <c r="A134" s="63" t="s">
        <v>57</v>
      </c>
      <c r="B134" s="87">
        <v>1133.0</v>
      </c>
      <c r="C134" s="87">
        <v>430.5</v>
      </c>
      <c r="D134" s="14">
        <f t="shared" ref="D134:D163" si="17">B134</f>
        <v>1133</v>
      </c>
      <c r="E134" s="14">
        <f t="shared" ref="E134:E163" si="18">B134*C134</f>
        <v>487756.5</v>
      </c>
      <c r="F134" s="14">
        <f>IFERROR(__xludf.DUMMYFUNCTION("GOOGLEFINANCE(CONCAT(""NSE:"",A134))"),392.8)</f>
        <v>392.8</v>
      </c>
      <c r="G134" s="14">
        <f t="shared" ref="G134:G163" si="19">F134*D134</f>
        <v>445042.4</v>
      </c>
      <c r="H134" s="44">
        <f t="shared" ref="H134:H163" si="20">(G134-E134)/E134</f>
        <v>-0.08757259001</v>
      </c>
      <c r="J134" s="1"/>
      <c r="K134" s="1"/>
      <c r="L134" s="1"/>
      <c r="M134" s="1"/>
      <c r="N134" s="1"/>
      <c r="O134" s="1"/>
      <c r="P134" s="1"/>
      <c r="Q134" s="1"/>
    </row>
    <row r="135">
      <c r="A135" s="63" t="s">
        <v>46</v>
      </c>
      <c r="B135" s="87">
        <v>653.0</v>
      </c>
      <c r="C135" s="87">
        <v>2799.05</v>
      </c>
      <c r="D135" s="14">
        <f t="shared" si="17"/>
        <v>653</v>
      </c>
      <c r="E135" s="14">
        <f t="shared" si="18"/>
        <v>1827779.65</v>
      </c>
      <c r="F135" s="14">
        <f>IFERROR(__xludf.DUMMYFUNCTION("GOOGLEFINANCE(CONCAT(""NSE:"",A135))"),3271.6)</f>
        <v>3271.6</v>
      </c>
      <c r="G135" s="14">
        <f t="shared" si="19"/>
        <v>2136354.8</v>
      </c>
      <c r="H135" s="44">
        <f t="shared" si="20"/>
        <v>0.1688251371</v>
      </c>
      <c r="J135" s="1"/>
      <c r="K135" s="1"/>
      <c r="L135" s="1"/>
      <c r="M135" s="1"/>
      <c r="N135" s="1"/>
      <c r="O135" s="1"/>
      <c r="P135" s="1"/>
      <c r="Q135" s="1"/>
    </row>
    <row r="136">
      <c r="A136" s="63" t="s">
        <v>514</v>
      </c>
      <c r="B136" s="87">
        <v>328.0</v>
      </c>
      <c r="C136" s="87">
        <v>1807.34</v>
      </c>
      <c r="D136" s="14">
        <f t="shared" si="17"/>
        <v>328</v>
      </c>
      <c r="E136" s="14">
        <f t="shared" si="18"/>
        <v>592807.52</v>
      </c>
      <c r="F136" s="14">
        <f>IFERROR(__xludf.DUMMYFUNCTION("GOOGLEFINANCE(CONCAT(""NSE:"",A136))"),1345.0)</f>
        <v>1345</v>
      </c>
      <c r="G136" s="14">
        <f t="shared" si="19"/>
        <v>441160</v>
      </c>
      <c r="H136" s="44">
        <f t="shared" si="20"/>
        <v>-0.2558124094</v>
      </c>
      <c r="J136" s="1"/>
      <c r="K136" s="1"/>
      <c r="L136" s="1"/>
      <c r="M136" s="1"/>
      <c r="N136" s="1"/>
      <c r="O136" s="1"/>
      <c r="P136" s="1"/>
      <c r="Q136" s="1"/>
    </row>
    <row r="137">
      <c r="A137" s="63" t="s">
        <v>458</v>
      </c>
      <c r="B137" s="87">
        <v>77.0</v>
      </c>
      <c r="C137" s="87">
        <v>6858.5</v>
      </c>
      <c r="D137" s="14">
        <f t="shared" si="17"/>
        <v>77</v>
      </c>
      <c r="E137" s="14">
        <f t="shared" si="18"/>
        <v>528104.5</v>
      </c>
      <c r="F137" s="14">
        <f>IFERROR(__xludf.DUMMYFUNCTION("GOOGLEFINANCE(CONCAT(""NSE:"",A137))"),9269.0)</f>
        <v>9269</v>
      </c>
      <c r="G137" s="14">
        <f t="shared" si="19"/>
        <v>713713</v>
      </c>
      <c r="H137" s="44">
        <f t="shared" si="20"/>
        <v>0.3514616899</v>
      </c>
      <c r="J137" s="1"/>
      <c r="K137" s="1"/>
      <c r="L137" s="1"/>
      <c r="M137" s="1"/>
      <c r="N137" s="1"/>
      <c r="O137" s="1"/>
      <c r="P137" s="1"/>
      <c r="Q137" s="1"/>
    </row>
    <row r="138">
      <c r="A138" s="63" t="s">
        <v>71</v>
      </c>
      <c r="B138" s="87">
        <v>260.0</v>
      </c>
      <c r="C138" s="87">
        <v>1747.1</v>
      </c>
      <c r="D138" s="14">
        <f t="shared" si="17"/>
        <v>260</v>
      </c>
      <c r="E138" s="14">
        <f t="shared" si="18"/>
        <v>454246</v>
      </c>
      <c r="F138" s="14">
        <f>IFERROR(__xludf.DUMMYFUNCTION("GOOGLEFINANCE(CONCAT(""NSE:"",A138))"),2394.4)</f>
        <v>2394.4</v>
      </c>
      <c r="G138" s="14">
        <f t="shared" si="19"/>
        <v>622544</v>
      </c>
      <c r="H138" s="44">
        <f t="shared" si="20"/>
        <v>0.3704996852</v>
      </c>
      <c r="J138" s="1"/>
      <c r="K138" s="1"/>
      <c r="L138" s="1"/>
      <c r="M138" s="1"/>
      <c r="N138" s="1"/>
      <c r="O138" s="1"/>
      <c r="P138" s="1"/>
      <c r="Q138" s="1"/>
    </row>
    <row r="139">
      <c r="A139" s="63" t="s">
        <v>81</v>
      </c>
      <c r="B139" s="87">
        <v>955.0</v>
      </c>
      <c r="C139" s="87">
        <v>749.82</v>
      </c>
      <c r="D139" s="14">
        <f t="shared" si="17"/>
        <v>955</v>
      </c>
      <c r="E139" s="14">
        <f t="shared" si="18"/>
        <v>716078.1</v>
      </c>
      <c r="F139" s="14">
        <f>IFERROR(__xludf.DUMMYFUNCTION("GOOGLEFINANCE(CONCAT(""NSE:"",A139))"),1944.7)</f>
        <v>1944.7</v>
      </c>
      <c r="G139" s="14">
        <f t="shared" si="19"/>
        <v>1857188.5</v>
      </c>
      <c r="H139" s="44">
        <f t="shared" si="20"/>
        <v>1.593555787</v>
      </c>
      <c r="J139" s="1"/>
      <c r="K139" s="1"/>
      <c r="L139" s="1"/>
      <c r="M139" s="1"/>
      <c r="N139" s="1"/>
      <c r="O139" s="1"/>
      <c r="P139" s="1"/>
      <c r="Q139" s="1"/>
    </row>
    <row r="140">
      <c r="A140" s="63" t="s">
        <v>83</v>
      </c>
      <c r="B140" s="87">
        <v>1460.0</v>
      </c>
      <c r="C140" s="87">
        <v>277.8</v>
      </c>
      <c r="D140" s="14">
        <f t="shared" si="17"/>
        <v>1460</v>
      </c>
      <c r="E140" s="14">
        <f t="shared" si="18"/>
        <v>405588</v>
      </c>
      <c r="F140" s="14">
        <f>IFERROR(__xludf.DUMMYFUNCTION("GOOGLEFINANCE(CONCAT(""NSE:"",A140))"),317.0)</f>
        <v>317</v>
      </c>
      <c r="G140" s="14">
        <f t="shared" si="19"/>
        <v>462820</v>
      </c>
      <c r="H140" s="44">
        <f t="shared" si="20"/>
        <v>0.1411087113</v>
      </c>
      <c r="J140" s="1"/>
      <c r="K140" s="1"/>
      <c r="L140" s="1"/>
      <c r="M140" s="1"/>
      <c r="N140" s="1"/>
      <c r="O140" s="1"/>
      <c r="P140" s="1"/>
      <c r="Q140" s="1"/>
    </row>
    <row r="141">
      <c r="A141" s="63" t="s">
        <v>86</v>
      </c>
      <c r="B141" s="87">
        <v>131.0</v>
      </c>
      <c r="C141" s="87">
        <v>9042.5</v>
      </c>
      <c r="D141" s="14">
        <f t="shared" si="17"/>
        <v>131</v>
      </c>
      <c r="E141" s="14">
        <f t="shared" si="18"/>
        <v>1184567.5</v>
      </c>
      <c r="F141" s="14">
        <f>IFERROR(__xludf.DUMMYFUNCTION("GOOGLEFINANCE(CONCAT(""NSE:"",A141))"),3290.8)</f>
        <v>3290.8</v>
      </c>
      <c r="G141" s="14">
        <f t="shared" si="19"/>
        <v>431094.8</v>
      </c>
      <c r="H141" s="44">
        <f t="shared" si="20"/>
        <v>-0.6360740946</v>
      </c>
      <c r="J141" s="1"/>
      <c r="K141" s="1"/>
      <c r="L141" s="1"/>
      <c r="M141" s="1"/>
      <c r="N141" s="1"/>
      <c r="O141" s="1"/>
      <c r="P141" s="1"/>
      <c r="Q141" s="1"/>
    </row>
    <row r="142">
      <c r="A142" s="63" t="s">
        <v>84</v>
      </c>
      <c r="B142" s="87">
        <v>224.0</v>
      </c>
      <c r="C142" s="87">
        <v>2650.9</v>
      </c>
      <c r="D142" s="14">
        <f t="shared" si="17"/>
        <v>224</v>
      </c>
      <c r="E142" s="14">
        <f t="shared" si="18"/>
        <v>593801.6</v>
      </c>
      <c r="F142" s="14">
        <f>IFERROR(__xludf.DUMMYFUNCTION("GOOGLEFINANCE(CONCAT(""NSE:"",A142))"),2752.2)</f>
        <v>2752.2</v>
      </c>
      <c r="G142" s="14">
        <f t="shared" si="19"/>
        <v>616492.8</v>
      </c>
      <c r="H142" s="44">
        <f t="shared" si="20"/>
        <v>0.03821343695</v>
      </c>
      <c r="J142" s="1"/>
      <c r="K142" s="1"/>
      <c r="L142" s="1"/>
      <c r="M142" s="1"/>
      <c r="N142" s="1"/>
      <c r="O142" s="1"/>
      <c r="P142" s="1"/>
      <c r="Q142" s="1"/>
    </row>
    <row r="143">
      <c r="A143" s="63" t="s">
        <v>75</v>
      </c>
      <c r="B143" s="87">
        <v>1398.0</v>
      </c>
      <c r="C143" s="87">
        <v>928.0</v>
      </c>
      <c r="D143" s="14">
        <f t="shared" si="17"/>
        <v>1398</v>
      </c>
      <c r="E143" s="14">
        <f t="shared" si="18"/>
        <v>1297344</v>
      </c>
      <c r="F143" s="14">
        <f>IFERROR(__xludf.DUMMYFUNCTION("GOOGLEFINANCE(CONCAT(""NSE:"",A143))"),1761.4)</f>
        <v>1761.4</v>
      </c>
      <c r="G143" s="14">
        <f t="shared" si="19"/>
        <v>2462437.2</v>
      </c>
      <c r="H143" s="44">
        <f t="shared" si="20"/>
        <v>0.8980603448</v>
      </c>
      <c r="J143" s="1"/>
      <c r="K143" s="1"/>
      <c r="L143" s="1"/>
      <c r="M143" s="1"/>
      <c r="N143" s="1"/>
      <c r="O143" s="1"/>
      <c r="P143" s="1"/>
      <c r="Q143" s="1"/>
    </row>
    <row r="144">
      <c r="A144" s="63" t="s">
        <v>455</v>
      </c>
      <c r="B144" s="87">
        <v>75.0</v>
      </c>
      <c r="C144" s="87">
        <v>6090.63</v>
      </c>
      <c r="D144" s="14">
        <f t="shared" si="17"/>
        <v>75</v>
      </c>
      <c r="E144" s="14">
        <f t="shared" si="18"/>
        <v>456797.25</v>
      </c>
      <c r="F144" s="14">
        <f>IFERROR(__xludf.DUMMYFUNCTION("GOOGLEFINANCE(CONCAT(""NSE:"",A144))"),5425.5)</f>
        <v>5425.5</v>
      </c>
      <c r="G144" s="14">
        <f t="shared" si="19"/>
        <v>406912.5</v>
      </c>
      <c r="H144" s="44">
        <f t="shared" si="20"/>
        <v>-0.1092054517</v>
      </c>
      <c r="J144" s="1"/>
      <c r="K144" s="1"/>
      <c r="L144" s="1"/>
      <c r="M144" s="1"/>
      <c r="N144" s="1"/>
      <c r="O144" s="1"/>
      <c r="P144" s="1"/>
      <c r="Q144" s="1"/>
    </row>
    <row r="145">
      <c r="A145" s="63" t="s">
        <v>517</v>
      </c>
      <c r="B145" s="87">
        <v>410.0</v>
      </c>
      <c r="C145" s="87">
        <v>1097.3</v>
      </c>
      <c r="D145" s="14">
        <f t="shared" si="17"/>
        <v>410</v>
      </c>
      <c r="E145" s="14">
        <f t="shared" si="18"/>
        <v>449893</v>
      </c>
      <c r="F145" s="14">
        <f>IFERROR(__xludf.DUMMYFUNCTION("GOOGLEFINANCE(CONCAT(""NSE:"",A145))"),1108.0)</f>
        <v>1108</v>
      </c>
      <c r="G145" s="14">
        <f t="shared" si="19"/>
        <v>454280</v>
      </c>
      <c r="H145" s="44">
        <f t="shared" si="20"/>
        <v>0.009751207509</v>
      </c>
      <c r="J145" s="1"/>
      <c r="K145" s="1"/>
      <c r="L145" s="1"/>
      <c r="M145" s="1"/>
      <c r="N145" s="1"/>
      <c r="O145" s="1"/>
      <c r="P145" s="1"/>
      <c r="Q145" s="1"/>
    </row>
    <row r="146">
      <c r="A146" s="63" t="s">
        <v>49</v>
      </c>
      <c r="B146" s="87">
        <v>94.0</v>
      </c>
      <c r="C146" s="87">
        <v>7138.34</v>
      </c>
      <c r="D146" s="14">
        <f t="shared" si="17"/>
        <v>94</v>
      </c>
      <c r="E146" s="14">
        <f t="shared" si="18"/>
        <v>671003.96</v>
      </c>
      <c r="F146" s="14">
        <f>IFERROR(__xludf.DUMMYFUNCTION("GOOGLEFINANCE(CONCAT(""NSE:"",A146))"),7028.5)</f>
        <v>7028.5</v>
      </c>
      <c r="G146" s="14">
        <f t="shared" si="19"/>
        <v>660679</v>
      </c>
      <c r="H146" s="44">
        <f t="shared" si="20"/>
        <v>-0.01538733095</v>
      </c>
      <c r="J146" s="1"/>
      <c r="K146" s="1"/>
      <c r="L146" s="1"/>
      <c r="M146" s="1"/>
      <c r="N146" s="1"/>
      <c r="O146" s="1"/>
      <c r="P146" s="1"/>
      <c r="Q146" s="1"/>
    </row>
    <row r="147">
      <c r="A147" s="63" t="s">
        <v>44</v>
      </c>
      <c r="B147" s="87">
        <v>194.0</v>
      </c>
      <c r="C147" s="87">
        <v>1965.6</v>
      </c>
      <c r="D147" s="14">
        <f t="shared" si="17"/>
        <v>194</v>
      </c>
      <c r="E147" s="14">
        <f t="shared" si="18"/>
        <v>381326.4</v>
      </c>
      <c r="F147" s="14">
        <f>IFERROR(__xludf.DUMMYFUNCTION("GOOGLEFINANCE(CONCAT(""NSE:"",A147))"),1144.0)</f>
        <v>1144</v>
      </c>
      <c r="G147" s="14">
        <f t="shared" si="19"/>
        <v>221936</v>
      </c>
      <c r="H147" s="44">
        <f t="shared" si="20"/>
        <v>-0.417989418</v>
      </c>
      <c r="J147" s="1"/>
      <c r="K147" s="1"/>
      <c r="L147" s="1"/>
      <c r="M147" s="1"/>
      <c r="N147" s="1"/>
      <c r="O147" s="17"/>
      <c r="P147" s="17"/>
    </row>
    <row r="148">
      <c r="A148" s="63" t="s">
        <v>518</v>
      </c>
      <c r="B148" s="87">
        <v>206.0</v>
      </c>
      <c r="C148" s="87">
        <v>2024.6</v>
      </c>
      <c r="D148" s="14">
        <f t="shared" si="17"/>
        <v>206</v>
      </c>
      <c r="E148" s="14">
        <f t="shared" si="18"/>
        <v>417067.6</v>
      </c>
      <c r="F148" s="14">
        <f>IFERROR(__xludf.DUMMYFUNCTION("GOOGLEFINANCE(CONCAT(""NSE:"",A148))"),1836.6)</f>
        <v>1836.6</v>
      </c>
      <c r="G148" s="14">
        <f t="shared" si="19"/>
        <v>378339.6</v>
      </c>
      <c r="H148" s="44">
        <f t="shared" si="20"/>
        <v>-0.09285784846</v>
      </c>
      <c r="J148" s="1"/>
      <c r="K148" s="1"/>
      <c r="L148" s="1"/>
      <c r="M148" s="1"/>
      <c r="N148" s="1"/>
      <c r="O148" s="17"/>
      <c r="P148" s="17"/>
    </row>
    <row r="149">
      <c r="A149" s="63" t="s">
        <v>55</v>
      </c>
      <c r="B149" s="87">
        <v>992.0</v>
      </c>
      <c r="C149" s="87">
        <v>772.7</v>
      </c>
      <c r="D149" s="14">
        <f t="shared" si="17"/>
        <v>992</v>
      </c>
      <c r="E149" s="14">
        <f t="shared" si="18"/>
        <v>766518.4</v>
      </c>
      <c r="F149" s="14">
        <f>IFERROR(__xludf.DUMMYFUNCTION("GOOGLEFINANCE(CONCAT(""NSE:"",A149))"),888.05)</f>
        <v>888.05</v>
      </c>
      <c r="G149" s="14">
        <f t="shared" si="19"/>
        <v>880945.6</v>
      </c>
      <c r="H149" s="44">
        <f t="shared" si="20"/>
        <v>0.1492817394</v>
      </c>
      <c r="J149" s="1"/>
      <c r="K149" s="1"/>
      <c r="L149" s="1"/>
      <c r="M149" s="1"/>
      <c r="N149" s="1"/>
      <c r="O149" s="17"/>
      <c r="P149" s="17"/>
    </row>
    <row r="150">
      <c r="A150" s="63" t="s">
        <v>519</v>
      </c>
      <c r="B150" s="87">
        <v>516.0</v>
      </c>
      <c r="C150" s="87">
        <v>804.7</v>
      </c>
      <c r="D150" s="14">
        <f t="shared" si="17"/>
        <v>516</v>
      </c>
      <c r="E150" s="14">
        <f t="shared" si="18"/>
        <v>415225.2</v>
      </c>
      <c r="F150" s="14">
        <f>IFERROR(__xludf.DUMMYFUNCTION("GOOGLEFINANCE(CONCAT(""NSE:"",A150))"),550.75)</f>
        <v>550.75</v>
      </c>
      <c r="G150" s="14">
        <f t="shared" si="19"/>
        <v>284187</v>
      </c>
      <c r="H150" s="44">
        <f t="shared" si="20"/>
        <v>-0.3155834472</v>
      </c>
      <c r="J150" s="1"/>
      <c r="K150" s="1"/>
      <c r="L150" s="1"/>
      <c r="M150" s="1"/>
      <c r="N150" s="1"/>
      <c r="O150" s="17"/>
      <c r="P150" s="17"/>
    </row>
    <row r="151">
      <c r="A151" s="63" t="s">
        <v>456</v>
      </c>
      <c r="B151" s="87">
        <v>1100.0</v>
      </c>
      <c r="C151" s="87">
        <v>440.8</v>
      </c>
      <c r="D151" s="14">
        <f t="shared" si="17"/>
        <v>1100</v>
      </c>
      <c r="E151" s="14">
        <f t="shared" si="18"/>
        <v>484880</v>
      </c>
      <c r="F151" s="14">
        <f>IFERROR(__xludf.DUMMYFUNCTION("GOOGLEFINANCE(CONCAT(""NSE:"",A151))"),351.2)</f>
        <v>351.2</v>
      </c>
      <c r="G151" s="14">
        <f t="shared" si="19"/>
        <v>386320</v>
      </c>
      <c r="H151" s="44">
        <f t="shared" si="20"/>
        <v>-0.2032667877</v>
      </c>
      <c r="J151" s="1"/>
      <c r="K151" s="1"/>
      <c r="L151" s="1"/>
      <c r="M151" s="1"/>
      <c r="N151" s="1"/>
      <c r="O151" s="17"/>
      <c r="P151" s="17"/>
    </row>
    <row r="152">
      <c r="A152" s="63" t="s">
        <v>520</v>
      </c>
      <c r="B152" s="87">
        <v>68.0</v>
      </c>
      <c r="C152" s="87">
        <v>5943.5</v>
      </c>
      <c r="D152" s="14">
        <f t="shared" si="17"/>
        <v>68</v>
      </c>
      <c r="E152" s="14">
        <f t="shared" si="18"/>
        <v>404158</v>
      </c>
      <c r="F152" s="14">
        <f>IFERROR(__xludf.DUMMYFUNCTION("GOOGLEFINANCE(CONCAT(""NSE:"",A152))"),4810.5)</f>
        <v>4810.5</v>
      </c>
      <c r="G152" s="14">
        <f t="shared" si="19"/>
        <v>327114</v>
      </c>
      <c r="H152" s="44">
        <f t="shared" si="20"/>
        <v>-0.1906284176</v>
      </c>
      <c r="J152" s="1"/>
      <c r="K152" s="1"/>
      <c r="L152" s="1"/>
      <c r="M152" s="1"/>
      <c r="N152" s="1"/>
      <c r="O152" s="17"/>
      <c r="P152" s="17"/>
    </row>
    <row r="153">
      <c r="A153" s="63" t="s">
        <v>3</v>
      </c>
      <c r="B153" s="87">
        <v>2076.0</v>
      </c>
      <c r="C153" s="87">
        <v>175.31</v>
      </c>
      <c r="D153" s="14">
        <f t="shared" si="17"/>
        <v>2076</v>
      </c>
      <c r="E153" s="14">
        <f t="shared" si="18"/>
        <v>363943.56</v>
      </c>
      <c r="F153" s="14">
        <f>IFERROR(__xludf.DUMMYFUNCTION("GOOGLEFINANCE(CONCAT(""NSE:"",A153))"),73.82)</f>
        <v>73.82</v>
      </c>
      <c r="G153" s="14">
        <f t="shared" si="19"/>
        <v>153250.32</v>
      </c>
      <c r="H153" s="44">
        <f t="shared" si="20"/>
        <v>-0.5789173464</v>
      </c>
      <c r="J153" s="1"/>
      <c r="K153" s="1"/>
      <c r="L153" s="1"/>
      <c r="M153" s="1"/>
      <c r="N153" s="1"/>
      <c r="O153" s="17"/>
      <c r="P153" s="17"/>
    </row>
    <row r="154">
      <c r="A154" s="63" t="s">
        <v>16</v>
      </c>
      <c r="B154" s="87">
        <v>107.0</v>
      </c>
      <c r="C154" s="87">
        <v>6137.0</v>
      </c>
      <c r="D154" s="14">
        <f t="shared" si="17"/>
        <v>107</v>
      </c>
      <c r="E154" s="14">
        <f t="shared" si="18"/>
        <v>656659</v>
      </c>
      <c r="F154" s="14">
        <f>IFERROR(__xludf.DUMMYFUNCTION("GOOGLEFINANCE(CONCAT(""NSE:"",A154))"),3537.8)</f>
        <v>3537.8</v>
      </c>
      <c r="G154" s="14">
        <f t="shared" si="19"/>
        <v>378544.6</v>
      </c>
      <c r="H154" s="44">
        <f t="shared" si="20"/>
        <v>-0.4235294118</v>
      </c>
      <c r="J154" s="1"/>
      <c r="K154" s="1"/>
      <c r="L154" s="1"/>
      <c r="M154" s="1"/>
      <c r="N154" s="1"/>
      <c r="O154" s="17"/>
      <c r="P154" s="17"/>
    </row>
    <row r="155">
      <c r="A155" s="63" t="s">
        <v>523</v>
      </c>
      <c r="B155" s="87">
        <v>746.0</v>
      </c>
      <c r="C155" s="87">
        <v>1334.55</v>
      </c>
      <c r="D155" s="14">
        <f t="shared" si="17"/>
        <v>746</v>
      </c>
      <c r="E155" s="14">
        <f t="shared" si="18"/>
        <v>995574.3</v>
      </c>
      <c r="F155" s="14">
        <f>IFERROR(__xludf.DUMMYFUNCTION("GOOGLEFINANCE(CONCAT(""NSE:"",A155))"),898.8)</f>
        <v>898.8</v>
      </c>
      <c r="G155" s="14">
        <f t="shared" si="19"/>
        <v>670504.8</v>
      </c>
      <c r="H155" s="44">
        <f t="shared" si="20"/>
        <v>-0.3265145555</v>
      </c>
      <c r="J155" s="1"/>
      <c r="K155" s="1"/>
      <c r="L155" s="1"/>
      <c r="M155" s="1"/>
      <c r="N155" s="1"/>
      <c r="O155" s="17"/>
      <c r="P155" s="17"/>
    </row>
    <row r="156">
      <c r="A156" s="63" t="s">
        <v>72</v>
      </c>
      <c r="B156" s="87">
        <v>233.0</v>
      </c>
      <c r="C156" s="87">
        <v>3257.27</v>
      </c>
      <c r="D156" s="14">
        <f t="shared" si="17"/>
        <v>233</v>
      </c>
      <c r="E156" s="14">
        <f t="shared" si="18"/>
        <v>758943.91</v>
      </c>
      <c r="F156" s="14">
        <f>IFERROR(__xludf.DUMMYFUNCTION("GOOGLEFINANCE(CONCAT(""NSE:"",A156))"),2203.2)</f>
        <v>2203.2</v>
      </c>
      <c r="G156" s="14">
        <f t="shared" si="19"/>
        <v>513345.6</v>
      </c>
      <c r="H156" s="44">
        <f t="shared" si="20"/>
        <v>-0.3236053505</v>
      </c>
      <c r="J156" s="1"/>
      <c r="K156" s="1"/>
      <c r="L156" s="1"/>
      <c r="M156" s="1"/>
      <c r="N156" s="1"/>
      <c r="O156" s="17"/>
      <c r="P156" s="17"/>
    </row>
    <row r="157">
      <c r="A157" s="63" t="s">
        <v>462</v>
      </c>
      <c r="B157" s="87">
        <v>407.0</v>
      </c>
      <c r="C157" s="87">
        <v>1649.81</v>
      </c>
      <c r="D157" s="14">
        <f t="shared" si="17"/>
        <v>407</v>
      </c>
      <c r="E157" s="14">
        <f t="shared" si="18"/>
        <v>671472.67</v>
      </c>
      <c r="F157" s="14">
        <f>IFERROR(__xludf.DUMMYFUNCTION("GOOGLEFINANCE(CONCAT(""NSE:"",A157))"),1531.1)</f>
        <v>1531.1</v>
      </c>
      <c r="G157" s="14">
        <f t="shared" si="19"/>
        <v>623157.7</v>
      </c>
      <c r="H157" s="44">
        <f t="shared" si="20"/>
        <v>-0.07195374013</v>
      </c>
      <c r="J157" s="1"/>
      <c r="K157" s="1"/>
      <c r="L157" s="1"/>
      <c r="M157" s="1"/>
      <c r="N157" s="1"/>
      <c r="O157" s="17"/>
      <c r="P157" s="17"/>
    </row>
    <row r="158">
      <c r="A158" s="63" t="s">
        <v>409</v>
      </c>
      <c r="B158" s="87">
        <v>2991.0</v>
      </c>
      <c r="C158" s="87">
        <v>120.05</v>
      </c>
      <c r="D158" s="14">
        <f t="shared" si="17"/>
        <v>2991</v>
      </c>
      <c r="E158" s="14">
        <f t="shared" si="18"/>
        <v>359069.55</v>
      </c>
      <c r="F158" s="14">
        <f>IFERROR(__xludf.DUMMYFUNCTION("GOOGLEFINANCE(CONCAT(""NSE:"",A158))"),81.75)</f>
        <v>81.75</v>
      </c>
      <c r="G158" s="14">
        <f t="shared" si="19"/>
        <v>244514.25</v>
      </c>
      <c r="H158" s="44">
        <f t="shared" si="20"/>
        <v>-0.3190337359</v>
      </c>
      <c r="J158" s="1"/>
      <c r="K158" s="1"/>
      <c r="L158" s="1"/>
      <c r="M158" s="1"/>
      <c r="N158" s="1"/>
      <c r="O158" s="17"/>
      <c r="P158" s="17"/>
    </row>
    <row r="159">
      <c r="A159" s="63" t="s">
        <v>476</v>
      </c>
      <c r="B159" s="87">
        <v>303.0</v>
      </c>
      <c r="C159" s="87">
        <v>1152.0</v>
      </c>
      <c r="D159" s="14">
        <f t="shared" si="17"/>
        <v>303</v>
      </c>
      <c r="E159" s="14">
        <f t="shared" si="18"/>
        <v>349056</v>
      </c>
      <c r="F159" s="14" t="str">
        <f>IFERROR(__xludf.DUMMYFUNCTION("GOOGLEFINANCE(CONCAT(""NSE:"",A159))"),"#N/A")</f>
        <v>#N/A</v>
      </c>
      <c r="G159" s="14" t="str">
        <f t="shared" si="19"/>
        <v>#N/A</v>
      </c>
      <c r="H159" s="44" t="str">
        <f t="shared" si="20"/>
        <v>#N/A</v>
      </c>
      <c r="J159" s="1"/>
      <c r="K159" s="1"/>
      <c r="L159" s="1"/>
      <c r="M159" s="1"/>
      <c r="N159" s="1"/>
      <c r="O159" s="17"/>
      <c r="P159" s="17"/>
    </row>
    <row r="160">
      <c r="A160" s="63" t="s">
        <v>392</v>
      </c>
      <c r="B160" s="87">
        <v>1453.0</v>
      </c>
      <c r="C160" s="87">
        <v>743.35</v>
      </c>
      <c r="D160" s="14">
        <f t="shared" si="17"/>
        <v>1453</v>
      </c>
      <c r="E160" s="14">
        <f t="shared" si="18"/>
        <v>1080087.55</v>
      </c>
      <c r="F160" s="14">
        <f>IFERROR(__xludf.DUMMYFUNCTION("GOOGLEFINANCE(CONCAT(""NSE:"",A160))"),527.8)</f>
        <v>527.8</v>
      </c>
      <c r="G160" s="14">
        <f t="shared" si="19"/>
        <v>766893.4</v>
      </c>
      <c r="H160" s="44">
        <f t="shared" si="20"/>
        <v>-0.2899710769</v>
      </c>
      <c r="J160" s="1"/>
      <c r="K160" s="1"/>
      <c r="L160" s="1"/>
      <c r="M160" s="1"/>
      <c r="N160" s="1"/>
      <c r="O160" s="17"/>
      <c r="P160" s="17"/>
    </row>
    <row r="161">
      <c r="A161" s="63" t="s">
        <v>524</v>
      </c>
      <c r="B161" s="87">
        <v>2197.0</v>
      </c>
      <c r="C161" s="87">
        <v>204.39</v>
      </c>
      <c r="D161" s="14">
        <f t="shared" si="17"/>
        <v>2197</v>
      </c>
      <c r="E161" s="14">
        <f t="shared" si="18"/>
        <v>449044.83</v>
      </c>
      <c r="F161" s="14">
        <f>IFERROR(__xludf.DUMMYFUNCTION("GOOGLEFINANCE(CONCAT(""NSE:"",A161))"),203.27)</f>
        <v>203.27</v>
      </c>
      <c r="G161" s="14">
        <f t="shared" si="19"/>
        <v>446584.19</v>
      </c>
      <c r="H161" s="44">
        <f t="shared" si="20"/>
        <v>-0.005479720143</v>
      </c>
      <c r="J161" s="1"/>
      <c r="K161" s="1"/>
      <c r="L161" s="1"/>
      <c r="M161" s="1"/>
      <c r="N161" s="1"/>
      <c r="O161" s="17"/>
      <c r="P161" s="17"/>
    </row>
    <row r="162">
      <c r="A162" s="63" t="s">
        <v>468</v>
      </c>
      <c r="B162" s="87">
        <v>47.0</v>
      </c>
      <c r="C162" s="87">
        <v>17043.0</v>
      </c>
      <c r="D162" s="14">
        <f t="shared" si="17"/>
        <v>47</v>
      </c>
      <c r="E162" s="14">
        <f t="shared" si="18"/>
        <v>801021</v>
      </c>
      <c r="F162" s="14">
        <f>IFERROR(__xludf.DUMMYFUNCTION("GOOGLEFINANCE(CONCAT(""NSE:"",A162))"),18950.0)</f>
        <v>18950</v>
      </c>
      <c r="G162" s="14">
        <f t="shared" si="19"/>
        <v>890650</v>
      </c>
      <c r="H162" s="44">
        <f t="shared" si="20"/>
        <v>0.111893446</v>
      </c>
      <c r="J162" s="1"/>
      <c r="K162" s="1"/>
      <c r="L162" s="1"/>
      <c r="M162" s="1"/>
      <c r="N162" s="1"/>
      <c r="O162" s="17"/>
      <c r="P162" s="17"/>
    </row>
    <row r="163">
      <c r="A163" s="63" t="s">
        <v>525</v>
      </c>
      <c r="B163" s="87">
        <v>113.0</v>
      </c>
      <c r="C163" s="87">
        <v>3204.6</v>
      </c>
      <c r="D163" s="14">
        <f t="shared" si="17"/>
        <v>113</v>
      </c>
      <c r="E163" s="14">
        <f t="shared" si="18"/>
        <v>362119.8</v>
      </c>
      <c r="F163" s="14">
        <f>IFERROR(__xludf.DUMMYFUNCTION("GOOGLEFINANCE(CONCAT(""NSE:"",A163))"),2532.0)</f>
        <v>2532</v>
      </c>
      <c r="G163" s="14">
        <f t="shared" si="19"/>
        <v>286116</v>
      </c>
      <c r="H163" s="44">
        <f t="shared" si="20"/>
        <v>-0.2098857892</v>
      </c>
      <c r="J163" s="1"/>
      <c r="K163" s="1"/>
      <c r="L163" s="1"/>
      <c r="M163" s="1"/>
      <c r="N163" s="1"/>
      <c r="O163" s="17"/>
      <c r="P163" s="17"/>
    </row>
    <row r="164">
      <c r="G164" s="14" t="str">
        <f>SUM(G134:G163)</f>
        <v>#N/A</v>
      </c>
      <c r="J164" s="1"/>
      <c r="K164" s="1"/>
      <c r="L164" s="1"/>
      <c r="M164" s="1"/>
      <c r="N164" s="1"/>
      <c r="O164" s="17"/>
      <c r="P164" s="17"/>
    </row>
    <row r="166">
      <c r="A166" s="60">
        <v>45749.0</v>
      </c>
      <c r="B166" s="39" t="s">
        <v>300</v>
      </c>
      <c r="C166" s="39" t="s">
        <v>308</v>
      </c>
      <c r="D166" s="40" t="s">
        <v>302</v>
      </c>
      <c r="E166" s="40" t="s">
        <v>303</v>
      </c>
      <c r="F166" s="40" t="s">
        <v>304</v>
      </c>
      <c r="G166" s="40" t="s">
        <v>305</v>
      </c>
      <c r="H166" s="40" t="s">
        <v>306</v>
      </c>
      <c r="K166" s="1"/>
      <c r="L166" s="1"/>
      <c r="M166" s="1"/>
      <c r="N166" s="1"/>
      <c r="O166" s="17"/>
    </row>
    <row r="167">
      <c r="A167" s="63" t="s">
        <v>57</v>
      </c>
      <c r="B167" s="87">
        <v>2449.0</v>
      </c>
      <c r="C167" s="87">
        <v>276.25</v>
      </c>
      <c r="D167" s="87">
        <v>2449.0</v>
      </c>
      <c r="E167" s="11">
        <f t="shared" ref="E167:E186" si="21">C167*B167</f>
        <v>676536.25</v>
      </c>
      <c r="F167" s="93">
        <f>IFERROR(__xludf.DUMMYFUNCTION("GOOGLEFINANCE(CONCATENATE(""NSE:"",  A167))"),392.8)</f>
        <v>392.8</v>
      </c>
      <c r="G167" s="11">
        <f t="shared" ref="G167:G186" si="22">F167*D167</f>
        <v>961967.2</v>
      </c>
      <c r="H167" s="94">
        <f t="shared" ref="H167:H186" si="23">(G167-E167)/E167</f>
        <v>0.4219004525</v>
      </c>
      <c r="J167" s="1"/>
      <c r="K167" s="1"/>
      <c r="L167" s="1"/>
      <c r="M167" s="1"/>
      <c r="N167" s="1"/>
      <c r="O167" s="17"/>
    </row>
    <row r="168">
      <c r="A168" s="63" t="s">
        <v>46</v>
      </c>
      <c r="B168" s="87">
        <v>261.0</v>
      </c>
      <c r="C168" s="87">
        <v>5528.4</v>
      </c>
      <c r="D168" s="87">
        <f>3*261</f>
        <v>783</v>
      </c>
      <c r="E168" s="11">
        <f t="shared" si="21"/>
        <v>1442912.4</v>
      </c>
      <c r="F168" s="93">
        <f>IFERROR(__xludf.DUMMYFUNCTION("GOOGLEFINANCE(CONCATENATE(""NSE:"",  A168))"),3271.6)</f>
        <v>3271.6</v>
      </c>
      <c r="G168" s="11">
        <f t="shared" si="22"/>
        <v>2561662.8</v>
      </c>
      <c r="H168" s="94">
        <f t="shared" si="23"/>
        <v>0.7753418711</v>
      </c>
      <c r="J168" s="1"/>
      <c r="K168" s="1"/>
      <c r="L168" s="1"/>
      <c r="M168" s="1"/>
      <c r="N168" s="1"/>
      <c r="O168" s="17"/>
    </row>
    <row r="169">
      <c r="A169" s="63" t="s">
        <v>514</v>
      </c>
      <c r="B169" s="87">
        <v>536.0</v>
      </c>
      <c r="C169" s="87">
        <v>1209.35</v>
      </c>
      <c r="D169" s="87">
        <v>536.0</v>
      </c>
      <c r="E169" s="11">
        <f t="shared" si="21"/>
        <v>648211.6</v>
      </c>
      <c r="F169" s="93">
        <f>IFERROR(__xludf.DUMMYFUNCTION("GOOGLEFINANCE(CONCATENATE(""NSE:"",  A169))"),1345.0)</f>
        <v>1345</v>
      </c>
      <c r="G169" s="11">
        <f t="shared" si="22"/>
        <v>720920</v>
      </c>
      <c r="H169" s="94">
        <f t="shared" si="23"/>
        <v>0.1121676934</v>
      </c>
      <c r="J169" s="1"/>
      <c r="K169" s="1"/>
      <c r="L169" s="1"/>
      <c r="M169" s="1"/>
      <c r="N169" s="1"/>
      <c r="O169" s="17"/>
    </row>
    <row r="170">
      <c r="A170" s="63" t="s">
        <v>63</v>
      </c>
      <c r="B170" s="87">
        <v>1746.0</v>
      </c>
      <c r="C170" s="87">
        <v>622.75</v>
      </c>
      <c r="D170" s="87">
        <v>1746.0</v>
      </c>
      <c r="E170" s="11">
        <f t="shared" si="21"/>
        <v>1087321.5</v>
      </c>
      <c r="F170" s="93">
        <f>IFERROR(__xludf.DUMMYFUNCTION("GOOGLEFINANCE(CONCATENATE(""NSE:"",  A170))"),413.75)</f>
        <v>413.75</v>
      </c>
      <c r="G170" s="11">
        <f t="shared" si="22"/>
        <v>722407.5</v>
      </c>
      <c r="H170" s="94">
        <f t="shared" si="23"/>
        <v>-0.3356081895</v>
      </c>
      <c r="J170" s="1"/>
      <c r="K170" s="1"/>
      <c r="L170" s="1"/>
      <c r="M170" s="1"/>
      <c r="N170" s="1"/>
      <c r="O170" s="17"/>
    </row>
    <row r="171">
      <c r="A171" s="63" t="s">
        <v>344</v>
      </c>
      <c r="B171" s="87">
        <v>87.0</v>
      </c>
      <c r="C171" s="87">
        <v>7684.1</v>
      </c>
      <c r="D171" s="87">
        <f>5*87</f>
        <v>435</v>
      </c>
      <c r="E171" s="11">
        <f t="shared" si="21"/>
        <v>668516.7</v>
      </c>
      <c r="F171" s="93">
        <f>IFERROR(__xludf.DUMMYFUNCTION("GOOGLEFINANCE(CONCATENATE(""NSE:"",  A171))"),1773.7)</f>
        <v>1773.7</v>
      </c>
      <c r="G171" s="11">
        <f t="shared" si="22"/>
        <v>771559.5</v>
      </c>
      <c r="H171" s="94">
        <f t="shared" si="23"/>
        <v>0.1541364636</v>
      </c>
      <c r="J171" s="1"/>
      <c r="K171" s="1"/>
      <c r="L171" s="1"/>
      <c r="M171" s="1"/>
      <c r="N171" s="1"/>
      <c r="O171" s="17"/>
    </row>
    <row r="172">
      <c r="A172" s="63" t="s">
        <v>458</v>
      </c>
      <c r="B172" s="87">
        <v>142.0</v>
      </c>
      <c r="C172" s="87">
        <v>5595.44</v>
      </c>
      <c r="D172" s="87">
        <v>142.0</v>
      </c>
      <c r="E172" s="11">
        <f t="shared" si="21"/>
        <v>794552.48</v>
      </c>
      <c r="F172" s="93">
        <f>IFERROR(__xludf.DUMMYFUNCTION("GOOGLEFINANCE(CONCATENATE(""NSE:"",  A172))"),9269.0)</f>
        <v>9269</v>
      </c>
      <c r="G172" s="11">
        <f t="shared" si="22"/>
        <v>1316198</v>
      </c>
      <c r="H172" s="94">
        <f t="shared" si="23"/>
        <v>0.6565274581</v>
      </c>
      <c r="J172" s="1"/>
      <c r="K172" s="1"/>
      <c r="L172" s="1"/>
      <c r="M172" s="1"/>
      <c r="N172" s="1"/>
      <c r="O172" s="17"/>
    </row>
    <row r="173">
      <c r="A173" s="63" t="s">
        <v>71</v>
      </c>
      <c r="B173" s="87">
        <v>497.0</v>
      </c>
      <c r="C173" s="87">
        <v>1499.05</v>
      </c>
      <c r="D173" s="87">
        <v>497.0</v>
      </c>
      <c r="E173" s="11">
        <f t="shared" si="21"/>
        <v>745027.85</v>
      </c>
      <c r="F173" s="93">
        <f>IFERROR(__xludf.DUMMYFUNCTION("GOOGLEFINANCE(CONCATENATE(""NSE:"",  A173))"),2394.4)</f>
        <v>2394.4</v>
      </c>
      <c r="G173" s="11">
        <f t="shared" si="22"/>
        <v>1190016.8</v>
      </c>
      <c r="H173" s="94">
        <f t="shared" si="23"/>
        <v>0.5972782762</v>
      </c>
      <c r="J173" s="1"/>
      <c r="K173" s="1"/>
      <c r="L173" s="1"/>
      <c r="M173" s="1"/>
      <c r="N173" s="1"/>
      <c r="O173" s="17"/>
    </row>
    <row r="174">
      <c r="A174" s="63" t="s">
        <v>528</v>
      </c>
      <c r="B174" s="87">
        <v>2074.0</v>
      </c>
      <c r="C174" s="87">
        <v>449.25</v>
      </c>
      <c r="D174" s="87">
        <v>2074.0</v>
      </c>
      <c r="E174" s="11">
        <f t="shared" si="21"/>
        <v>931744.5</v>
      </c>
      <c r="F174" s="93">
        <f>IFERROR(__xludf.DUMMYFUNCTION("GOOGLEFINANCE(CONCATENATE(""NSE:"",  A174))"),569.5)</f>
        <v>569.5</v>
      </c>
      <c r="G174" s="11">
        <f t="shared" si="22"/>
        <v>1181143</v>
      </c>
      <c r="H174" s="94">
        <f t="shared" si="23"/>
        <v>0.2676683361</v>
      </c>
      <c r="J174" s="1"/>
      <c r="K174" s="1"/>
      <c r="L174" s="1"/>
      <c r="M174" s="1"/>
      <c r="N174" s="1"/>
      <c r="O174" s="17"/>
    </row>
    <row r="175">
      <c r="A175" s="63" t="s">
        <v>529</v>
      </c>
      <c r="B175" s="87">
        <v>817.0</v>
      </c>
      <c r="C175" s="87">
        <v>678.71</v>
      </c>
      <c r="D175" s="87">
        <v>817.0</v>
      </c>
      <c r="E175" s="11">
        <f t="shared" si="21"/>
        <v>554506.07</v>
      </c>
      <c r="F175" s="93">
        <f>IFERROR(__xludf.DUMMYFUNCTION("GOOGLEFINANCE(CONCATENATE(""NSE:"",  A175))"),482.35)</f>
        <v>482.35</v>
      </c>
      <c r="G175" s="11">
        <f t="shared" si="22"/>
        <v>394079.95</v>
      </c>
      <c r="H175" s="94">
        <f t="shared" si="23"/>
        <v>-0.2893135507</v>
      </c>
      <c r="J175" s="1"/>
      <c r="K175" s="1"/>
      <c r="L175" s="1"/>
      <c r="M175" s="1"/>
      <c r="N175" s="1"/>
      <c r="O175" s="17"/>
    </row>
    <row r="176">
      <c r="A176" s="63" t="s">
        <v>81</v>
      </c>
      <c r="B176" s="87">
        <v>1146.0</v>
      </c>
      <c r="C176" s="87">
        <v>600.07</v>
      </c>
      <c r="D176" s="87">
        <v>1146.0</v>
      </c>
      <c r="E176" s="11">
        <f t="shared" si="21"/>
        <v>687680.22</v>
      </c>
      <c r="F176" s="93">
        <f>IFERROR(__xludf.DUMMYFUNCTION("GOOGLEFINANCE(CONCATENATE(""NSE:"",  A176))"),1944.7)</f>
        <v>1944.7</v>
      </c>
      <c r="G176" s="11">
        <f t="shared" si="22"/>
        <v>2228626.2</v>
      </c>
      <c r="H176" s="94">
        <f t="shared" si="23"/>
        <v>2.240788575</v>
      </c>
      <c r="J176" s="1"/>
      <c r="K176" s="1"/>
      <c r="L176" s="1"/>
      <c r="M176" s="1"/>
      <c r="N176" s="1"/>
      <c r="O176" s="17"/>
    </row>
    <row r="177">
      <c r="A177" s="63" t="s">
        <v>83</v>
      </c>
      <c r="B177" s="87">
        <v>2297.0</v>
      </c>
      <c r="C177" s="87">
        <v>232.62</v>
      </c>
      <c r="D177" s="87">
        <v>2297.0</v>
      </c>
      <c r="E177" s="11">
        <f t="shared" si="21"/>
        <v>534328.14</v>
      </c>
      <c r="F177" s="93">
        <f>IFERROR(__xludf.DUMMYFUNCTION("GOOGLEFINANCE(CONCATENATE(""NSE:"",  A177))"),317.0)</f>
        <v>317</v>
      </c>
      <c r="G177" s="11">
        <f t="shared" si="22"/>
        <v>728149</v>
      </c>
      <c r="H177" s="94">
        <f t="shared" si="23"/>
        <v>0.3627375118</v>
      </c>
      <c r="J177" s="1"/>
      <c r="K177" s="1"/>
      <c r="L177" s="1"/>
      <c r="M177" s="1"/>
      <c r="N177" s="1"/>
      <c r="O177" s="17"/>
    </row>
    <row r="178">
      <c r="A178" s="63" t="s">
        <v>86</v>
      </c>
      <c r="B178" s="87">
        <v>141.0</v>
      </c>
      <c r="C178" s="87">
        <v>5320.15</v>
      </c>
      <c r="D178" s="87">
        <v>141.0</v>
      </c>
      <c r="E178" s="11">
        <f t="shared" si="21"/>
        <v>750141.15</v>
      </c>
      <c r="F178" s="93">
        <f>IFERROR(__xludf.DUMMYFUNCTION("GOOGLEFINANCE(CONCATENATE(""NSE:"",  A178))"),3290.8)</f>
        <v>3290.8</v>
      </c>
      <c r="G178" s="11">
        <f t="shared" si="22"/>
        <v>464002.8</v>
      </c>
      <c r="H178" s="94">
        <f t="shared" si="23"/>
        <v>-0.3814460119</v>
      </c>
      <c r="J178" s="1"/>
      <c r="K178" s="1"/>
      <c r="L178" s="1"/>
      <c r="M178" s="1"/>
      <c r="N178" s="1"/>
      <c r="O178" s="17"/>
    </row>
    <row r="179">
      <c r="A179" s="63" t="s">
        <v>84</v>
      </c>
      <c r="B179" s="87">
        <v>339.0</v>
      </c>
      <c r="C179" s="87">
        <v>2318.52</v>
      </c>
      <c r="D179" s="87">
        <v>339.0</v>
      </c>
      <c r="E179" s="11">
        <f t="shared" si="21"/>
        <v>785978.28</v>
      </c>
      <c r="F179" s="93">
        <f>IFERROR(__xludf.DUMMYFUNCTION("GOOGLEFINANCE(CONCATENATE(""NSE:"",  A179))"),2752.2)</f>
        <v>2752.2</v>
      </c>
      <c r="G179" s="11">
        <f t="shared" si="22"/>
        <v>932995.8</v>
      </c>
      <c r="H179" s="94">
        <f t="shared" si="23"/>
        <v>0.1870503597</v>
      </c>
      <c r="J179" s="1"/>
      <c r="K179" s="1"/>
      <c r="L179" s="1"/>
      <c r="M179" s="1"/>
      <c r="N179" s="1"/>
      <c r="O179" s="17"/>
    </row>
    <row r="180">
      <c r="A180" s="63" t="s">
        <v>75</v>
      </c>
      <c r="B180" s="87">
        <v>1562.0</v>
      </c>
      <c r="C180" s="87">
        <v>802.0</v>
      </c>
      <c r="D180" s="87">
        <v>1562.0</v>
      </c>
      <c r="E180" s="11">
        <f t="shared" si="21"/>
        <v>1252724</v>
      </c>
      <c r="F180" s="93">
        <f>IFERROR(__xludf.DUMMYFUNCTION("GOOGLEFINANCE(CONCATENATE(""NSE:"",  A180))"),1761.4)</f>
        <v>1761.4</v>
      </c>
      <c r="G180" s="11">
        <f t="shared" si="22"/>
        <v>2751306.8</v>
      </c>
      <c r="H180" s="94">
        <f t="shared" si="23"/>
        <v>1.196259352</v>
      </c>
      <c r="J180" s="1"/>
      <c r="K180" s="1"/>
      <c r="L180" s="1"/>
      <c r="M180" s="1"/>
      <c r="N180" s="1"/>
      <c r="O180" s="17"/>
    </row>
    <row r="181">
      <c r="A181" s="63" t="s">
        <v>455</v>
      </c>
      <c r="B181" s="87">
        <v>107.0</v>
      </c>
      <c r="C181" s="87">
        <v>5237.7</v>
      </c>
      <c r="D181" s="87">
        <v>107.0</v>
      </c>
      <c r="E181" s="11">
        <f t="shared" si="21"/>
        <v>560433.9</v>
      </c>
      <c r="F181" s="93">
        <f>IFERROR(__xludf.DUMMYFUNCTION("GOOGLEFINANCE(CONCATENATE(""NSE:"",  A181))"),5425.5)</f>
        <v>5425.5</v>
      </c>
      <c r="G181" s="11">
        <f t="shared" si="22"/>
        <v>580528.5</v>
      </c>
      <c r="H181" s="94">
        <f t="shared" si="23"/>
        <v>0.03585543273</v>
      </c>
      <c r="J181" s="1"/>
      <c r="K181" s="1"/>
      <c r="L181" s="1"/>
      <c r="M181" s="1"/>
      <c r="N181" s="1"/>
      <c r="O181" s="17"/>
    </row>
    <row r="182">
      <c r="A182" s="63" t="s">
        <v>517</v>
      </c>
      <c r="B182" s="87">
        <v>643.0</v>
      </c>
      <c r="C182" s="87">
        <v>893.6</v>
      </c>
      <c r="D182" s="87">
        <v>643.0</v>
      </c>
      <c r="E182" s="11">
        <f t="shared" si="21"/>
        <v>574584.8</v>
      </c>
      <c r="F182" s="93">
        <f>IFERROR(__xludf.DUMMYFUNCTION("GOOGLEFINANCE(CONCATENATE(""NSE:"",  A182))"),1108.0)</f>
        <v>1108</v>
      </c>
      <c r="G182" s="11">
        <f t="shared" si="22"/>
        <v>712444</v>
      </c>
      <c r="H182" s="94">
        <f t="shared" si="23"/>
        <v>0.2399283796</v>
      </c>
      <c r="J182" s="1"/>
      <c r="K182" s="1"/>
      <c r="L182" s="1"/>
      <c r="M182" s="1"/>
      <c r="N182" s="1"/>
      <c r="O182" s="17"/>
    </row>
    <row r="183">
      <c r="A183" s="63" t="s">
        <v>33</v>
      </c>
      <c r="B183" s="87">
        <v>414.0</v>
      </c>
      <c r="C183" s="87">
        <v>1541.25</v>
      </c>
      <c r="D183" s="87">
        <v>414.0</v>
      </c>
      <c r="E183" s="11">
        <f t="shared" si="21"/>
        <v>638077.5</v>
      </c>
      <c r="F183" s="93">
        <f>IFERROR(__xludf.DUMMYFUNCTION("GOOGLEFINANCE(CONCATENATE(""NSE:"",  A183))"),1763.5)</f>
        <v>1763.5</v>
      </c>
      <c r="G183" s="11">
        <f t="shared" si="22"/>
        <v>730089</v>
      </c>
      <c r="H183" s="94">
        <f t="shared" si="23"/>
        <v>0.1442011354</v>
      </c>
      <c r="J183" s="1"/>
      <c r="K183" s="1"/>
      <c r="L183" s="1"/>
      <c r="M183" s="1"/>
      <c r="N183" s="1"/>
      <c r="O183" s="17"/>
    </row>
    <row r="184">
      <c r="A184" s="63" t="s">
        <v>121</v>
      </c>
      <c r="B184" s="87">
        <v>978.0</v>
      </c>
      <c r="C184" s="87">
        <v>636.9</v>
      </c>
      <c r="D184" s="87">
        <v>978.0</v>
      </c>
      <c r="E184" s="11">
        <f t="shared" si="21"/>
        <v>622888.2</v>
      </c>
      <c r="F184" s="93">
        <f>IFERROR(__xludf.DUMMYFUNCTION("GOOGLEFINANCE(CONCATENATE(""NSE:"",  A184))"),989.1)</f>
        <v>989.1</v>
      </c>
      <c r="G184" s="11">
        <f t="shared" si="22"/>
        <v>967339.8</v>
      </c>
      <c r="H184" s="94">
        <f t="shared" si="23"/>
        <v>0.5529910504</v>
      </c>
      <c r="J184" s="1"/>
      <c r="K184" s="1"/>
      <c r="L184" s="1"/>
      <c r="M184" s="1"/>
      <c r="N184" s="1"/>
      <c r="O184" s="17"/>
    </row>
    <row r="185">
      <c r="A185" s="63" t="s">
        <v>77</v>
      </c>
      <c r="B185" s="87">
        <v>2187.0</v>
      </c>
      <c r="C185" s="87">
        <v>453.8</v>
      </c>
      <c r="D185" s="87">
        <v>2187.0</v>
      </c>
      <c r="E185" s="11">
        <f t="shared" si="21"/>
        <v>992460.6</v>
      </c>
      <c r="F185" s="93">
        <f>IFERROR(__xludf.DUMMYFUNCTION("GOOGLEFINANCE(CONCATENATE(""NSE:"",  A185))"),256.3)</f>
        <v>256.3</v>
      </c>
      <c r="G185" s="11">
        <f t="shared" si="22"/>
        <v>560528.1</v>
      </c>
      <c r="H185" s="94">
        <f t="shared" si="23"/>
        <v>-0.4352137506</v>
      </c>
      <c r="J185" s="1"/>
      <c r="K185" s="1"/>
      <c r="L185" s="1"/>
      <c r="M185" s="1"/>
      <c r="N185" s="1"/>
      <c r="O185" s="17"/>
    </row>
    <row r="186">
      <c r="A186" s="63" t="s">
        <v>14</v>
      </c>
      <c r="B186" s="87">
        <v>76.0</v>
      </c>
      <c r="C186" s="87">
        <v>18190.9</v>
      </c>
      <c r="D186" s="87">
        <v>76.0</v>
      </c>
      <c r="E186" s="11">
        <f t="shared" si="21"/>
        <v>1382508.4</v>
      </c>
      <c r="F186" s="93">
        <f>IFERROR(__xludf.DUMMYFUNCTION("GOOGLEFINANCE(CONCATENATE(""NSE:"",  A186))"),13282.0)</f>
        <v>13282</v>
      </c>
      <c r="G186" s="11">
        <f t="shared" si="22"/>
        <v>1009432</v>
      </c>
      <c r="H186" s="94">
        <f t="shared" si="23"/>
        <v>-0.2698547076</v>
      </c>
      <c r="J186" s="1"/>
      <c r="K186" s="1"/>
      <c r="L186" s="1"/>
      <c r="M186" s="1"/>
      <c r="N186" s="1"/>
      <c r="O186" s="17"/>
    </row>
    <row r="187">
      <c r="E187" s="14">
        <f>SUM(E167:E186)</f>
        <v>16331134.54</v>
      </c>
      <c r="G187" s="11">
        <f>SUM(G167:G186)</f>
        <v>21485396.75</v>
      </c>
    </row>
    <row r="188">
      <c r="A188" s="60">
        <v>45659.0</v>
      </c>
      <c r="B188" s="39" t="s">
        <v>300</v>
      </c>
      <c r="C188" s="39" t="s">
        <v>308</v>
      </c>
    </row>
    <row r="189">
      <c r="A189" s="63" t="s">
        <v>8</v>
      </c>
      <c r="B189" s="87">
        <v>124.0</v>
      </c>
      <c r="C189" s="87">
        <v>12724.95</v>
      </c>
    </row>
    <row r="190">
      <c r="A190" s="63" t="s">
        <v>14</v>
      </c>
      <c r="B190" s="87">
        <v>76.0</v>
      </c>
      <c r="C190" s="87">
        <v>18190.9</v>
      </c>
    </row>
    <row r="191">
      <c r="A191" s="63" t="s">
        <v>33</v>
      </c>
      <c r="B191" s="87">
        <v>627.0</v>
      </c>
      <c r="C191" s="87">
        <v>2188.49</v>
      </c>
    </row>
    <row r="192">
      <c r="A192" s="63" t="s">
        <v>46</v>
      </c>
      <c r="B192" s="87">
        <v>251.0</v>
      </c>
      <c r="C192" s="87">
        <v>5400.83</v>
      </c>
    </row>
    <row r="193">
      <c r="A193" s="63" t="s">
        <v>4</v>
      </c>
      <c r="B193" s="87">
        <v>166.0</v>
      </c>
      <c r="C193" s="87">
        <v>7130.7</v>
      </c>
    </row>
    <row r="194">
      <c r="A194" s="63" t="s">
        <v>24</v>
      </c>
      <c r="B194" s="87">
        <v>4020.0</v>
      </c>
      <c r="C194" s="87">
        <v>277.59</v>
      </c>
    </row>
    <row r="195">
      <c r="A195" s="63" t="s">
        <v>412</v>
      </c>
      <c r="B195" s="87">
        <v>1365.0</v>
      </c>
      <c r="C195" s="87">
        <v>776.2</v>
      </c>
    </row>
    <row r="196">
      <c r="A196" s="63" t="s">
        <v>5</v>
      </c>
      <c r="B196" s="87">
        <v>3901.0</v>
      </c>
      <c r="C196" s="87">
        <v>238.96</v>
      </c>
    </row>
    <row r="197">
      <c r="A197" s="63" t="s">
        <v>514</v>
      </c>
      <c r="B197" s="87">
        <v>523.0</v>
      </c>
      <c r="C197" s="87">
        <v>1782.6</v>
      </c>
    </row>
    <row r="198">
      <c r="A198" s="63" t="s">
        <v>534</v>
      </c>
      <c r="B198" s="87">
        <v>1054.0</v>
      </c>
      <c r="C198" s="87">
        <v>875.52</v>
      </c>
    </row>
    <row r="199">
      <c r="A199" s="63" t="s">
        <v>86</v>
      </c>
      <c r="B199" s="87">
        <v>146.0</v>
      </c>
      <c r="C199" s="87">
        <v>6240.95</v>
      </c>
    </row>
    <row r="200">
      <c r="A200" s="63" t="s">
        <v>535</v>
      </c>
      <c r="B200" s="87">
        <v>179.0</v>
      </c>
      <c r="C200" s="87">
        <v>5100.2</v>
      </c>
    </row>
    <row r="201">
      <c r="A201" s="63" t="s">
        <v>77</v>
      </c>
      <c r="B201" s="87">
        <v>1909.0</v>
      </c>
      <c r="C201" s="87">
        <v>444.3</v>
      </c>
    </row>
    <row r="202">
      <c r="A202" s="63" t="s">
        <v>71</v>
      </c>
      <c r="B202" s="87">
        <v>517.0</v>
      </c>
      <c r="C202" s="87">
        <v>1613.6</v>
      </c>
    </row>
    <row r="203">
      <c r="A203" s="63" t="s">
        <v>75</v>
      </c>
      <c r="B203" s="87">
        <v>834.0</v>
      </c>
      <c r="C203" s="87">
        <v>971.7</v>
      </c>
    </row>
    <row r="204">
      <c r="A204" s="63" t="s">
        <v>450</v>
      </c>
      <c r="B204" s="87">
        <v>437.0</v>
      </c>
      <c r="C204" s="87">
        <v>1833.35</v>
      </c>
    </row>
    <row r="205">
      <c r="A205" s="63" t="s">
        <v>89</v>
      </c>
      <c r="B205" s="87">
        <v>1773.0</v>
      </c>
      <c r="C205" s="87">
        <v>456.09</v>
      </c>
    </row>
    <row r="206">
      <c r="A206" s="63" t="s">
        <v>451</v>
      </c>
      <c r="B206" s="87">
        <v>331.0</v>
      </c>
      <c r="C206" s="87">
        <v>2370.75</v>
      </c>
    </row>
    <row r="207">
      <c r="A207" s="63" t="s">
        <v>455</v>
      </c>
      <c r="B207" s="87">
        <v>118.0</v>
      </c>
      <c r="C207" s="87">
        <v>6459.4</v>
      </c>
    </row>
    <row r="208">
      <c r="A208" s="63" t="s">
        <v>457</v>
      </c>
      <c r="B208" s="87">
        <v>231.0</v>
      </c>
      <c r="C208" s="87">
        <v>3168.1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2" max="2" width="30.14"/>
    <col customWidth="1" min="3" max="3" width="27.14"/>
  </cols>
  <sheetData>
    <row r="1">
      <c r="E1" s="8" t="s">
        <v>353</v>
      </c>
      <c r="F1" s="8" t="s">
        <v>354</v>
      </c>
      <c r="G1" s="8" t="s">
        <v>355</v>
      </c>
      <c r="H1" s="8" t="s">
        <v>356</v>
      </c>
      <c r="I1" s="8" t="s">
        <v>357</v>
      </c>
      <c r="L1" s="8" t="s">
        <v>358</v>
      </c>
      <c r="M1" s="8" t="s">
        <v>359</v>
      </c>
    </row>
    <row r="2">
      <c r="A2" s="96">
        <v>45360.0</v>
      </c>
      <c r="B2" s="8" t="s">
        <v>360</v>
      </c>
      <c r="C2" s="8" t="s">
        <v>361</v>
      </c>
      <c r="D2" s="96">
        <v>45331.0</v>
      </c>
      <c r="E2" s="8">
        <v>1080618.24</v>
      </c>
      <c r="F2" s="8">
        <v>0.0</v>
      </c>
      <c r="G2" s="8">
        <v>-1080618.24</v>
      </c>
    </row>
    <row r="3">
      <c r="A3" s="96">
        <v>45360.0</v>
      </c>
      <c r="B3" s="8" t="s">
        <v>362</v>
      </c>
      <c r="C3" s="8" t="s">
        <v>363</v>
      </c>
      <c r="D3" s="96">
        <v>45331.0</v>
      </c>
      <c r="E3" s="8">
        <v>1.895165542E7</v>
      </c>
      <c r="F3" s="8">
        <v>0.0</v>
      </c>
      <c r="G3" s="8">
        <v>-2.003227366E7</v>
      </c>
      <c r="K3" s="97">
        <v>25278.7</v>
      </c>
      <c r="L3" s="14">
        <f>K3/K3</f>
        <v>1</v>
      </c>
    </row>
    <row r="4">
      <c r="A4" s="8" t="s">
        <v>364</v>
      </c>
      <c r="B4" s="8" t="s">
        <v>362</v>
      </c>
      <c r="C4" s="8" t="s">
        <v>363</v>
      </c>
      <c r="D4" s="8" t="s">
        <v>365</v>
      </c>
      <c r="F4" s="8">
        <v>0.0</v>
      </c>
      <c r="G4" s="8">
        <v>-2.003227366E7</v>
      </c>
      <c r="H4" s="8">
        <v>1.9411044E7</v>
      </c>
      <c r="I4" s="14">
        <f t="shared" ref="I4:I479" si="1">G4+H4</f>
        <v>-621229.66</v>
      </c>
      <c r="K4" s="97">
        <v>24781.1</v>
      </c>
      <c r="L4" s="44">
        <f t="shared" ref="L4:L156" si="2">K4/$K$3</f>
        <v>0.9803154434</v>
      </c>
      <c r="M4" s="44">
        <f t="shared" ref="M4:M156" si="3">-H4/$G$3</f>
        <v>0.9689885596</v>
      </c>
    </row>
    <row r="5">
      <c r="A5" s="8" t="s">
        <v>366</v>
      </c>
      <c r="B5" s="8" t="s">
        <v>362</v>
      </c>
      <c r="C5" s="8" t="s">
        <v>363</v>
      </c>
      <c r="D5" s="8" t="s">
        <v>364</v>
      </c>
      <c r="F5" s="8">
        <v>0.0</v>
      </c>
      <c r="G5" s="8">
        <v>-2.003227366E7</v>
      </c>
      <c r="H5" s="8">
        <v>1.8628512E7</v>
      </c>
      <c r="I5" s="14">
        <f t="shared" si="1"/>
        <v>-1403761.66</v>
      </c>
      <c r="K5" s="97">
        <v>24472.1</v>
      </c>
      <c r="L5" s="44">
        <f t="shared" si="2"/>
        <v>0.9680917136</v>
      </c>
      <c r="M5" s="44">
        <f t="shared" si="3"/>
        <v>0.9299249958</v>
      </c>
    </row>
    <row r="6">
      <c r="A6" s="8" t="s">
        <v>367</v>
      </c>
      <c r="B6" s="8" t="s">
        <v>362</v>
      </c>
      <c r="C6" s="8" t="s">
        <v>363</v>
      </c>
      <c r="D6" s="8" t="s">
        <v>366</v>
      </c>
      <c r="F6" s="8">
        <v>0.0</v>
      </c>
      <c r="G6" s="8">
        <v>-2.003227366E7</v>
      </c>
      <c r="H6" s="8">
        <v>1.8861927E7</v>
      </c>
      <c r="I6" s="14">
        <f t="shared" si="1"/>
        <v>-1170346.66</v>
      </c>
      <c r="K6" s="97">
        <v>24435.5</v>
      </c>
      <c r="L6" s="44">
        <f t="shared" si="2"/>
        <v>0.9666438543</v>
      </c>
      <c r="M6" s="44">
        <f t="shared" si="3"/>
        <v>0.9415769433</v>
      </c>
    </row>
    <row r="7">
      <c r="A7" s="8" t="s">
        <v>368</v>
      </c>
      <c r="B7" s="8" t="s">
        <v>362</v>
      </c>
      <c r="C7" s="8" t="s">
        <v>363</v>
      </c>
      <c r="D7" s="8" t="s">
        <v>367</v>
      </c>
      <c r="F7" s="8">
        <v>0.0</v>
      </c>
      <c r="G7" s="8">
        <v>-2.003227366E7</v>
      </c>
      <c r="H7" s="8">
        <v>1.8716869E7</v>
      </c>
      <c r="I7" s="14">
        <f t="shared" si="1"/>
        <v>-1315404.66</v>
      </c>
      <c r="K7" s="97">
        <v>24399.4</v>
      </c>
      <c r="L7" s="44">
        <f t="shared" si="2"/>
        <v>0.9652157745</v>
      </c>
      <c r="M7" s="44">
        <f t="shared" si="3"/>
        <v>0.9343357283</v>
      </c>
    </row>
    <row r="8">
      <c r="A8" s="8" t="s">
        <v>369</v>
      </c>
      <c r="B8" s="8" t="s">
        <v>362</v>
      </c>
      <c r="C8" s="8" t="s">
        <v>363</v>
      </c>
      <c r="D8" s="8" t="s">
        <v>368</v>
      </c>
      <c r="F8" s="8">
        <v>0.0</v>
      </c>
      <c r="G8" s="8">
        <v>-2.003227366E7</v>
      </c>
      <c r="H8" s="8">
        <v>1.8138954E7</v>
      </c>
      <c r="I8" s="14">
        <f t="shared" si="1"/>
        <v>-1893319.66</v>
      </c>
      <c r="K8" s="97">
        <v>24180.8</v>
      </c>
      <c r="L8" s="44">
        <f t="shared" si="2"/>
        <v>0.956568178</v>
      </c>
      <c r="M8" s="44">
        <f t="shared" si="3"/>
        <v>0.9054865318</v>
      </c>
    </row>
    <row r="9">
      <c r="A9" s="8" t="s">
        <v>370</v>
      </c>
      <c r="B9" s="8" t="s">
        <v>362</v>
      </c>
      <c r="C9" s="8" t="s">
        <v>363</v>
      </c>
      <c r="D9" s="8" t="s">
        <v>369</v>
      </c>
      <c r="F9" s="8">
        <v>0.0</v>
      </c>
      <c r="G9" s="8">
        <v>-2.003227366E7</v>
      </c>
      <c r="H9" s="8">
        <v>1.8834889E7</v>
      </c>
      <c r="I9" s="14">
        <f t="shared" si="1"/>
        <v>-1197384.66</v>
      </c>
      <c r="K9" s="97">
        <v>24339.15</v>
      </c>
      <c r="L9" s="44">
        <f t="shared" si="2"/>
        <v>0.962832345</v>
      </c>
      <c r="M9" s="44">
        <f t="shared" si="3"/>
        <v>0.9402272213</v>
      </c>
    </row>
    <row r="10">
      <c r="A10" s="8" t="s">
        <v>371</v>
      </c>
      <c r="B10" s="8" t="s">
        <v>362</v>
      </c>
      <c r="C10" s="8" t="s">
        <v>363</v>
      </c>
      <c r="D10" s="8" t="s">
        <v>370</v>
      </c>
      <c r="F10" s="8">
        <v>0.0</v>
      </c>
      <c r="G10" s="8">
        <v>-2.003227366E7</v>
      </c>
      <c r="H10" s="8">
        <v>1.910122E7</v>
      </c>
      <c r="I10" s="14">
        <f t="shared" si="1"/>
        <v>-931053.66</v>
      </c>
      <c r="K10" s="97">
        <v>24466.85</v>
      </c>
      <c r="L10" s="44">
        <f t="shared" si="2"/>
        <v>0.9678840288</v>
      </c>
      <c r="M10" s="44">
        <f t="shared" si="3"/>
        <v>0.9535223172</v>
      </c>
    </row>
    <row r="11">
      <c r="A11" s="8" t="s">
        <v>372</v>
      </c>
      <c r="B11" s="8" t="s">
        <v>362</v>
      </c>
      <c r="C11" s="8" t="s">
        <v>363</v>
      </c>
      <c r="D11" s="8" t="s">
        <v>371</v>
      </c>
      <c r="F11" s="8">
        <v>0.0</v>
      </c>
      <c r="G11" s="8">
        <v>-2.003227366E7</v>
      </c>
      <c r="H11" s="8">
        <v>1.910122E7</v>
      </c>
      <c r="I11" s="14">
        <f t="shared" si="1"/>
        <v>-931053.66</v>
      </c>
      <c r="K11" s="97">
        <v>24340.85</v>
      </c>
      <c r="L11" s="44">
        <f t="shared" si="2"/>
        <v>0.9628995953</v>
      </c>
      <c r="M11" s="44">
        <f t="shared" si="3"/>
        <v>0.9535223172</v>
      </c>
    </row>
    <row r="12">
      <c r="A12" s="96">
        <v>45302.0</v>
      </c>
      <c r="B12" s="8" t="s">
        <v>362</v>
      </c>
      <c r="C12" s="8" t="s">
        <v>363</v>
      </c>
      <c r="D12" s="8" t="s">
        <v>372</v>
      </c>
      <c r="F12" s="8">
        <v>0.0</v>
      </c>
      <c r="G12" s="8">
        <v>-2.003227366E7</v>
      </c>
      <c r="H12" s="8">
        <v>1.9236397E7</v>
      </c>
      <c r="I12" s="14">
        <f t="shared" si="1"/>
        <v>-795876.66</v>
      </c>
      <c r="K12" s="97">
        <v>24205.35</v>
      </c>
      <c r="L12" s="44">
        <f t="shared" si="2"/>
        <v>0.9575393513</v>
      </c>
      <c r="M12" s="44">
        <f t="shared" si="3"/>
        <v>0.9602702782</v>
      </c>
    </row>
    <row r="13">
      <c r="A13" s="96">
        <v>45393.0</v>
      </c>
      <c r="B13" s="8" t="s">
        <v>362</v>
      </c>
      <c r="C13" s="8" t="s">
        <v>363</v>
      </c>
      <c r="D13" s="96">
        <v>45302.0</v>
      </c>
      <c r="F13" s="8">
        <v>0.0</v>
      </c>
      <c r="G13" s="8">
        <v>-2.003227366E7</v>
      </c>
      <c r="H13" s="8">
        <v>1.9378649E7</v>
      </c>
      <c r="I13" s="14">
        <f t="shared" si="1"/>
        <v>-653624.66</v>
      </c>
      <c r="K13" s="97">
        <v>24304.35</v>
      </c>
      <c r="L13" s="44">
        <f t="shared" si="2"/>
        <v>0.9614556919</v>
      </c>
      <c r="M13" s="44">
        <f t="shared" si="3"/>
        <v>0.9673714192</v>
      </c>
    </row>
    <row r="14">
      <c r="A14" s="96">
        <v>45423.0</v>
      </c>
      <c r="B14" s="8" t="s">
        <v>362</v>
      </c>
      <c r="C14" s="8" t="s">
        <v>363</v>
      </c>
      <c r="D14" s="96">
        <v>45393.0</v>
      </c>
      <c r="F14" s="8">
        <v>0.0</v>
      </c>
      <c r="G14" s="8">
        <v>-2.003227366E7</v>
      </c>
      <c r="H14" s="8">
        <v>1.9013361E7</v>
      </c>
      <c r="I14" s="14">
        <f t="shared" si="1"/>
        <v>-1018912.66</v>
      </c>
      <c r="K14" s="97">
        <v>23995.35</v>
      </c>
      <c r="L14" s="44">
        <f t="shared" si="2"/>
        <v>0.9492319621</v>
      </c>
      <c r="M14" s="44">
        <f t="shared" si="3"/>
        <v>0.9491364447</v>
      </c>
    </row>
    <row r="15">
      <c r="A15" s="96">
        <v>45454.0</v>
      </c>
      <c r="B15" s="8" t="s">
        <v>362</v>
      </c>
      <c r="C15" s="8" t="s">
        <v>363</v>
      </c>
      <c r="D15" s="96">
        <v>45423.0</v>
      </c>
      <c r="F15" s="8">
        <v>0.0</v>
      </c>
      <c r="G15" s="8">
        <v>-2.003227366E7</v>
      </c>
      <c r="H15" s="8">
        <v>1.9171102E7</v>
      </c>
      <c r="I15" s="14">
        <f t="shared" si="1"/>
        <v>-861171.66</v>
      </c>
      <c r="K15" s="97">
        <v>24213.3</v>
      </c>
      <c r="L15" s="44">
        <f t="shared" si="2"/>
        <v>0.9578538453</v>
      </c>
      <c r="M15" s="44">
        <f t="shared" si="3"/>
        <v>0.957010788</v>
      </c>
    </row>
    <row r="16">
      <c r="A16" s="96">
        <v>45484.0</v>
      </c>
      <c r="B16" s="8" t="s">
        <v>362</v>
      </c>
      <c r="C16" s="8" t="s">
        <v>363</v>
      </c>
      <c r="D16" s="96">
        <v>45454.0</v>
      </c>
      <c r="F16" s="8">
        <v>0.0</v>
      </c>
      <c r="G16" s="8">
        <v>-2.003227366E7</v>
      </c>
      <c r="H16" s="8">
        <v>1.9718329E7</v>
      </c>
      <c r="I16" s="14">
        <f t="shared" si="1"/>
        <v>-313944.66</v>
      </c>
      <c r="K16" s="97">
        <v>24484.05</v>
      </c>
      <c r="L16" s="44">
        <f t="shared" si="2"/>
        <v>0.9685644436</v>
      </c>
      <c r="M16" s="44">
        <f t="shared" si="3"/>
        <v>0.9843280565</v>
      </c>
    </row>
    <row r="17">
      <c r="A17" s="96">
        <v>45515.0</v>
      </c>
      <c r="B17" s="8" t="s">
        <v>362</v>
      </c>
      <c r="C17" s="8" t="s">
        <v>363</v>
      </c>
      <c r="D17" s="96">
        <v>45484.0</v>
      </c>
      <c r="F17" s="8">
        <v>0.0</v>
      </c>
      <c r="G17" s="8">
        <v>-2.003227366E7</v>
      </c>
      <c r="H17" s="8">
        <v>1.9542817E7</v>
      </c>
      <c r="I17" s="14">
        <f t="shared" si="1"/>
        <v>-489456.66</v>
      </c>
      <c r="K17" s="97">
        <v>24199.35</v>
      </c>
      <c r="L17" s="44">
        <f t="shared" si="2"/>
        <v>0.9573019973</v>
      </c>
      <c r="M17" s="44">
        <f t="shared" si="3"/>
        <v>0.9755665948</v>
      </c>
    </row>
    <row r="18">
      <c r="A18" s="96">
        <v>45607.0</v>
      </c>
      <c r="B18" s="8" t="s">
        <v>362</v>
      </c>
      <c r="C18" s="8" t="s">
        <v>363</v>
      </c>
      <c r="D18" s="96">
        <v>45515.0</v>
      </c>
      <c r="F18" s="8">
        <v>0.0</v>
      </c>
      <c r="G18" s="8">
        <v>-2.003227366E7</v>
      </c>
      <c r="H18" s="8">
        <v>1.8955853E7</v>
      </c>
      <c r="I18" s="14">
        <f t="shared" si="1"/>
        <v>-1076420.66</v>
      </c>
      <c r="K18" s="97">
        <v>24148.2</v>
      </c>
      <c r="L18" s="44">
        <f t="shared" si="2"/>
        <v>0.9552785547</v>
      </c>
      <c r="M18" s="44">
        <f t="shared" si="3"/>
        <v>0.9462656772</v>
      </c>
    </row>
    <row r="19">
      <c r="A19" s="96">
        <v>45637.0</v>
      </c>
      <c r="B19" s="8" t="s">
        <v>362</v>
      </c>
      <c r="C19" s="8" t="s">
        <v>363</v>
      </c>
      <c r="D19" s="96">
        <v>45607.0</v>
      </c>
      <c r="F19" s="8">
        <v>0.0</v>
      </c>
      <c r="G19" s="8">
        <v>-2.003227366E7</v>
      </c>
      <c r="H19" s="8">
        <v>1.8862394E7</v>
      </c>
      <c r="I19" s="14">
        <f t="shared" si="1"/>
        <v>-1169879.66</v>
      </c>
      <c r="K19" s="97">
        <v>24141.3</v>
      </c>
      <c r="L19" s="44">
        <f t="shared" si="2"/>
        <v>0.9550055976</v>
      </c>
      <c r="M19" s="44">
        <f t="shared" si="3"/>
        <v>0.9416002557</v>
      </c>
    </row>
    <row r="20">
      <c r="A20" s="8" t="s">
        <v>374</v>
      </c>
      <c r="B20" s="8" t="s">
        <v>362</v>
      </c>
      <c r="C20" s="8" t="s">
        <v>363</v>
      </c>
      <c r="D20" s="96">
        <v>45637.0</v>
      </c>
      <c r="F20" s="8">
        <v>0.0</v>
      </c>
      <c r="G20" s="8">
        <v>-2.003227366E7</v>
      </c>
      <c r="H20" s="8">
        <v>1.8652204E7</v>
      </c>
      <c r="I20" s="14">
        <f t="shared" si="1"/>
        <v>-1380069.66</v>
      </c>
      <c r="K20" s="97">
        <v>23883.45</v>
      </c>
      <c r="L20" s="44">
        <f t="shared" si="2"/>
        <v>0.9448053104</v>
      </c>
      <c r="M20" s="44">
        <f t="shared" si="3"/>
        <v>0.9311076874</v>
      </c>
    </row>
    <row r="21">
      <c r="A21" s="8" t="s">
        <v>376</v>
      </c>
      <c r="B21" s="8" t="s">
        <v>362</v>
      </c>
      <c r="C21" s="8" t="s">
        <v>363</v>
      </c>
      <c r="D21" s="8" t="s">
        <v>374</v>
      </c>
      <c r="F21" s="8">
        <v>0.0</v>
      </c>
      <c r="G21" s="8">
        <v>-2.003227366E7</v>
      </c>
      <c r="H21" s="8">
        <v>1.7914121E7</v>
      </c>
      <c r="I21" s="14">
        <f t="shared" si="1"/>
        <v>-2118152.66</v>
      </c>
      <c r="K21" s="97">
        <v>23559.05</v>
      </c>
      <c r="L21" s="44">
        <f t="shared" si="2"/>
        <v>0.931972372</v>
      </c>
      <c r="M21" s="44">
        <f t="shared" si="3"/>
        <v>0.894262993</v>
      </c>
    </row>
    <row r="22">
      <c r="A22" s="8" t="s">
        <v>377</v>
      </c>
      <c r="B22" s="8" t="s">
        <v>362</v>
      </c>
      <c r="C22" s="8" t="s">
        <v>363</v>
      </c>
      <c r="D22" s="8" t="s">
        <v>376</v>
      </c>
      <c r="F22" s="8">
        <v>0.0</v>
      </c>
      <c r="G22" s="8">
        <v>-2.003227366E7</v>
      </c>
      <c r="H22" s="8">
        <v>1.793433E7</v>
      </c>
      <c r="I22" s="14">
        <f t="shared" si="1"/>
        <v>-2097943.66</v>
      </c>
      <c r="K22" s="97">
        <v>23532.7</v>
      </c>
      <c r="L22" s="44">
        <f t="shared" si="2"/>
        <v>0.9309299924</v>
      </c>
      <c r="M22" s="44">
        <f t="shared" si="3"/>
        <v>0.8952718151</v>
      </c>
    </row>
    <row r="23">
      <c r="A23" s="8" t="s">
        <v>378</v>
      </c>
      <c r="B23" s="8" t="s">
        <v>362</v>
      </c>
      <c r="C23" s="8" t="s">
        <v>363</v>
      </c>
      <c r="D23" s="8" t="s">
        <v>377</v>
      </c>
      <c r="F23" s="8">
        <v>0.0</v>
      </c>
      <c r="G23" s="8">
        <v>-2.003227366E7</v>
      </c>
      <c r="H23" s="8">
        <v>1.7903741E7</v>
      </c>
      <c r="I23" s="14">
        <f t="shared" si="1"/>
        <v>-2128532.66</v>
      </c>
      <c r="K23" s="97">
        <v>23453.8</v>
      </c>
      <c r="L23" s="44">
        <f t="shared" si="2"/>
        <v>0.9278087876</v>
      </c>
      <c r="M23" s="44">
        <f t="shared" si="3"/>
        <v>0.8937448292</v>
      </c>
    </row>
    <row r="24">
      <c r="A24" s="8" t="s">
        <v>380</v>
      </c>
      <c r="B24" s="8" t="s">
        <v>362</v>
      </c>
      <c r="C24" s="8" t="s">
        <v>363</v>
      </c>
      <c r="D24" s="8" t="s">
        <v>378</v>
      </c>
      <c r="F24" s="8">
        <v>0.0</v>
      </c>
      <c r="G24" s="8">
        <v>-2.003227366E7</v>
      </c>
      <c r="H24" s="8">
        <v>1.8236937E7</v>
      </c>
      <c r="I24" s="14">
        <f t="shared" si="1"/>
        <v>-1795336.66</v>
      </c>
      <c r="K24" s="97">
        <v>23518.5</v>
      </c>
      <c r="L24" s="44">
        <f t="shared" si="2"/>
        <v>0.9303682547</v>
      </c>
      <c r="M24" s="44">
        <f t="shared" si="3"/>
        <v>0.9103777888</v>
      </c>
    </row>
    <row r="25">
      <c r="A25" s="8" t="s">
        <v>381</v>
      </c>
      <c r="B25" s="8" t="s">
        <v>362</v>
      </c>
      <c r="C25" s="8" t="s">
        <v>363</v>
      </c>
      <c r="D25" s="8" t="s">
        <v>380</v>
      </c>
      <c r="F25" s="8">
        <v>0.0</v>
      </c>
      <c r="G25" s="8">
        <v>-2.003227366E7</v>
      </c>
      <c r="H25" s="8">
        <v>1.8143354E7</v>
      </c>
      <c r="I25" s="14">
        <f t="shared" si="1"/>
        <v>-1888919.66</v>
      </c>
      <c r="K25" s="97">
        <v>23349.9</v>
      </c>
      <c r="L25" s="44">
        <f t="shared" si="2"/>
        <v>0.9236986079</v>
      </c>
      <c r="M25" s="44">
        <f t="shared" si="3"/>
        <v>0.9057061773</v>
      </c>
    </row>
    <row r="26">
      <c r="A26" s="8" t="s">
        <v>382</v>
      </c>
      <c r="B26" s="8" t="s">
        <v>362</v>
      </c>
      <c r="C26" s="8" t="s">
        <v>363</v>
      </c>
      <c r="D26" s="8" t="s">
        <v>381</v>
      </c>
      <c r="F26" s="8">
        <v>0.0</v>
      </c>
      <c r="G26" s="8">
        <v>-2.003227366E7</v>
      </c>
      <c r="H26" s="8">
        <v>1.8252373E7</v>
      </c>
      <c r="I26" s="14">
        <f t="shared" si="1"/>
        <v>-1779900.66</v>
      </c>
      <c r="K26" s="97">
        <v>23907.25</v>
      </c>
      <c r="L26" s="44">
        <f t="shared" si="2"/>
        <v>0.9457468145</v>
      </c>
      <c r="M26" s="44">
        <f t="shared" si="3"/>
        <v>0.9111483454</v>
      </c>
    </row>
    <row r="27">
      <c r="A27" s="8" t="s">
        <v>383</v>
      </c>
      <c r="B27" s="8" t="s">
        <v>362</v>
      </c>
      <c r="C27" s="8" t="s">
        <v>363</v>
      </c>
      <c r="D27" s="8" t="s">
        <v>382</v>
      </c>
      <c r="F27" s="8">
        <v>0.0</v>
      </c>
      <c r="G27" s="8">
        <v>-2.003227366E7</v>
      </c>
      <c r="H27" s="8">
        <v>1.8252373E7</v>
      </c>
      <c r="I27" s="14">
        <f t="shared" si="1"/>
        <v>-1779900.66</v>
      </c>
      <c r="K27" s="97">
        <v>24221.9</v>
      </c>
      <c r="L27" s="44">
        <f t="shared" si="2"/>
        <v>0.9581940527</v>
      </c>
      <c r="M27" s="44">
        <f t="shared" si="3"/>
        <v>0.9111483454</v>
      </c>
    </row>
    <row r="28">
      <c r="A28" s="8" t="s">
        <v>384</v>
      </c>
      <c r="B28" s="8" t="s">
        <v>362</v>
      </c>
      <c r="C28" s="8" t="s">
        <v>363</v>
      </c>
      <c r="D28" s="8" t="s">
        <v>383</v>
      </c>
      <c r="F28" s="8">
        <v>0.0</v>
      </c>
      <c r="G28" s="8">
        <v>-2.003227366E7</v>
      </c>
      <c r="H28" s="8">
        <v>1.8430398E7</v>
      </c>
      <c r="I28" s="14">
        <f t="shared" si="1"/>
        <v>-1601875.66</v>
      </c>
      <c r="K28" s="97">
        <v>24194.5</v>
      </c>
      <c r="L28" s="44">
        <f t="shared" si="2"/>
        <v>0.9571101362</v>
      </c>
      <c r="M28" s="44">
        <f t="shared" si="3"/>
        <v>0.9200352548</v>
      </c>
    </row>
    <row r="29">
      <c r="A29" s="8" t="s">
        <v>385</v>
      </c>
      <c r="B29" s="8" t="s">
        <v>362</v>
      </c>
      <c r="C29" s="8" t="s">
        <v>363</v>
      </c>
      <c r="D29" s="8" t="s">
        <v>384</v>
      </c>
      <c r="F29" s="8">
        <v>0.0</v>
      </c>
      <c r="G29" s="8">
        <v>-2.003227366E7</v>
      </c>
      <c r="H29" s="8">
        <v>1.8694188E7</v>
      </c>
      <c r="I29" s="14">
        <f t="shared" si="1"/>
        <v>-1338085.66</v>
      </c>
      <c r="K29" s="97">
        <v>24274.9</v>
      </c>
      <c r="L29" s="44">
        <f t="shared" si="2"/>
        <v>0.9602906795</v>
      </c>
      <c r="M29" s="44">
        <f t="shared" si="3"/>
        <v>0.9332035054</v>
      </c>
    </row>
    <row r="30">
      <c r="A30" s="8" t="s">
        <v>387</v>
      </c>
      <c r="B30" s="8" t="s">
        <v>362</v>
      </c>
      <c r="C30" s="8" t="s">
        <v>363</v>
      </c>
      <c r="D30" s="8" t="s">
        <v>385</v>
      </c>
      <c r="F30" s="8">
        <v>0.0</v>
      </c>
      <c r="G30" s="8">
        <v>-2.003227366E7</v>
      </c>
      <c r="H30" s="8">
        <v>1.8898033E7</v>
      </c>
      <c r="I30" s="14">
        <f t="shared" si="1"/>
        <v>-1134240.66</v>
      </c>
      <c r="K30" s="97">
        <v>23914.15</v>
      </c>
      <c r="L30" s="44">
        <f t="shared" si="2"/>
        <v>0.9460197716</v>
      </c>
      <c r="M30" s="44">
        <f t="shared" si="3"/>
        <v>0.9433793348</v>
      </c>
    </row>
    <row r="31">
      <c r="A31" s="96">
        <v>45334.0</v>
      </c>
      <c r="B31" s="8" t="s">
        <v>362</v>
      </c>
      <c r="C31" s="8" t="s">
        <v>363</v>
      </c>
      <c r="D31" s="8" t="s">
        <v>387</v>
      </c>
      <c r="F31" s="8">
        <v>0.0</v>
      </c>
      <c r="G31" s="8">
        <v>-2.003227366E7</v>
      </c>
      <c r="H31" s="8">
        <v>1.8902497E7</v>
      </c>
      <c r="I31" s="14">
        <f t="shared" si="1"/>
        <v>-1129776.66</v>
      </c>
      <c r="K31" s="97">
        <v>24131.1</v>
      </c>
      <c r="L31" s="44">
        <f t="shared" si="2"/>
        <v>0.9546020958</v>
      </c>
      <c r="M31" s="44">
        <f t="shared" si="3"/>
        <v>0.9436021752</v>
      </c>
    </row>
    <row r="32">
      <c r="A32" s="96">
        <v>45363.0</v>
      </c>
      <c r="B32" s="8" t="s">
        <v>362</v>
      </c>
      <c r="C32" s="8" t="s">
        <v>363</v>
      </c>
      <c r="D32" s="96">
        <v>45334.0</v>
      </c>
      <c r="F32" s="8">
        <v>0.0</v>
      </c>
      <c r="G32" s="8">
        <v>-2.003227366E7</v>
      </c>
      <c r="H32" s="8">
        <v>1.909325E7</v>
      </c>
      <c r="I32" s="14">
        <f t="shared" si="1"/>
        <v>-939023.66</v>
      </c>
      <c r="K32" s="97">
        <v>24276.05</v>
      </c>
      <c r="L32" s="44">
        <f t="shared" si="2"/>
        <v>0.9603361724</v>
      </c>
      <c r="M32" s="44">
        <f t="shared" si="3"/>
        <v>0.9531244593</v>
      </c>
    </row>
    <row r="33">
      <c r="A33" s="96">
        <v>45394.0</v>
      </c>
      <c r="B33" s="8" t="s">
        <v>362</v>
      </c>
      <c r="C33" s="8" t="s">
        <v>363</v>
      </c>
      <c r="D33" s="96">
        <v>45363.0</v>
      </c>
      <c r="F33" s="8">
        <v>0.0</v>
      </c>
      <c r="G33" s="8">
        <v>-2.003227366E7</v>
      </c>
      <c r="H33" s="8">
        <v>1.9255787E7</v>
      </c>
      <c r="I33" s="14">
        <f t="shared" si="1"/>
        <v>-776486.66</v>
      </c>
      <c r="K33" s="97">
        <v>24457.15</v>
      </c>
      <c r="L33" s="44">
        <f t="shared" si="2"/>
        <v>0.9675003066</v>
      </c>
      <c r="M33" s="44">
        <f t="shared" si="3"/>
        <v>0.9612382162</v>
      </c>
    </row>
    <row r="34">
      <c r="A34" s="96">
        <v>45424.0</v>
      </c>
      <c r="B34" s="8" t="s">
        <v>362</v>
      </c>
      <c r="C34" s="8" t="s">
        <v>363</v>
      </c>
      <c r="D34" s="96">
        <v>45394.0</v>
      </c>
      <c r="F34" s="8">
        <v>0.0</v>
      </c>
      <c r="G34" s="8">
        <v>-2.003227366E7</v>
      </c>
      <c r="H34" s="8">
        <v>1.94237E7</v>
      </c>
      <c r="I34" s="14">
        <f t="shared" si="1"/>
        <v>-608573.66</v>
      </c>
      <c r="K34" s="97">
        <v>24467.45</v>
      </c>
      <c r="L34" s="44">
        <f t="shared" si="2"/>
        <v>0.9679077642</v>
      </c>
      <c r="M34" s="44">
        <f t="shared" si="3"/>
        <v>0.9696203401</v>
      </c>
    </row>
    <row r="35">
      <c r="A35" s="96">
        <v>45455.0</v>
      </c>
      <c r="B35" s="8" t="s">
        <v>362</v>
      </c>
      <c r="C35" s="8" t="s">
        <v>363</v>
      </c>
      <c r="D35" s="96">
        <v>45424.0</v>
      </c>
      <c r="F35" s="8">
        <v>0.0</v>
      </c>
      <c r="G35" s="8">
        <v>-2.003227366E7</v>
      </c>
      <c r="H35" s="8">
        <v>1.9776143E7</v>
      </c>
      <c r="I35" s="14">
        <f t="shared" si="1"/>
        <v>-256130.66</v>
      </c>
      <c r="K35" s="97">
        <v>24708.4</v>
      </c>
      <c r="L35" s="44">
        <f t="shared" si="2"/>
        <v>0.9774395044</v>
      </c>
      <c r="M35" s="44">
        <f t="shared" si="3"/>
        <v>0.9872140994</v>
      </c>
    </row>
    <row r="36">
      <c r="A36" s="96">
        <v>45547.0</v>
      </c>
      <c r="B36" s="8" t="s">
        <v>389</v>
      </c>
      <c r="C36" s="8" t="s">
        <v>390</v>
      </c>
      <c r="D36" s="96">
        <v>45455.0</v>
      </c>
      <c r="E36" s="8">
        <v>0.0</v>
      </c>
      <c r="F36" s="8">
        <v>1040095.91</v>
      </c>
      <c r="G36" s="8">
        <v>-1.899218047E7</v>
      </c>
      <c r="H36" s="8">
        <v>1.9997329E7</v>
      </c>
      <c r="I36" s="14">
        <f t="shared" si="1"/>
        <v>1005148.53</v>
      </c>
      <c r="K36" s="97">
        <v>24677.8</v>
      </c>
      <c r="L36" s="44">
        <f t="shared" si="2"/>
        <v>0.9762289991</v>
      </c>
      <c r="M36" s="44">
        <f t="shared" si="3"/>
        <v>0.9982555819</v>
      </c>
    </row>
    <row r="37">
      <c r="A37" s="96">
        <v>45547.0</v>
      </c>
      <c r="B37" s="100" t="s">
        <v>391</v>
      </c>
      <c r="C37" s="100" t="s">
        <v>393</v>
      </c>
      <c r="D37" s="96">
        <v>45455.0</v>
      </c>
      <c r="E37" s="101">
        <v>1444239.67</v>
      </c>
      <c r="F37" s="8">
        <v>0.0</v>
      </c>
      <c r="G37" s="8">
        <v>-2.043642014E7</v>
      </c>
      <c r="H37" s="8">
        <v>1.9997329E7</v>
      </c>
      <c r="I37" s="14">
        <f t="shared" si="1"/>
        <v>-439091.14</v>
      </c>
      <c r="K37" s="97">
        <v>24619.0</v>
      </c>
      <c r="L37" s="44">
        <f t="shared" si="2"/>
        <v>0.9739029301</v>
      </c>
      <c r="M37" s="44">
        <f t="shared" si="3"/>
        <v>0.9982555819</v>
      </c>
    </row>
    <row r="38">
      <c r="A38" s="96">
        <v>45577.0</v>
      </c>
      <c r="B38" s="100" t="s">
        <v>391</v>
      </c>
      <c r="C38" s="100" t="s">
        <v>393</v>
      </c>
      <c r="D38" s="96">
        <v>45547.0</v>
      </c>
      <c r="E38" s="101"/>
      <c r="F38" s="8">
        <v>0.0</v>
      </c>
      <c r="G38" s="8">
        <v>-2.043642014E7</v>
      </c>
      <c r="H38" s="8">
        <v>2.0295915E7</v>
      </c>
      <c r="I38" s="14">
        <f t="shared" si="1"/>
        <v>-140505.14</v>
      </c>
      <c r="K38" s="97">
        <v>24610.05</v>
      </c>
      <c r="L38" s="44">
        <f t="shared" si="2"/>
        <v>0.9735488771</v>
      </c>
      <c r="M38" s="44">
        <f t="shared" si="3"/>
        <v>1.01316083</v>
      </c>
    </row>
    <row r="39">
      <c r="A39" s="96">
        <v>45608.0</v>
      </c>
      <c r="B39" s="100" t="s">
        <v>391</v>
      </c>
      <c r="C39" s="100" t="s">
        <v>393</v>
      </c>
      <c r="D39" s="96">
        <v>45577.0</v>
      </c>
      <c r="E39" s="101"/>
      <c r="F39" s="8">
        <v>0.0</v>
      </c>
      <c r="G39" s="8">
        <v>-2.043642014E7</v>
      </c>
      <c r="H39" s="8">
        <v>2.0232458E7</v>
      </c>
      <c r="I39" s="14">
        <f t="shared" si="1"/>
        <v>-203962.14</v>
      </c>
      <c r="K39" s="97">
        <v>24641.8</v>
      </c>
      <c r="L39" s="44">
        <f t="shared" si="2"/>
        <v>0.9748048753</v>
      </c>
      <c r="M39" s="44">
        <f t="shared" si="3"/>
        <v>1.009993091</v>
      </c>
    </row>
    <row r="40">
      <c r="A40" s="96">
        <v>45638.0</v>
      </c>
      <c r="B40" s="100" t="s">
        <v>391</v>
      </c>
      <c r="C40" s="100" t="s">
        <v>393</v>
      </c>
      <c r="D40" s="96">
        <v>45608.0</v>
      </c>
      <c r="E40" s="101"/>
      <c r="F40" s="8">
        <v>0.0</v>
      </c>
      <c r="G40" s="8">
        <v>-2.043642014E7</v>
      </c>
      <c r="H40" s="8">
        <v>2.033409E7</v>
      </c>
      <c r="I40" s="14">
        <f t="shared" si="1"/>
        <v>-102330.14</v>
      </c>
      <c r="K40" s="97">
        <v>24548.7</v>
      </c>
      <c r="L40" s="44">
        <f t="shared" si="2"/>
        <v>0.9711219327</v>
      </c>
      <c r="M40" s="44">
        <f t="shared" si="3"/>
        <v>1.015066504</v>
      </c>
    </row>
    <row r="41">
      <c r="A41" s="8" t="s">
        <v>394</v>
      </c>
      <c r="B41" s="100" t="s">
        <v>391</v>
      </c>
      <c r="C41" s="100" t="s">
        <v>393</v>
      </c>
      <c r="D41" s="96">
        <v>45638.0</v>
      </c>
      <c r="E41" s="101"/>
      <c r="F41" s="8">
        <v>0.0</v>
      </c>
      <c r="G41" s="8">
        <v>-2.043642014E7</v>
      </c>
      <c r="H41" s="8">
        <v>2.0197513E7</v>
      </c>
      <c r="I41" s="14">
        <f t="shared" si="1"/>
        <v>-238907.14</v>
      </c>
      <c r="K41" s="97">
        <v>24768.3</v>
      </c>
      <c r="L41" s="44">
        <f t="shared" si="2"/>
        <v>0.9798090883</v>
      </c>
      <c r="M41" s="44">
        <f t="shared" si="3"/>
        <v>1.008248656</v>
      </c>
    </row>
    <row r="42">
      <c r="A42" s="8" t="s">
        <v>395</v>
      </c>
      <c r="B42" s="100" t="s">
        <v>391</v>
      </c>
      <c r="C42" s="100" t="s">
        <v>393</v>
      </c>
      <c r="D42" s="8" t="s">
        <v>394</v>
      </c>
      <c r="E42" s="101"/>
      <c r="F42" s="8">
        <v>0.0</v>
      </c>
      <c r="G42" s="8">
        <v>-2.043642014E7</v>
      </c>
      <c r="H42" s="8">
        <v>2.0132383E7</v>
      </c>
      <c r="I42" s="14">
        <f t="shared" si="1"/>
        <v>-304037.14</v>
      </c>
      <c r="K42" s="97">
        <v>24668.25</v>
      </c>
      <c r="L42" s="44">
        <f t="shared" si="2"/>
        <v>0.9758512107</v>
      </c>
      <c r="M42" s="44">
        <f t="shared" si="3"/>
        <v>1.004997403</v>
      </c>
    </row>
    <row r="43">
      <c r="A43" s="8" t="s">
        <v>396</v>
      </c>
      <c r="B43" s="100" t="s">
        <v>391</v>
      </c>
      <c r="C43" s="100" t="s">
        <v>393</v>
      </c>
      <c r="D43" s="8" t="s">
        <v>395</v>
      </c>
      <c r="E43" s="101"/>
      <c r="F43" s="8">
        <v>0.0</v>
      </c>
      <c r="G43" s="8">
        <v>-2.043642014E7</v>
      </c>
      <c r="H43" s="8">
        <v>2.0438957E7</v>
      </c>
      <c r="I43" s="14">
        <f t="shared" si="1"/>
        <v>2536.86</v>
      </c>
      <c r="K43" s="97">
        <v>24336.0</v>
      </c>
      <c r="L43" s="44">
        <f t="shared" si="2"/>
        <v>0.9627077342</v>
      </c>
      <c r="M43" s="44">
        <f t="shared" si="3"/>
        <v>1.020301407</v>
      </c>
    </row>
    <row r="44">
      <c r="A44" s="8" t="s">
        <v>397</v>
      </c>
      <c r="B44" s="100" t="s">
        <v>391</v>
      </c>
      <c r="C44" s="100" t="s">
        <v>393</v>
      </c>
      <c r="D44" s="8" t="s">
        <v>396</v>
      </c>
      <c r="E44" s="101"/>
      <c r="F44" s="8">
        <v>0.0</v>
      </c>
      <c r="G44" s="8">
        <v>-2.043642014E7</v>
      </c>
      <c r="H44" s="8">
        <v>2.050921E7</v>
      </c>
      <c r="I44" s="14">
        <f t="shared" si="1"/>
        <v>72789.86</v>
      </c>
      <c r="K44" s="97">
        <v>24198.85</v>
      </c>
      <c r="L44" s="44">
        <f t="shared" si="2"/>
        <v>0.9572822178</v>
      </c>
      <c r="M44" s="44">
        <f t="shared" si="3"/>
        <v>1.023808398</v>
      </c>
    </row>
    <row r="45">
      <c r="A45" s="8" t="s">
        <v>398</v>
      </c>
      <c r="B45" s="100" t="s">
        <v>391</v>
      </c>
      <c r="C45" s="100" t="s">
        <v>393</v>
      </c>
      <c r="D45" s="8" t="s">
        <v>397</v>
      </c>
      <c r="E45" s="101"/>
      <c r="F45" s="8">
        <v>0.0</v>
      </c>
      <c r="G45" s="8">
        <v>-2.043642014E7</v>
      </c>
      <c r="H45" s="8">
        <v>2.0219478E7</v>
      </c>
      <c r="I45" s="14">
        <f t="shared" si="1"/>
        <v>-216942.14</v>
      </c>
      <c r="K45" s="97">
        <v>23951.7</v>
      </c>
      <c r="L45" s="44">
        <f t="shared" si="2"/>
        <v>0.9475052119</v>
      </c>
      <c r="M45" s="44">
        <f t="shared" si="3"/>
        <v>1.009345137</v>
      </c>
    </row>
    <row r="46">
      <c r="A46" s="8" t="s">
        <v>399</v>
      </c>
      <c r="B46" s="100" t="s">
        <v>391</v>
      </c>
      <c r="C46" s="100" t="s">
        <v>393</v>
      </c>
      <c r="D46" s="8" t="s">
        <v>398</v>
      </c>
      <c r="E46" s="101"/>
      <c r="F46" s="8">
        <v>0.0</v>
      </c>
      <c r="G46" s="8">
        <v>-2.043642014E7</v>
      </c>
      <c r="H46" s="8">
        <v>2.0275255E7</v>
      </c>
      <c r="I46" s="14">
        <f t="shared" si="1"/>
        <v>-161165.14</v>
      </c>
      <c r="K46" s="97">
        <v>23587.5</v>
      </c>
      <c r="L46" s="44">
        <f t="shared" si="2"/>
        <v>0.9330978254</v>
      </c>
      <c r="M46" s="44">
        <f t="shared" si="3"/>
        <v>1.012129494</v>
      </c>
    </row>
    <row r="47">
      <c r="A47" s="102">
        <v>45649.0</v>
      </c>
      <c r="B47" s="100" t="s">
        <v>391</v>
      </c>
      <c r="C47" s="100" t="s">
        <v>393</v>
      </c>
      <c r="D47" s="102">
        <v>45646.0</v>
      </c>
      <c r="E47" s="101"/>
      <c r="F47" s="8">
        <v>0.0</v>
      </c>
      <c r="G47" s="8">
        <v>-2.043642014E7</v>
      </c>
      <c r="H47" s="8">
        <v>1.9895764E7</v>
      </c>
      <c r="I47" s="14">
        <f t="shared" si="1"/>
        <v>-540656.14</v>
      </c>
      <c r="K47" s="97">
        <v>23753.45</v>
      </c>
      <c r="L47" s="44">
        <f t="shared" si="2"/>
        <v>0.9396626409</v>
      </c>
      <c r="M47" s="44">
        <f t="shared" si="3"/>
        <v>0.9931855134</v>
      </c>
    </row>
    <row r="48">
      <c r="A48" s="102">
        <v>45650.0</v>
      </c>
      <c r="B48" s="100" t="s">
        <v>391</v>
      </c>
      <c r="C48" s="100" t="s">
        <v>393</v>
      </c>
      <c r="D48" s="102">
        <v>45649.0</v>
      </c>
      <c r="E48" s="101"/>
      <c r="F48" s="8">
        <v>0.0</v>
      </c>
      <c r="G48" s="8">
        <v>-2.043642014E7</v>
      </c>
      <c r="H48" s="8">
        <v>1.9718128E7</v>
      </c>
      <c r="I48" s="14">
        <f t="shared" si="1"/>
        <v>-718292.14</v>
      </c>
      <c r="K48" s="97">
        <v>23727.65</v>
      </c>
      <c r="L48" s="44">
        <f t="shared" si="2"/>
        <v>0.9386420188</v>
      </c>
      <c r="M48" s="44">
        <f t="shared" si="3"/>
        <v>0.9843180227</v>
      </c>
    </row>
    <row r="49">
      <c r="A49" s="102">
        <v>45652.0</v>
      </c>
      <c r="B49" s="100" t="s">
        <v>391</v>
      </c>
      <c r="C49" s="100" t="s">
        <v>393</v>
      </c>
      <c r="D49" s="102">
        <v>45650.0</v>
      </c>
      <c r="E49" s="101"/>
      <c r="F49" s="8">
        <v>0.0</v>
      </c>
      <c r="G49" s="8">
        <v>-2.043642014E7</v>
      </c>
      <c r="H49" s="8">
        <v>1.968167E7</v>
      </c>
      <c r="I49" s="14">
        <f t="shared" si="1"/>
        <v>-754750.14</v>
      </c>
      <c r="K49" s="97">
        <v>23750.2</v>
      </c>
      <c r="L49" s="44">
        <f t="shared" si="2"/>
        <v>0.9395340741</v>
      </c>
      <c r="M49" s="44">
        <f t="shared" si="3"/>
        <v>0.9824980596</v>
      </c>
    </row>
    <row r="50">
      <c r="A50" s="102">
        <v>45653.0</v>
      </c>
      <c r="B50" s="100" t="s">
        <v>391</v>
      </c>
      <c r="C50" s="100" t="s">
        <v>393</v>
      </c>
      <c r="D50" s="102">
        <v>45652.0</v>
      </c>
      <c r="E50" s="101"/>
      <c r="F50" s="8">
        <v>0.0</v>
      </c>
      <c r="G50" s="8">
        <v>-2.043642014E7</v>
      </c>
      <c r="H50" s="8">
        <v>1.9695386E7</v>
      </c>
      <c r="I50" s="14">
        <f t="shared" si="1"/>
        <v>-741034.14</v>
      </c>
      <c r="K50" s="97">
        <v>23813.4</v>
      </c>
      <c r="L50" s="44">
        <f t="shared" si="2"/>
        <v>0.9420342027</v>
      </c>
      <c r="M50" s="44">
        <f t="shared" si="3"/>
        <v>0.9831827547</v>
      </c>
    </row>
    <row r="51">
      <c r="A51" s="102">
        <v>45656.0</v>
      </c>
      <c r="B51" s="100" t="s">
        <v>391</v>
      </c>
      <c r="C51" s="100" t="s">
        <v>393</v>
      </c>
      <c r="D51" s="102">
        <v>45653.0</v>
      </c>
      <c r="E51" s="101"/>
      <c r="F51" s="8">
        <v>0.0</v>
      </c>
      <c r="G51" s="8">
        <v>-2.043642014E7</v>
      </c>
      <c r="H51" s="8">
        <v>1.9711492E7</v>
      </c>
      <c r="I51" s="14">
        <f t="shared" si="1"/>
        <v>-724928.14</v>
      </c>
      <c r="K51" s="97">
        <v>23644.9</v>
      </c>
      <c r="L51" s="44">
        <f t="shared" si="2"/>
        <v>0.9353685118</v>
      </c>
      <c r="M51" s="44">
        <f t="shared" si="3"/>
        <v>0.9839867573</v>
      </c>
    </row>
    <row r="52">
      <c r="A52" s="102">
        <v>45657.0</v>
      </c>
      <c r="B52" s="100" t="s">
        <v>391</v>
      </c>
      <c r="C52" s="100" t="s">
        <v>393</v>
      </c>
      <c r="D52" s="102">
        <v>45656.0</v>
      </c>
      <c r="E52" s="101"/>
      <c r="F52" s="8">
        <v>0.0</v>
      </c>
      <c r="G52" s="8">
        <v>-2.043642014E7</v>
      </c>
      <c r="H52" s="8">
        <v>1.9814514E7</v>
      </c>
      <c r="I52" s="14">
        <f t="shared" si="1"/>
        <v>-621906.14</v>
      </c>
      <c r="K52" s="97">
        <v>23644.8</v>
      </c>
      <c r="L52" s="44">
        <f t="shared" si="2"/>
        <v>0.9353645559</v>
      </c>
      <c r="M52" s="44">
        <f t="shared" si="3"/>
        <v>0.9891295584</v>
      </c>
    </row>
    <row r="53">
      <c r="A53" s="102">
        <v>45658.0</v>
      </c>
      <c r="B53" s="100" t="s">
        <v>391</v>
      </c>
      <c r="C53" s="100" t="s">
        <v>393</v>
      </c>
      <c r="D53" s="102">
        <v>45657.0</v>
      </c>
      <c r="E53" s="101"/>
      <c r="F53" s="8">
        <v>0.0</v>
      </c>
      <c r="G53" s="8">
        <v>-2.043642014E7</v>
      </c>
      <c r="H53" s="8">
        <v>2.0002348E7</v>
      </c>
      <c r="I53" s="14">
        <f t="shared" si="1"/>
        <v>-434072.14</v>
      </c>
      <c r="K53" s="97">
        <v>23742.9</v>
      </c>
      <c r="L53" s="44">
        <f t="shared" si="2"/>
        <v>0.9392452935</v>
      </c>
      <c r="M53" s="44">
        <f t="shared" si="3"/>
        <v>0.9985061276</v>
      </c>
    </row>
    <row r="54">
      <c r="A54" s="102">
        <v>45659.0</v>
      </c>
      <c r="B54" s="100" t="s">
        <v>391</v>
      </c>
      <c r="C54" s="100" t="s">
        <v>393</v>
      </c>
      <c r="D54" s="102">
        <v>45658.0</v>
      </c>
      <c r="E54" s="101"/>
      <c r="F54" s="8">
        <v>0.0</v>
      </c>
      <c r="G54" s="8">
        <v>-2.043642014E7</v>
      </c>
      <c r="H54" s="8">
        <v>2.0215397E7</v>
      </c>
      <c r="I54" s="14">
        <f t="shared" si="1"/>
        <v>-221023.14</v>
      </c>
      <c r="K54" s="97">
        <v>24188.65</v>
      </c>
      <c r="L54" s="44">
        <f t="shared" si="2"/>
        <v>0.9568787161</v>
      </c>
      <c r="M54" s="44">
        <f t="shared" si="3"/>
        <v>1.009141416</v>
      </c>
    </row>
    <row r="55">
      <c r="A55" s="102">
        <v>45660.0</v>
      </c>
      <c r="B55" s="100" t="s">
        <v>391</v>
      </c>
      <c r="C55" s="100" t="s">
        <v>393</v>
      </c>
      <c r="D55" s="102">
        <v>45659.0</v>
      </c>
      <c r="E55" s="101"/>
      <c r="F55" s="8">
        <v>0.0</v>
      </c>
      <c r="G55" s="8">
        <v>-2.043642014E7</v>
      </c>
      <c r="H55" s="8">
        <v>2.0388561E7</v>
      </c>
      <c r="I55" s="14">
        <f t="shared" si="1"/>
        <v>-47859.14</v>
      </c>
      <c r="K55" s="97">
        <v>24004.75</v>
      </c>
      <c r="L55" s="44">
        <f t="shared" si="2"/>
        <v>0.9496038167</v>
      </c>
      <c r="M55" s="44">
        <f t="shared" si="3"/>
        <v>1.017785667</v>
      </c>
    </row>
    <row r="56">
      <c r="A56" s="102">
        <v>45663.0</v>
      </c>
      <c r="B56" s="100" t="s">
        <v>391</v>
      </c>
      <c r="C56" s="100" t="s">
        <v>393</v>
      </c>
      <c r="D56" s="102">
        <v>45660.0</v>
      </c>
      <c r="E56" s="101"/>
      <c r="F56" s="8">
        <v>0.0</v>
      </c>
      <c r="G56" s="8">
        <v>-2.043642014E7</v>
      </c>
      <c r="H56" s="8">
        <v>2.0341983E7</v>
      </c>
      <c r="I56" s="14">
        <f t="shared" si="1"/>
        <v>-94437.14</v>
      </c>
      <c r="K56" s="97">
        <v>23616.05</v>
      </c>
      <c r="L56" s="44">
        <f t="shared" si="2"/>
        <v>0.9342272348</v>
      </c>
      <c r="M56" s="44">
        <f t="shared" si="3"/>
        <v>1.015460519</v>
      </c>
    </row>
    <row r="57">
      <c r="A57" s="102">
        <v>45664.0</v>
      </c>
      <c r="B57" s="100" t="s">
        <v>391</v>
      </c>
      <c r="C57" s="100" t="s">
        <v>393</v>
      </c>
      <c r="D57" s="102">
        <v>45663.0</v>
      </c>
      <c r="E57" s="101"/>
      <c r="F57" s="8">
        <v>0.0</v>
      </c>
      <c r="G57" s="8">
        <v>-2.043642014E7</v>
      </c>
      <c r="H57" s="8">
        <v>1.9522049E7</v>
      </c>
      <c r="I57" s="14">
        <f t="shared" si="1"/>
        <v>-914371.14</v>
      </c>
      <c r="K57" s="97">
        <v>23707.9</v>
      </c>
      <c r="L57" s="44">
        <f t="shared" si="2"/>
        <v>0.9378607286</v>
      </c>
      <c r="M57" s="44">
        <f t="shared" si="3"/>
        <v>0.9745298677</v>
      </c>
    </row>
    <row r="58">
      <c r="A58" s="102">
        <v>45665.0</v>
      </c>
      <c r="B58" s="100" t="s">
        <v>391</v>
      </c>
      <c r="C58" s="100" t="s">
        <v>393</v>
      </c>
      <c r="D58" s="102">
        <v>45664.0</v>
      </c>
      <c r="E58" s="101"/>
      <c r="F58" s="8">
        <v>0.0</v>
      </c>
      <c r="G58" s="8">
        <v>-2.043642014E7</v>
      </c>
      <c r="H58" s="8">
        <v>1.9663037E7</v>
      </c>
      <c r="I58" s="14">
        <f t="shared" si="1"/>
        <v>-773383.14</v>
      </c>
      <c r="K58" s="97">
        <v>23688.95</v>
      </c>
      <c r="L58" s="44">
        <f t="shared" si="2"/>
        <v>0.9371110856</v>
      </c>
      <c r="M58" s="44">
        <f t="shared" si="3"/>
        <v>0.9815679105</v>
      </c>
    </row>
    <row r="59">
      <c r="A59" s="102">
        <v>45666.0</v>
      </c>
      <c r="B59" s="100" t="s">
        <v>391</v>
      </c>
      <c r="C59" s="100" t="s">
        <v>393</v>
      </c>
      <c r="D59" s="102">
        <v>45665.0</v>
      </c>
      <c r="E59" s="101"/>
      <c r="F59" s="8">
        <v>0.0</v>
      </c>
      <c r="G59" s="8">
        <v>-2.043642014E7</v>
      </c>
      <c r="H59" s="8">
        <v>1.9432832E7</v>
      </c>
      <c r="I59" s="14">
        <f t="shared" si="1"/>
        <v>-1003588.14</v>
      </c>
      <c r="K59" s="97">
        <v>23526.5</v>
      </c>
      <c r="L59" s="44">
        <f t="shared" si="2"/>
        <v>0.9306847267</v>
      </c>
      <c r="M59" s="44">
        <f t="shared" si="3"/>
        <v>0.9700762045</v>
      </c>
    </row>
    <row r="60">
      <c r="A60" s="102">
        <v>45667.0</v>
      </c>
      <c r="B60" s="100" t="s">
        <v>391</v>
      </c>
      <c r="C60" s="100" t="s">
        <v>393</v>
      </c>
      <c r="D60" s="102">
        <v>45666.0</v>
      </c>
      <c r="E60" s="101"/>
      <c r="F60" s="8">
        <v>0.0</v>
      </c>
      <c r="G60" s="8">
        <v>-2.043642014E7</v>
      </c>
      <c r="H60" s="8">
        <v>1.8980337E7</v>
      </c>
      <c r="I60" s="14">
        <f t="shared" si="1"/>
        <v>-1456083.14</v>
      </c>
      <c r="K60" s="97">
        <v>23431.5</v>
      </c>
      <c r="L60" s="44">
        <f t="shared" si="2"/>
        <v>0.926926622</v>
      </c>
      <c r="M60" s="44">
        <f t="shared" si="3"/>
        <v>0.9474879049</v>
      </c>
    </row>
    <row r="61">
      <c r="A61" s="102">
        <v>45670.0</v>
      </c>
      <c r="B61" s="100" t="s">
        <v>391</v>
      </c>
      <c r="C61" s="100" t="s">
        <v>393</v>
      </c>
      <c r="D61" s="102">
        <v>45667.0</v>
      </c>
      <c r="E61" s="101"/>
      <c r="F61" s="8">
        <v>0.0</v>
      </c>
      <c r="G61" s="8">
        <v>-2.043642014E7</v>
      </c>
      <c r="H61" s="8">
        <v>1.8471411E7</v>
      </c>
      <c r="I61" s="14">
        <f t="shared" si="1"/>
        <v>-1965009.14</v>
      </c>
      <c r="K61" s="97">
        <v>23085.95</v>
      </c>
      <c r="L61" s="44">
        <f t="shared" si="2"/>
        <v>0.9132570108</v>
      </c>
      <c r="M61" s="44">
        <f t="shared" si="3"/>
        <v>0.922082601</v>
      </c>
    </row>
    <row r="62">
      <c r="A62" s="102">
        <v>45671.0</v>
      </c>
      <c r="B62" s="100" t="s">
        <v>391</v>
      </c>
      <c r="C62" s="100" t="s">
        <v>393</v>
      </c>
      <c r="D62" s="102">
        <v>45670.0</v>
      </c>
      <c r="E62" s="101"/>
      <c r="F62" s="8">
        <v>0.0</v>
      </c>
      <c r="G62" s="8">
        <v>-2.043642014E7</v>
      </c>
      <c r="H62" s="8">
        <v>1.745483E7</v>
      </c>
      <c r="I62" s="14">
        <f t="shared" si="1"/>
        <v>-2981590.14</v>
      </c>
      <c r="K62" s="97">
        <v>23176.05</v>
      </c>
      <c r="L62" s="44">
        <f t="shared" si="2"/>
        <v>0.9168212764</v>
      </c>
      <c r="M62" s="44">
        <f t="shared" si="3"/>
        <v>0.8713354408</v>
      </c>
    </row>
    <row r="63">
      <c r="A63" s="102">
        <v>45672.0</v>
      </c>
      <c r="B63" s="100" t="s">
        <v>391</v>
      </c>
      <c r="C63" s="100" t="s">
        <v>393</v>
      </c>
      <c r="D63" s="102">
        <v>45671.0</v>
      </c>
      <c r="E63" s="101"/>
      <c r="F63" s="8">
        <v>0.0</v>
      </c>
      <c r="G63" s="8">
        <v>-2.043642014E7</v>
      </c>
      <c r="H63" s="8">
        <v>1.7931702E7</v>
      </c>
      <c r="I63" s="14">
        <f t="shared" si="1"/>
        <v>-2504718.14</v>
      </c>
      <c r="K63" s="97">
        <v>23213.2</v>
      </c>
      <c r="L63" s="44">
        <f t="shared" si="2"/>
        <v>0.9182908931</v>
      </c>
      <c r="M63" s="44">
        <f t="shared" si="3"/>
        <v>0.8951406268</v>
      </c>
    </row>
    <row r="64">
      <c r="A64" s="102">
        <v>45673.0</v>
      </c>
      <c r="B64" s="100" t="s">
        <v>391</v>
      </c>
      <c r="C64" s="100" t="s">
        <v>393</v>
      </c>
      <c r="D64" s="102">
        <v>45672.0</v>
      </c>
      <c r="E64" s="101"/>
      <c r="F64" s="8">
        <v>0.0</v>
      </c>
      <c r="G64" s="8">
        <v>-2.043642014E7</v>
      </c>
      <c r="H64" s="8">
        <v>1.7977307E7</v>
      </c>
      <c r="I64" s="14">
        <f t="shared" si="1"/>
        <v>-2459113.14</v>
      </c>
      <c r="K64" s="97">
        <v>23311.8</v>
      </c>
      <c r="L64" s="44">
        <f t="shared" si="2"/>
        <v>0.9221914102</v>
      </c>
      <c r="M64" s="44">
        <f t="shared" si="3"/>
        <v>0.8974172031</v>
      </c>
    </row>
    <row r="65">
      <c r="A65" s="102">
        <v>45674.0</v>
      </c>
      <c r="B65" s="100" t="s">
        <v>391</v>
      </c>
      <c r="C65" s="100" t="s">
        <v>393</v>
      </c>
      <c r="D65" s="102">
        <v>45673.0</v>
      </c>
      <c r="E65" s="101"/>
      <c r="F65" s="8">
        <v>0.0</v>
      </c>
      <c r="G65" s="8">
        <v>-2.043642014E7</v>
      </c>
      <c r="H65" s="8">
        <v>1.8228832E7</v>
      </c>
      <c r="I65" s="14">
        <f t="shared" si="1"/>
        <v>-2207588.14</v>
      </c>
      <c r="K65" s="97">
        <v>23203.2</v>
      </c>
      <c r="L65" s="44">
        <f t="shared" si="2"/>
        <v>0.9178953032</v>
      </c>
      <c r="M65" s="44">
        <f t="shared" si="3"/>
        <v>0.9099731917</v>
      </c>
    </row>
    <row r="66">
      <c r="A66" s="102">
        <v>45677.0</v>
      </c>
      <c r="B66" s="100" t="s">
        <v>391</v>
      </c>
      <c r="C66" s="100" t="s">
        <v>393</v>
      </c>
      <c r="D66" s="102">
        <v>45674.0</v>
      </c>
      <c r="E66" s="101"/>
      <c r="F66" s="8">
        <v>0.0</v>
      </c>
      <c r="G66" s="8">
        <v>-2.043642014E7</v>
      </c>
      <c r="H66" s="8">
        <v>1.8318327E7</v>
      </c>
      <c r="I66" s="14">
        <f t="shared" si="1"/>
        <v>-2118093.14</v>
      </c>
      <c r="K66" s="97">
        <v>23344.75</v>
      </c>
      <c r="L66" s="44">
        <f t="shared" si="2"/>
        <v>0.9234948791</v>
      </c>
      <c r="M66" s="44">
        <f t="shared" si="3"/>
        <v>0.9144407325</v>
      </c>
    </row>
    <row r="67">
      <c r="A67" s="102">
        <v>45678.0</v>
      </c>
      <c r="B67" s="100" t="s">
        <v>391</v>
      </c>
      <c r="C67" s="100" t="s">
        <v>393</v>
      </c>
      <c r="D67" s="102">
        <v>45677.0</v>
      </c>
      <c r="E67" s="101"/>
      <c r="F67" s="8">
        <v>0.0</v>
      </c>
      <c r="G67" s="8">
        <v>-2.043642014E7</v>
      </c>
      <c r="H67" s="8">
        <v>1.8409974E7</v>
      </c>
      <c r="I67" s="14">
        <f t="shared" si="1"/>
        <v>-2026446.14</v>
      </c>
      <c r="K67" s="97">
        <v>23024.65</v>
      </c>
      <c r="L67" s="44">
        <f t="shared" si="2"/>
        <v>0.9108320444</v>
      </c>
      <c r="M67" s="44">
        <f t="shared" si="3"/>
        <v>0.9190157</v>
      </c>
    </row>
    <row r="68">
      <c r="A68" s="102">
        <v>45679.0</v>
      </c>
      <c r="B68" s="100" t="s">
        <v>391</v>
      </c>
      <c r="C68" s="100" t="s">
        <v>393</v>
      </c>
      <c r="D68" s="102">
        <v>45678.0</v>
      </c>
      <c r="E68" s="101"/>
      <c r="F68" s="8">
        <v>0.0</v>
      </c>
      <c r="G68" s="8">
        <v>-2.043642014E7</v>
      </c>
      <c r="H68" s="8">
        <v>1.7638391E7</v>
      </c>
      <c r="I68" s="14">
        <f t="shared" si="1"/>
        <v>-2798029.14</v>
      </c>
      <c r="K68" s="97">
        <v>23155.35</v>
      </c>
      <c r="L68" s="44">
        <f t="shared" si="2"/>
        <v>0.9160024052</v>
      </c>
      <c r="M68" s="44">
        <f t="shared" si="3"/>
        <v>0.8804987042</v>
      </c>
    </row>
    <row r="69">
      <c r="A69" s="102">
        <v>45680.0</v>
      </c>
      <c r="B69" s="100" t="s">
        <v>391</v>
      </c>
      <c r="C69" s="100" t="s">
        <v>393</v>
      </c>
      <c r="D69" s="102">
        <v>45679.0</v>
      </c>
      <c r="E69" s="101"/>
      <c r="F69" s="8">
        <v>0.0</v>
      </c>
      <c r="G69" s="8">
        <v>-2.043642014E7</v>
      </c>
      <c r="H69" s="8">
        <v>1.7056813E7</v>
      </c>
      <c r="I69" s="14">
        <f t="shared" si="1"/>
        <v>-3379607.14</v>
      </c>
      <c r="K69" s="97">
        <v>23205.35</v>
      </c>
      <c r="L69" s="44">
        <f t="shared" si="2"/>
        <v>0.917980355</v>
      </c>
      <c r="M69" s="44">
        <f t="shared" si="3"/>
        <v>0.8514666527</v>
      </c>
    </row>
    <row r="70">
      <c r="A70" s="102">
        <v>45681.0</v>
      </c>
      <c r="B70" s="100" t="s">
        <v>391</v>
      </c>
      <c r="C70" s="100" t="s">
        <v>393</v>
      </c>
      <c r="D70" s="102">
        <v>45680.0</v>
      </c>
      <c r="E70" s="101"/>
      <c r="F70" s="8">
        <v>0.0</v>
      </c>
      <c r="G70" s="8">
        <v>-2.043642014E7</v>
      </c>
      <c r="H70" s="8">
        <v>1.7267087E7</v>
      </c>
      <c r="I70" s="14">
        <f t="shared" si="1"/>
        <v>-3169333.14</v>
      </c>
      <c r="K70" s="97">
        <v>23092.2</v>
      </c>
      <c r="L70" s="44">
        <f t="shared" si="2"/>
        <v>0.9135042546</v>
      </c>
      <c r="M70" s="44">
        <f t="shared" si="3"/>
        <v>0.8619634143</v>
      </c>
    </row>
    <row r="71">
      <c r="A71" s="102">
        <v>45684.0</v>
      </c>
      <c r="B71" s="100" t="s">
        <v>391</v>
      </c>
      <c r="C71" s="100" t="s">
        <v>393</v>
      </c>
      <c r="D71" s="102">
        <v>45681.0</v>
      </c>
      <c r="E71" s="101"/>
      <c r="F71" s="8">
        <v>0.0</v>
      </c>
      <c r="G71" s="8">
        <v>-2.043642014E7</v>
      </c>
      <c r="H71" s="8">
        <v>1.691391E7</v>
      </c>
      <c r="I71" s="14">
        <f t="shared" si="1"/>
        <v>-3522510.14</v>
      </c>
      <c r="K71" s="97">
        <v>22829.15</v>
      </c>
      <c r="L71" s="44">
        <f t="shared" si="2"/>
        <v>0.9030982606</v>
      </c>
      <c r="M71" s="44">
        <f t="shared" si="3"/>
        <v>0.8443330142</v>
      </c>
    </row>
    <row r="72">
      <c r="A72" s="102">
        <v>45685.0</v>
      </c>
      <c r="B72" s="100" t="s">
        <v>391</v>
      </c>
      <c r="C72" s="100" t="s">
        <v>393</v>
      </c>
      <c r="D72" s="102">
        <v>45684.0</v>
      </c>
      <c r="E72" s="101"/>
      <c r="F72" s="8">
        <v>0.0</v>
      </c>
      <c r="G72" s="8">
        <v>-2.043642014E7</v>
      </c>
      <c r="H72" s="8">
        <v>1.6140799E7</v>
      </c>
      <c r="I72" s="14">
        <f t="shared" si="1"/>
        <v>-4295621.14</v>
      </c>
      <c r="K72" s="97">
        <v>22957.25</v>
      </c>
      <c r="L72" s="44">
        <f t="shared" si="2"/>
        <v>0.908165768</v>
      </c>
      <c r="M72" s="44">
        <f t="shared" si="3"/>
        <v>0.8057397415</v>
      </c>
    </row>
    <row r="73">
      <c r="A73" s="102">
        <v>45686.0</v>
      </c>
      <c r="B73" s="100" t="s">
        <v>391</v>
      </c>
      <c r="C73" s="100" t="s">
        <v>393</v>
      </c>
      <c r="D73" s="102">
        <v>45685.0</v>
      </c>
      <c r="E73" s="101"/>
      <c r="F73" s="8">
        <v>0.0</v>
      </c>
      <c r="G73" s="8">
        <v>-2.043642014E7</v>
      </c>
      <c r="H73" s="8">
        <v>1.5508859E7</v>
      </c>
      <c r="I73" s="14">
        <f t="shared" si="1"/>
        <v>-4927561.14</v>
      </c>
      <c r="K73" s="97">
        <v>23163.1</v>
      </c>
      <c r="L73" s="44">
        <f t="shared" si="2"/>
        <v>0.9163089874</v>
      </c>
      <c r="M73" s="44">
        <f t="shared" si="3"/>
        <v>0.7741936469</v>
      </c>
    </row>
    <row r="74">
      <c r="A74" s="102">
        <v>45687.0</v>
      </c>
      <c r="B74" s="100" t="s">
        <v>391</v>
      </c>
      <c r="C74" s="100" t="s">
        <v>393</v>
      </c>
      <c r="D74" s="102">
        <v>45686.0</v>
      </c>
      <c r="E74" s="101"/>
      <c r="F74" s="8">
        <v>0.0</v>
      </c>
      <c r="G74" s="8">
        <v>-2.043642014E7</v>
      </c>
      <c r="H74" s="8">
        <v>1.6255302E7</v>
      </c>
      <c r="I74" s="14">
        <f t="shared" si="1"/>
        <v>-4181118.14</v>
      </c>
      <c r="K74" s="97">
        <v>23249.5</v>
      </c>
      <c r="L74" s="44">
        <f t="shared" si="2"/>
        <v>0.9197268847</v>
      </c>
      <c r="M74" s="44">
        <f t="shared" si="3"/>
        <v>0.8114556678</v>
      </c>
    </row>
    <row r="75">
      <c r="A75" s="102">
        <v>45688.0</v>
      </c>
      <c r="B75" s="100" t="s">
        <v>391</v>
      </c>
      <c r="C75" s="100" t="s">
        <v>393</v>
      </c>
      <c r="D75" s="102">
        <v>45687.0</v>
      </c>
      <c r="E75" s="101"/>
      <c r="F75" s="8">
        <v>0.0</v>
      </c>
      <c r="G75" s="8">
        <v>-2.043642014E7</v>
      </c>
      <c r="H75" s="8">
        <v>1.6440892E7</v>
      </c>
      <c r="I75" s="14">
        <f t="shared" si="1"/>
        <v>-3995528.14</v>
      </c>
      <c r="K75" s="97">
        <v>23508.4</v>
      </c>
      <c r="L75" s="44">
        <f t="shared" si="2"/>
        <v>0.9299687088</v>
      </c>
      <c r="M75" s="44">
        <f t="shared" si="3"/>
        <v>0.8207202177</v>
      </c>
    </row>
    <row r="76">
      <c r="A76" s="102">
        <v>45689.0</v>
      </c>
      <c r="B76" s="100" t="s">
        <v>391</v>
      </c>
      <c r="C76" s="100" t="s">
        <v>393</v>
      </c>
      <c r="D76" s="102">
        <v>45688.0</v>
      </c>
      <c r="E76" s="101"/>
      <c r="F76" s="8">
        <v>0.0</v>
      </c>
      <c r="G76" s="8">
        <v>-2.043642014E7</v>
      </c>
      <c r="H76" s="8">
        <v>1.7087239E7</v>
      </c>
      <c r="I76" s="14">
        <f t="shared" si="1"/>
        <v>-3349181.14</v>
      </c>
      <c r="K76" s="97">
        <v>23482.15</v>
      </c>
      <c r="L76" s="44">
        <f t="shared" si="2"/>
        <v>0.9289302852</v>
      </c>
      <c r="M76" s="44">
        <f t="shared" si="3"/>
        <v>0.8529855018</v>
      </c>
    </row>
    <row r="77">
      <c r="A77" s="102">
        <v>45691.0</v>
      </c>
      <c r="B77" s="100" t="s">
        <v>391</v>
      </c>
      <c r="C77" s="100" t="s">
        <v>393</v>
      </c>
      <c r="D77" s="102">
        <v>45689.0</v>
      </c>
      <c r="E77" s="101"/>
      <c r="F77" s="8">
        <v>0.0</v>
      </c>
      <c r="G77" s="8">
        <v>-2.043642014E7</v>
      </c>
      <c r="H77" s="8">
        <v>1.6919726E7</v>
      </c>
      <c r="I77" s="14">
        <f t="shared" si="1"/>
        <v>-3516694.14</v>
      </c>
      <c r="K77" s="97">
        <v>23361.05</v>
      </c>
      <c r="L77" s="44">
        <f t="shared" si="2"/>
        <v>0.9241396907</v>
      </c>
      <c r="M77" s="44">
        <f t="shared" si="3"/>
        <v>0.8446233457</v>
      </c>
    </row>
    <row r="78">
      <c r="A78" s="102">
        <v>45692.0</v>
      </c>
      <c r="B78" s="100" t="s">
        <v>391</v>
      </c>
      <c r="C78" s="100" t="s">
        <v>393</v>
      </c>
      <c r="D78" s="102">
        <v>45691.0</v>
      </c>
      <c r="E78" s="101"/>
      <c r="F78" s="8">
        <v>0.0</v>
      </c>
      <c r="G78" s="8">
        <v>-2.043642014E7</v>
      </c>
      <c r="H78" s="8">
        <v>1.6275181E7</v>
      </c>
      <c r="I78" s="14">
        <f t="shared" si="1"/>
        <v>-4161239.14</v>
      </c>
      <c r="K78" s="97">
        <v>23739.25</v>
      </c>
      <c r="L78" s="44">
        <f t="shared" si="2"/>
        <v>0.9391009031</v>
      </c>
      <c r="M78" s="44">
        <f t="shared" si="3"/>
        <v>0.8124480164</v>
      </c>
    </row>
    <row r="79">
      <c r="A79" s="102">
        <v>45693.0</v>
      </c>
      <c r="B79" s="100" t="s">
        <v>391</v>
      </c>
      <c r="C79" s="100" t="s">
        <v>393</v>
      </c>
      <c r="D79" s="102">
        <v>45692.0</v>
      </c>
      <c r="E79" s="101"/>
      <c r="F79" s="8">
        <v>0.0</v>
      </c>
      <c r="G79" s="8">
        <v>-2.043642014E7</v>
      </c>
      <c r="H79" s="8">
        <v>1.6334152E7</v>
      </c>
      <c r="I79" s="14">
        <f t="shared" si="1"/>
        <v>-4102268.14</v>
      </c>
      <c r="K79" s="97">
        <v>23696.3</v>
      </c>
      <c r="L79" s="44">
        <f t="shared" si="2"/>
        <v>0.9374018442</v>
      </c>
      <c r="M79" s="44">
        <f t="shared" si="3"/>
        <v>0.8153918161</v>
      </c>
    </row>
    <row r="80">
      <c r="A80" s="102">
        <v>45694.0</v>
      </c>
      <c r="B80" s="100" t="s">
        <v>391</v>
      </c>
      <c r="C80" s="100" t="s">
        <v>393</v>
      </c>
      <c r="D80" s="102">
        <v>45693.0</v>
      </c>
      <c r="E80" s="101"/>
      <c r="F80" s="8">
        <v>0.0</v>
      </c>
      <c r="G80" s="8">
        <v>-2.043642014E7</v>
      </c>
      <c r="H80" s="8">
        <v>1.6596165E7</v>
      </c>
      <c r="I80" s="14">
        <f t="shared" si="1"/>
        <v>-3840255.14</v>
      </c>
      <c r="K80" s="97">
        <v>23603.35</v>
      </c>
      <c r="L80" s="44">
        <f t="shared" si="2"/>
        <v>0.9337248355</v>
      </c>
      <c r="M80" s="44">
        <f t="shared" si="3"/>
        <v>0.8284713599</v>
      </c>
    </row>
    <row r="81">
      <c r="A81" s="102">
        <v>45695.0</v>
      </c>
      <c r="B81" s="100" t="s">
        <v>391</v>
      </c>
      <c r="C81" s="100" t="s">
        <v>393</v>
      </c>
      <c r="D81" s="102">
        <v>45694.0</v>
      </c>
      <c r="E81" s="101"/>
      <c r="F81" s="8">
        <v>0.0</v>
      </c>
      <c r="G81" s="8">
        <v>-2.043642014E7</v>
      </c>
      <c r="H81" s="8">
        <v>1.6462532E7</v>
      </c>
      <c r="I81" s="14">
        <f t="shared" si="1"/>
        <v>-3973888.14</v>
      </c>
      <c r="K81" s="97">
        <v>23559.95</v>
      </c>
      <c r="L81" s="44">
        <f t="shared" si="2"/>
        <v>0.9320079751</v>
      </c>
      <c r="M81" s="44">
        <f t="shared" si="3"/>
        <v>0.8218004745</v>
      </c>
    </row>
    <row r="82">
      <c r="A82" s="102">
        <v>45698.0</v>
      </c>
      <c r="B82" s="100" t="s">
        <v>391</v>
      </c>
      <c r="C82" s="100" t="s">
        <v>393</v>
      </c>
      <c r="D82" s="102">
        <v>45695.0</v>
      </c>
      <c r="E82" s="101"/>
      <c r="F82" s="8">
        <v>0.0</v>
      </c>
      <c r="G82" s="8">
        <v>-2.043642014E7</v>
      </c>
      <c r="H82" s="8">
        <v>1.6625663E7</v>
      </c>
      <c r="I82" s="14">
        <f t="shared" si="1"/>
        <v>-3810757.14</v>
      </c>
      <c r="K82" s="97">
        <v>23381.6</v>
      </c>
      <c r="L82" s="44">
        <f t="shared" si="2"/>
        <v>0.9249526281</v>
      </c>
      <c r="M82" s="44">
        <f t="shared" si="3"/>
        <v>0.8299438837</v>
      </c>
    </row>
    <row r="83">
      <c r="A83" s="102">
        <v>45699.0</v>
      </c>
      <c r="B83" s="100" t="s">
        <v>391</v>
      </c>
      <c r="C83" s="100" t="s">
        <v>393</v>
      </c>
      <c r="D83" s="102">
        <v>45698.0</v>
      </c>
      <c r="E83" s="101"/>
      <c r="F83" s="8">
        <v>0.0</v>
      </c>
      <c r="G83" s="8">
        <v>-2.043642014E7</v>
      </c>
      <c r="H83" s="8">
        <v>1.6306356E7</v>
      </c>
      <c r="I83" s="14">
        <f t="shared" si="1"/>
        <v>-4130064.14</v>
      </c>
      <c r="K83" s="97">
        <v>23071.8</v>
      </c>
      <c r="L83" s="44">
        <f t="shared" si="2"/>
        <v>0.912697251</v>
      </c>
      <c r="M83" s="44">
        <f t="shared" si="3"/>
        <v>0.8140042552</v>
      </c>
    </row>
    <row r="84">
      <c r="A84" s="102">
        <v>45700.0</v>
      </c>
      <c r="B84" s="100" t="s">
        <v>391</v>
      </c>
      <c r="C84" s="100" t="s">
        <v>393</v>
      </c>
      <c r="D84" s="102">
        <v>45699.0</v>
      </c>
      <c r="E84" s="101"/>
      <c r="F84" s="8">
        <v>0.0</v>
      </c>
      <c r="G84" s="8">
        <v>-2.043642014E7</v>
      </c>
      <c r="H84" s="8">
        <v>1.5741332E7</v>
      </c>
      <c r="I84" s="14">
        <f t="shared" si="1"/>
        <v>-4695088.14</v>
      </c>
      <c r="K84" s="97">
        <v>23045.25</v>
      </c>
      <c r="L84" s="44">
        <f t="shared" si="2"/>
        <v>0.9116469597</v>
      </c>
      <c r="M84" s="44">
        <f t="shared" si="3"/>
        <v>0.7857985702</v>
      </c>
    </row>
    <row r="85">
      <c r="A85" s="102">
        <v>45701.0</v>
      </c>
      <c r="B85" s="100" t="s">
        <v>391</v>
      </c>
      <c r="C85" s="100" t="s">
        <v>393</v>
      </c>
      <c r="D85" s="102">
        <v>45700.0</v>
      </c>
      <c r="E85" s="101"/>
      <c r="F85" s="8">
        <v>0.0</v>
      </c>
      <c r="G85" s="8">
        <v>-2.043642014E7</v>
      </c>
      <c r="H85" s="8">
        <v>1.583336E7</v>
      </c>
      <c r="I85" s="14">
        <f t="shared" si="1"/>
        <v>-4603060.14</v>
      </c>
      <c r="K85" s="97">
        <v>23031.4</v>
      </c>
      <c r="L85" s="44">
        <f t="shared" si="2"/>
        <v>0.9110990676</v>
      </c>
      <c r="M85" s="44">
        <f t="shared" si="3"/>
        <v>0.790392557</v>
      </c>
    </row>
    <row r="86">
      <c r="A86" s="102">
        <v>45702.0</v>
      </c>
      <c r="B86" s="100" t="s">
        <v>391</v>
      </c>
      <c r="C86" s="100" t="s">
        <v>393</v>
      </c>
      <c r="D86" s="102">
        <v>45701.0</v>
      </c>
      <c r="E86" s="101"/>
      <c r="F86" s="8">
        <v>0.0</v>
      </c>
      <c r="G86" s="8">
        <v>-2.043642014E7</v>
      </c>
      <c r="H86" s="8">
        <v>1.5749065E7</v>
      </c>
      <c r="I86" s="14">
        <f t="shared" si="1"/>
        <v>-4687355.14</v>
      </c>
      <c r="K86" s="97">
        <v>22929.25</v>
      </c>
      <c r="L86" s="44">
        <f t="shared" si="2"/>
        <v>0.9070581161</v>
      </c>
      <c r="M86" s="44">
        <f t="shared" si="3"/>
        <v>0.7861845973</v>
      </c>
    </row>
    <row r="87">
      <c r="A87" s="102">
        <v>45705.0</v>
      </c>
      <c r="B87" s="100" t="s">
        <v>391</v>
      </c>
      <c r="C87" s="100" t="s">
        <v>393</v>
      </c>
      <c r="D87" s="102">
        <v>45702.0</v>
      </c>
      <c r="E87" s="101"/>
      <c r="F87" s="8">
        <v>0.0</v>
      </c>
      <c r="G87" s="8">
        <v>-2.043642014E7</v>
      </c>
      <c r="H87" s="8">
        <v>1.5334741E7</v>
      </c>
      <c r="I87" s="14">
        <f t="shared" si="1"/>
        <v>-5101679.14</v>
      </c>
      <c r="K87" s="97">
        <v>22959.5</v>
      </c>
      <c r="L87" s="44">
        <f t="shared" si="2"/>
        <v>0.9082547758</v>
      </c>
      <c r="M87" s="44">
        <f t="shared" si="3"/>
        <v>0.7655017728</v>
      </c>
    </row>
    <row r="88">
      <c r="A88" s="102">
        <v>45706.0</v>
      </c>
      <c r="B88" s="100" t="s">
        <v>391</v>
      </c>
      <c r="C88" s="100" t="s">
        <v>393</v>
      </c>
      <c r="D88" s="102">
        <v>45705.0</v>
      </c>
      <c r="E88" s="101"/>
      <c r="F88" s="8">
        <v>0.0</v>
      </c>
      <c r="G88" s="8">
        <v>-2.043642014E7</v>
      </c>
      <c r="H88" s="8">
        <v>1.5352797E7</v>
      </c>
      <c r="I88" s="14">
        <f t="shared" si="1"/>
        <v>-5083623.14</v>
      </c>
      <c r="K88" s="97">
        <v>22945.3</v>
      </c>
      <c r="L88" s="44">
        <f t="shared" si="2"/>
        <v>0.907693038</v>
      </c>
      <c r="M88" s="44">
        <f t="shared" si="3"/>
        <v>0.7664031183</v>
      </c>
    </row>
    <row r="89">
      <c r="A89" s="102">
        <v>45708.0</v>
      </c>
      <c r="B89" s="100" t="s">
        <v>391</v>
      </c>
      <c r="C89" s="100" t="s">
        <v>393</v>
      </c>
      <c r="D89" s="102">
        <v>45706.0</v>
      </c>
      <c r="E89" s="101"/>
      <c r="F89" s="8">
        <v>0.0</v>
      </c>
      <c r="G89" s="8">
        <v>-2.043642014E7</v>
      </c>
      <c r="H89" s="8">
        <v>1.5117847E7</v>
      </c>
      <c r="I89" s="14">
        <f t="shared" si="1"/>
        <v>-5318573.14</v>
      </c>
      <c r="K89" s="97">
        <v>22932.9</v>
      </c>
      <c r="L89" s="44">
        <f t="shared" si="2"/>
        <v>0.9072025065</v>
      </c>
      <c r="M89" s="44">
        <f t="shared" si="3"/>
        <v>0.7546745445</v>
      </c>
    </row>
    <row r="90">
      <c r="A90" s="102">
        <v>45708.0</v>
      </c>
      <c r="B90" s="100" t="s">
        <v>391</v>
      </c>
      <c r="C90" s="100" t="s">
        <v>393</v>
      </c>
      <c r="D90" s="102">
        <v>45707.0</v>
      </c>
      <c r="E90" s="101"/>
      <c r="F90" s="8">
        <v>0.0</v>
      </c>
      <c r="G90" s="8">
        <v>-2.043642014E7</v>
      </c>
      <c r="H90" s="8">
        <v>1.5474908E7</v>
      </c>
      <c r="I90" s="14">
        <f t="shared" si="1"/>
        <v>-4961512.14</v>
      </c>
      <c r="K90" s="97">
        <v>22913.15</v>
      </c>
      <c r="L90" s="44">
        <f t="shared" si="2"/>
        <v>0.9064212163</v>
      </c>
      <c r="M90" s="44">
        <f t="shared" si="3"/>
        <v>0.7724988318</v>
      </c>
    </row>
    <row r="91">
      <c r="A91" s="102">
        <v>45709.0</v>
      </c>
      <c r="B91" s="100" t="s">
        <v>391</v>
      </c>
      <c r="C91" s="100" t="s">
        <v>393</v>
      </c>
      <c r="D91" s="102">
        <v>45708.0</v>
      </c>
      <c r="E91" s="101"/>
      <c r="F91" s="8">
        <v>0.0</v>
      </c>
      <c r="G91" s="8">
        <v>-2.043642014E7</v>
      </c>
      <c r="H91" s="8">
        <v>1.5670109E7</v>
      </c>
      <c r="I91" s="14">
        <f t="shared" si="1"/>
        <v>-4766311.14</v>
      </c>
      <c r="K91" s="97">
        <v>22795.9</v>
      </c>
      <c r="L91" s="44">
        <f t="shared" si="2"/>
        <v>0.901782924</v>
      </c>
      <c r="M91" s="44">
        <f t="shared" si="3"/>
        <v>0.7822431575</v>
      </c>
    </row>
    <row r="92">
      <c r="A92" s="102">
        <v>45712.0</v>
      </c>
      <c r="B92" s="100" t="s">
        <v>391</v>
      </c>
      <c r="C92" s="100" t="s">
        <v>393</v>
      </c>
      <c r="D92" s="102">
        <v>45709.0</v>
      </c>
      <c r="E92" s="101"/>
      <c r="F92" s="8">
        <v>0.0</v>
      </c>
      <c r="G92" s="8">
        <v>-2.043642014E7</v>
      </c>
      <c r="H92" s="8">
        <v>1.5611372E7</v>
      </c>
      <c r="I92" s="14">
        <f t="shared" si="1"/>
        <v>-4825048.14</v>
      </c>
      <c r="K92" s="97">
        <v>22553.35</v>
      </c>
      <c r="L92" s="44">
        <f t="shared" si="2"/>
        <v>0.8921878894</v>
      </c>
      <c r="M92" s="44">
        <f t="shared" si="3"/>
        <v>0.779311039</v>
      </c>
    </row>
    <row r="93">
      <c r="A93" s="102">
        <v>45713.0</v>
      </c>
      <c r="B93" s="100" t="s">
        <v>391</v>
      </c>
      <c r="C93" s="100" t="s">
        <v>393</v>
      </c>
      <c r="D93" s="102">
        <v>45712.0</v>
      </c>
      <c r="E93" s="101"/>
      <c r="F93" s="8">
        <v>0.0</v>
      </c>
      <c r="G93" s="8">
        <v>-2.043642014E7</v>
      </c>
      <c r="H93" s="8">
        <v>1.5356389E7</v>
      </c>
      <c r="I93" s="14">
        <f t="shared" si="1"/>
        <v>-5080031.14</v>
      </c>
      <c r="K93" s="97">
        <v>22547.55</v>
      </c>
      <c r="L93" s="44">
        <f t="shared" si="2"/>
        <v>0.8919584472</v>
      </c>
      <c r="M93" s="44">
        <f t="shared" si="3"/>
        <v>0.766582429</v>
      </c>
    </row>
    <row r="94">
      <c r="A94" s="102">
        <v>45715.0</v>
      </c>
      <c r="B94" s="100" t="s">
        <v>391</v>
      </c>
      <c r="C94" s="100" t="s">
        <v>393</v>
      </c>
      <c r="D94" s="102">
        <v>45713.0</v>
      </c>
      <c r="E94" s="101"/>
      <c r="F94" s="8">
        <v>0.0</v>
      </c>
      <c r="G94" s="8">
        <v>-2.043642014E7</v>
      </c>
      <c r="H94" s="8">
        <v>1.5304423E7</v>
      </c>
      <c r="I94" s="14">
        <f t="shared" si="1"/>
        <v>-5131997.14</v>
      </c>
      <c r="K94" s="97">
        <v>22545.05</v>
      </c>
      <c r="L94" s="44">
        <f t="shared" si="2"/>
        <v>0.8918595497</v>
      </c>
      <c r="M94" s="44">
        <f t="shared" si="3"/>
        <v>0.763988315</v>
      </c>
    </row>
    <row r="95">
      <c r="A95" s="102">
        <v>45716.0</v>
      </c>
      <c r="B95" s="100" t="s">
        <v>391</v>
      </c>
      <c r="C95" s="100" t="s">
        <v>393</v>
      </c>
      <c r="D95" s="102">
        <v>45715.0</v>
      </c>
      <c r="E95" s="101"/>
      <c r="F95" s="8">
        <v>0.0</v>
      </c>
      <c r="G95" s="8">
        <v>-2.043642014E7</v>
      </c>
      <c r="H95" s="8">
        <v>1.4822883E7</v>
      </c>
      <c r="I95" s="14">
        <f t="shared" si="1"/>
        <v>-5613537.14</v>
      </c>
      <c r="K95" s="97">
        <v>22124.7</v>
      </c>
      <c r="L95" s="44">
        <f t="shared" si="2"/>
        <v>0.8752309256</v>
      </c>
      <c r="M95" s="44">
        <f t="shared" si="3"/>
        <v>0.7399501051</v>
      </c>
    </row>
    <row r="96">
      <c r="A96" s="102">
        <v>45719.0</v>
      </c>
      <c r="B96" s="100" t="s">
        <v>391</v>
      </c>
      <c r="C96" s="100" t="s">
        <v>393</v>
      </c>
      <c r="D96" s="102">
        <v>45716.0</v>
      </c>
      <c r="E96" s="101"/>
      <c r="F96" s="8">
        <v>0.0</v>
      </c>
      <c r="G96" s="8">
        <v>-2.043642014E7</v>
      </c>
      <c r="H96" s="8">
        <v>1.4420462E7</v>
      </c>
      <c r="I96" s="14">
        <f t="shared" si="1"/>
        <v>-6015958.14</v>
      </c>
      <c r="K96" s="97">
        <v>22119.3</v>
      </c>
      <c r="L96" s="44">
        <f t="shared" si="2"/>
        <v>0.8750173071</v>
      </c>
      <c r="M96" s="44">
        <f t="shared" si="3"/>
        <v>0.7198614718</v>
      </c>
    </row>
    <row r="97">
      <c r="A97" s="102">
        <v>45720.0</v>
      </c>
      <c r="B97" s="100" t="s">
        <v>391</v>
      </c>
      <c r="C97" s="100" t="s">
        <v>393</v>
      </c>
      <c r="D97" s="102">
        <v>45719.0</v>
      </c>
      <c r="E97" s="101"/>
      <c r="F97" s="8">
        <v>0.0</v>
      </c>
      <c r="G97" s="8">
        <v>-2.043642014E7</v>
      </c>
      <c r="H97" s="8">
        <v>1.4269822E7</v>
      </c>
      <c r="I97" s="14">
        <f t="shared" si="1"/>
        <v>-6166598.14</v>
      </c>
      <c r="K97" s="97">
        <v>22082.65</v>
      </c>
      <c r="L97" s="44">
        <f t="shared" si="2"/>
        <v>0.8735674698</v>
      </c>
      <c r="M97" s="44">
        <f t="shared" si="3"/>
        <v>0.7123416065</v>
      </c>
    </row>
    <row r="98">
      <c r="A98" s="102">
        <v>45721.0</v>
      </c>
      <c r="B98" s="100" t="s">
        <v>391</v>
      </c>
      <c r="C98" s="100" t="s">
        <v>393</v>
      </c>
      <c r="D98" s="102">
        <v>45720.0</v>
      </c>
      <c r="E98" s="101"/>
      <c r="F98" s="8">
        <v>0.0</v>
      </c>
      <c r="G98" s="8">
        <v>-2.043642014E7</v>
      </c>
      <c r="H98" s="8">
        <v>1.4417041E7</v>
      </c>
      <c r="I98" s="14">
        <f t="shared" si="1"/>
        <v>-6019379.14</v>
      </c>
      <c r="K98" s="97">
        <v>22337.3</v>
      </c>
      <c r="L98" s="44">
        <f t="shared" si="2"/>
        <v>0.8836411683</v>
      </c>
      <c r="M98" s="44">
        <f t="shared" si="3"/>
        <v>0.7196906974</v>
      </c>
    </row>
    <row r="99">
      <c r="A99" s="102">
        <v>45722.0</v>
      </c>
      <c r="B99" s="100" t="s">
        <v>391</v>
      </c>
      <c r="C99" s="100" t="s">
        <v>393</v>
      </c>
      <c r="D99" s="102">
        <v>45721.0</v>
      </c>
      <c r="E99" s="101"/>
      <c r="F99" s="8">
        <v>0.0</v>
      </c>
      <c r="G99" s="8">
        <v>-2.043642014E7</v>
      </c>
      <c r="H99" s="8">
        <v>1.48157E7</v>
      </c>
      <c r="I99" s="14">
        <f t="shared" si="1"/>
        <v>-5620720.14</v>
      </c>
      <c r="K99" s="97">
        <v>22544.7</v>
      </c>
      <c r="L99" s="44">
        <f t="shared" si="2"/>
        <v>0.8918457041</v>
      </c>
      <c r="M99" s="44">
        <f t="shared" si="3"/>
        <v>0.7395915337</v>
      </c>
    </row>
    <row r="100">
      <c r="A100" s="59">
        <v>45723.0</v>
      </c>
      <c r="B100" s="8" t="s">
        <v>440</v>
      </c>
      <c r="C100" s="8" t="s">
        <v>441</v>
      </c>
      <c r="D100" s="59">
        <v>45722.0</v>
      </c>
      <c r="E100" s="8">
        <v>0.0</v>
      </c>
      <c r="F100" s="8">
        <v>9468953.26</v>
      </c>
      <c r="G100" s="8">
        <v>-1.096746688E7</v>
      </c>
      <c r="H100" s="8">
        <v>5541767.0</v>
      </c>
      <c r="I100" s="14">
        <f t="shared" si="1"/>
        <v>-5425699.88</v>
      </c>
      <c r="K100" s="97">
        <v>22552.5</v>
      </c>
      <c r="L100" s="44">
        <f t="shared" si="2"/>
        <v>0.8921542643</v>
      </c>
      <c r="M100" s="44">
        <f t="shared" si="3"/>
        <v>0.2766419376</v>
      </c>
    </row>
    <row r="101">
      <c r="A101" s="59">
        <v>45726.0</v>
      </c>
      <c r="B101" s="8" t="s">
        <v>440</v>
      </c>
      <c r="C101" s="8" t="s">
        <v>441</v>
      </c>
      <c r="D101" s="59">
        <v>45723.0</v>
      </c>
      <c r="E101" s="8">
        <v>0.0</v>
      </c>
      <c r="F101" s="8">
        <v>850583.33</v>
      </c>
      <c r="G101" s="8">
        <v>-1.011688381E7</v>
      </c>
      <c r="H101" s="8">
        <v>5541767.0</v>
      </c>
      <c r="I101" s="14">
        <f t="shared" si="1"/>
        <v>-4575116.81</v>
      </c>
      <c r="K101" s="97">
        <v>22460.3</v>
      </c>
      <c r="L101" s="44">
        <f t="shared" si="2"/>
        <v>0.8885069248</v>
      </c>
      <c r="M101" s="44">
        <f t="shared" si="3"/>
        <v>0.2766419376</v>
      </c>
    </row>
    <row r="102">
      <c r="A102" s="114">
        <v>45727.0</v>
      </c>
      <c r="B102" s="115" t="s">
        <v>446</v>
      </c>
      <c r="C102" s="115" t="s">
        <v>447</v>
      </c>
      <c r="D102" s="114">
        <v>45726.0</v>
      </c>
      <c r="E102" s="115">
        <v>9856893.5</v>
      </c>
      <c r="F102" s="116">
        <v>0.0</v>
      </c>
      <c r="G102" s="116">
        <v>-1.997377705E7</v>
      </c>
      <c r="H102" s="116">
        <v>1.4244817E7</v>
      </c>
      <c r="I102" s="14">
        <f t="shared" si="1"/>
        <v>-5728960.05</v>
      </c>
      <c r="K102" s="97">
        <v>22497.9</v>
      </c>
      <c r="L102" s="44">
        <f t="shared" si="2"/>
        <v>0.8899943431</v>
      </c>
      <c r="M102" s="44">
        <f t="shared" si="3"/>
        <v>0.7110933707</v>
      </c>
    </row>
    <row r="103">
      <c r="A103" s="114">
        <v>45728.0</v>
      </c>
      <c r="B103" s="115" t="s">
        <v>446</v>
      </c>
      <c r="C103" s="115" t="s">
        <v>447</v>
      </c>
      <c r="D103" s="114">
        <v>45727.0</v>
      </c>
      <c r="E103" s="115"/>
      <c r="F103" s="116">
        <v>0.0</v>
      </c>
      <c r="G103" s="116">
        <v>-1.997377705E7</v>
      </c>
      <c r="H103" s="116">
        <v>1.4157971E7</v>
      </c>
      <c r="I103" s="14">
        <f t="shared" si="1"/>
        <v>-5815806.05</v>
      </c>
      <c r="K103" s="97">
        <v>22470.5</v>
      </c>
      <c r="L103" s="44">
        <f t="shared" si="2"/>
        <v>0.8889104266</v>
      </c>
      <c r="M103" s="44">
        <f t="shared" si="3"/>
        <v>0.7067580665</v>
      </c>
    </row>
    <row r="104">
      <c r="A104" s="114">
        <v>45729.0</v>
      </c>
      <c r="B104" s="115" t="s">
        <v>446</v>
      </c>
      <c r="C104" s="115" t="s">
        <v>447</v>
      </c>
      <c r="D104" s="114">
        <v>45728.0</v>
      </c>
      <c r="E104" s="115"/>
      <c r="F104" s="116">
        <v>0.0</v>
      </c>
      <c r="G104" s="116">
        <v>-1.997377705E7</v>
      </c>
      <c r="H104" s="116">
        <v>1.4132624E7</v>
      </c>
      <c r="I104" s="14">
        <f t="shared" si="1"/>
        <v>-5841153.05</v>
      </c>
      <c r="K104" s="97">
        <v>22397.2</v>
      </c>
      <c r="L104" s="44">
        <f t="shared" si="2"/>
        <v>0.8860107521</v>
      </c>
      <c r="M104" s="44">
        <f t="shared" si="3"/>
        <v>0.7054927583</v>
      </c>
    </row>
    <row r="105">
      <c r="A105" s="114">
        <v>45733.0</v>
      </c>
      <c r="B105" s="115" t="s">
        <v>446</v>
      </c>
      <c r="C105" s="115" t="s">
        <v>447</v>
      </c>
      <c r="D105" s="114">
        <v>45729.0</v>
      </c>
      <c r="E105" s="115"/>
      <c r="F105" s="116">
        <v>0.0</v>
      </c>
      <c r="G105" s="116">
        <v>-1.997377705E7</v>
      </c>
      <c r="H105" s="116">
        <v>1.4119796E7</v>
      </c>
      <c r="I105" s="14">
        <f t="shared" si="1"/>
        <v>-5853981.05</v>
      </c>
      <c r="K105" s="97">
        <v>22508.75</v>
      </c>
      <c r="L105" s="44">
        <f t="shared" si="2"/>
        <v>0.8904235582</v>
      </c>
      <c r="M105" s="44">
        <f t="shared" si="3"/>
        <v>0.7048523917</v>
      </c>
    </row>
    <row r="106">
      <c r="A106" s="114">
        <v>45734.0</v>
      </c>
      <c r="B106" s="115" t="s">
        <v>446</v>
      </c>
      <c r="C106" s="115" t="s">
        <v>447</v>
      </c>
      <c r="D106" s="114">
        <v>45733.0</v>
      </c>
      <c r="E106" s="115"/>
      <c r="F106" s="116">
        <v>0.0</v>
      </c>
      <c r="G106" s="116">
        <v>-1.997377705E7</v>
      </c>
      <c r="H106" s="116">
        <v>1.4234484E7</v>
      </c>
      <c r="I106" s="14">
        <f t="shared" si="1"/>
        <v>-5739293.05</v>
      </c>
      <c r="K106" s="97">
        <v>22834.3</v>
      </c>
      <c r="L106" s="44">
        <f t="shared" si="2"/>
        <v>0.9033019894</v>
      </c>
      <c r="M106" s="44">
        <f t="shared" si="3"/>
        <v>0.7105775531</v>
      </c>
    </row>
    <row r="107">
      <c r="A107" s="114">
        <v>45735.0</v>
      </c>
      <c r="B107" s="115" t="s">
        <v>446</v>
      </c>
      <c r="C107" s="115" t="s">
        <v>447</v>
      </c>
      <c r="D107" s="114">
        <v>45734.0</v>
      </c>
      <c r="E107" s="115"/>
      <c r="F107" s="116">
        <v>0.0</v>
      </c>
      <c r="G107" s="116">
        <v>-1.997377705E7</v>
      </c>
      <c r="H107" s="116">
        <v>1.4581989E7</v>
      </c>
      <c r="I107" s="14">
        <f t="shared" si="1"/>
        <v>-5391788.05</v>
      </c>
      <c r="K107" s="97">
        <v>22907.6</v>
      </c>
      <c r="L107" s="44">
        <f t="shared" si="2"/>
        <v>0.9062016639</v>
      </c>
      <c r="M107" s="44">
        <f t="shared" si="3"/>
        <v>0.7279248101</v>
      </c>
    </row>
    <row r="108">
      <c r="A108" s="114">
        <v>45736.0</v>
      </c>
      <c r="B108" s="115" t="s">
        <v>446</v>
      </c>
      <c r="C108" s="115" t="s">
        <v>447</v>
      </c>
      <c r="D108" s="114">
        <v>45735.0</v>
      </c>
      <c r="E108" s="115"/>
      <c r="F108" s="116">
        <v>0.0</v>
      </c>
      <c r="G108" s="116">
        <v>-1.997377705E7</v>
      </c>
      <c r="H108" s="116">
        <v>1.5089842E7</v>
      </c>
      <c r="I108" s="14">
        <f t="shared" si="1"/>
        <v>-4883935.05</v>
      </c>
      <c r="K108" s="97">
        <v>23190.65</v>
      </c>
      <c r="L108" s="44">
        <f t="shared" si="2"/>
        <v>0.9173988378</v>
      </c>
      <c r="M108" s="44">
        <f t="shared" si="3"/>
        <v>0.7532765504</v>
      </c>
    </row>
    <row r="109">
      <c r="A109" s="114">
        <v>45737.0</v>
      </c>
      <c r="B109" s="115" t="s">
        <v>446</v>
      </c>
      <c r="C109" s="115" t="s">
        <v>447</v>
      </c>
      <c r="D109" s="114">
        <v>45736.0</v>
      </c>
      <c r="E109" s="115"/>
      <c r="F109" s="116">
        <v>0.0</v>
      </c>
      <c r="G109" s="116">
        <v>-1.997377705E7</v>
      </c>
      <c r="H109" s="116">
        <v>1.5242592E7</v>
      </c>
      <c r="I109" s="14">
        <f t="shared" si="1"/>
        <v>-4731185.05</v>
      </c>
      <c r="K109" s="97">
        <v>23350.4</v>
      </c>
      <c r="L109" s="44">
        <f t="shared" si="2"/>
        <v>0.9237183874</v>
      </c>
      <c r="M109" s="44">
        <f t="shared" si="3"/>
        <v>0.7609017458</v>
      </c>
    </row>
    <row r="110">
      <c r="A110" s="114">
        <v>45740.0</v>
      </c>
      <c r="B110" s="115" t="s">
        <v>446</v>
      </c>
      <c r="C110" s="115" t="s">
        <v>447</v>
      </c>
      <c r="D110" s="114">
        <v>45737.0</v>
      </c>
      <c r="E110" s="115"/>
      <c r="F110" s="116">
        <v>0.0</v>
      </c>
      <c r="G110" s="116">
        <v>-1.997377705E7</v>
      </c>
      <c r="H110" s="116">
        <v>1.5490002E7</v>
      </c>
      <c r="I110" s="14">
        <f t="shared" si="1"/>
        <v>-4483775.05</v>
      </c>
      <c r="K110" s="97">
        <v>23658.35</v>
      </c>
      <c r="L110" s="44">
        <f t="shared" si="2"/>
        <v>0.9359005803</v>
      </c>
      <c r="M110" s="44">
        <f t="shared" si="3"/>
        <v>0.7732523159</v>
      </c>
    </row>
    <row r="111">
      <c r="A111" s="114">
        <v>45741.0</v>
      </c>
      <c r="B111" s="115" t="s">
        <v>446</v>
      </c>
      <c r="C111" s="115" t="s">
        <v>447</v>
      </c>
      <c r="D111" s="114">
        <v>45740.0</v>
      </c>
      <c r="E111" s="115"/>
      <c r="F111" s="116">
        <v>0.0</v>
      </c>
      <c r="G111" s="116">
        <v>-1.997377705E7</v>
      </c>
      <c r="H111" s="116">
        <v>1.5643593E7</v>
      </c>
      <c r="I111" s="14">
        <f t="shared" si="1"/>
        <v>-4330184.05</v>
      </c>
      <c r="K111" s="97">
        <v>23668.65</v>
      </c>
      <c r="L111" s="44">
        <f t="shared" si="2"/>
        <v>0.936308038</v>
      </c>
      <c r="M111" s="44">
        <f t="shared" si="3"/>
        <v>0.7809194935</v>
      </c>
    </row>
    <row r="112">
      <c r="A112" s="114">
        <v>45742.0</v>
      </c>
      <c r="B112" s="115" t="s">
        <v>446</v>
      </c>
      <c r="C112" s="115" t="s">
        <v>447</v>
      </c>
      <c r="D112" s="114">
        <v>45741.0</v>
      </c>
      <c r="E112" s="115"/>
      <c r="F112" s="116">
        <v>0.0</v>
      </c>
      <c r="G112" s="116">
        <v>-1.997377705E7</v>
      </c>
      <c r="H112" s="116">
        <v>1.5496029E7</v>
      </c>
      <c r="I112" s="14">
        <f t="shared" si="1"/>
        <v>-4477748.05</v>
      </c>
      <c r="K112" s="97">
        <v>23486.85</v>
      </c>
      <c r="L112" s="44">
        <f t="shared" si="2"/>
        <v>0.9291162125</v>
      </c>
      <c r="M112" s="44">
        <f t="shared" si="3"/>
        <v>0.7735531804</v>
      </c>
    </row>
    <row r="113">
      <c r="A113" s="114">
        <v>45743.0</v>
      </c>
      <c r="B113" s="115" t="s">
        <v>446</v>
      </c>
      <c r="C113" s="115" t="s">
        <v>447</v>
      </c>
      <c r="D113" s="114">
        <v>45742.0</v>
      </c>
      <c r="E113" s="115"/>
      <c r="F113" s="116">
        <v>0.0</v>
      </c>
      <c r="G113" s="116">
        <v>-1.997377705E7</v>
      </c>
      <c r="H113" s="116">
        <v>1.5296878E7</v>
      </c>
      <c r="I113" s="14">
        <f t="shared" si="1"/>
        <v>-4676899.05</v>
      </c>
      <c r="K113" s="97">
        <v>23591.95</v>
      </c>
      <c r="L113" s="44">
        <f t="shared" si="2"/>
        <v>0.933273863</v>
      </c>
      <c r="M113" s="44">
        <f t="shared" si="3"/>
        <v>0.7636116728</v>
      </c>
    </row>
    <row r="114">
      <c r="A114" s="114">
        <v>45744.0</v>
      </c>
      <c r="B114" s="115" t="s">
        <v>446</v>
      </c>
      <c r="C114" s="115" t="s">
        <v>447</v>
      </c>
      <c r="D114" s="114">
        <v>45743.0</v>
      </c>
      <c r="E114" s="115"/>
      <c r="F114" s="116">
        <v>0.0</v>
      </c>
      <c r="G114" s="116">
        <v>-1.997377705E7</v>
      </c>
      <c r="H114" s="116">
        <v>1.5708534E7</v>
      </c>
      <c r="I114" s="14">
        <f t="shared" si="1"/>
        <v>-4265243.05</v>
      </c>
      <c r="K114" s="97">
        <v>23519.35</v>
      </c>
      <c r="L114" s="44">
        <f t="shared" si="2"/>
        <v>0.9304018798</v>
      </c>
      <c r="M114" s="44">
        <f t="shared" si="3"/>
        <v>0.7841613122</v>
      </c>
    </row>
    <row r="115">
      <c r="A115" s="114">
        <v>45749.0</v>
      </c>
      <c r="B115" s="115" t="s">
        <v>446</v>
      </c>
      <c r="C115" s="115" t="s">
        <v>447</v>
      </c>
      <c r="D115" s="114">
        <v>45744.0</v>
      </c>
      <c r="E115" s="115"/>
      <c r="F115" s="116">
        <v>0.0</v>
      </c>
      <c r="G115" s="116">
        <v>-1.997377705E7</v>
      </c>
      <c r="H115" s="116">
        <v>1.5766584E7</v>
      </c>
      <c r="I115" s="14">
        <f t="shared" si="1"/>
        <v>-4207193.05</v>
      </c>
      <c r="K115" s="97">
        <v>23165.7</v>
      </c>
      <c r="L115" s="44">
        <f t="shared" si="2"/>
        <v>0.9164118408</v>
      </c>
      <c r="M115" s="44">
        <f t="shared" si="3"/>
        <v>0.7870591361</v>
      </c>
    </row>
    <row r="116">
      <c r="A116" s="114">
        <v>45749.0</v>
      </c>
      <c r="B116" s="115" t="s">
        <v>446</v>
      </c>
      <c r="C116" s="115" t="s">
        <v>447</v>
      </c>
      <c r="D116" s="114">
        <v>45748.0</v>
      </c>
      <c r="E116" s="115"/>
      <c r="F116" s="116">
        <v>0.0</v>
      </c>
      <c r="G116" s="116">
        <v>-1.997377705E7</v>
      </c>
      <c r="H116" s="116">
        <v>1.5605887E7</v>
      </c>
      <c r="I116" s="14">
        <f t="shared" si="1"/>
        <v>-4367890.05</v>
      </c>
      <c r="K116" s="97">
        <v>23332.35</v>
      </c>
      <c r="L116" s="44">
        <f t="shared" si="2"/>
        <v>0.9230043475</v>
      </c>
      <c r="M116" s="44">
        <f t="shared" si="3"/>
        <v>0.7790372309</v>
      </c>
    </row>
    <row r="117">
      <c r="A117" s="114">
        <v>45750.0</v>
      </c>
      <c r="B117" s="115" t="s">
        <v>446</v>
      </c>
      <c r="C117" s="115" t="s">
        <v>447</v>
      </c>
      <c r="D117" s="114">
        <v>45749.0</v>
      </c>
      <c r="E117" s="115"/>
      <c r="F117" s="116">
        <v>0.0</v>
      </c>
      <c r="G117" s="116">
        <v>-1.997377705E7</v>
      </c>
      <c r="H117" s="116">
        <v>1.5861857E7</v>
      </c>
      <c r="I117" s="14">
        <f t="shared" si="1"/>
        <v>-4111920.05</v>
      </c>
      <c r="K117" s="97">
        <v>23250.1</v>
      </c>
      <c r="L117" s="44">
        <f t="shared" si="2"/>
        <v>0.9197506201</v>
      </c>
      <c r="M117" s="44">
        <f t="shared" si="3"/>
        <v>0.7918151114</v>
      </c>
    </row>
    <row r="118">
      <c r="A118" s="114">
        <v>45751.0</v>
      </c>
      <c r="B118" s="115" t="s">
        <v>446</v>
      </c>
      <c r="C118" s="115" t="s">
        <v>447</v>
      </c>
      <c r="D118" s="114">
        <v>45750.0</v>
      </c>
      <c r="E118" s="115"/>
      <c r="F118" s="116">
        <v>0.0</v>
      </c>
      <c r="G118" s="116">
        <v>-1.997377705E7</v>
      </c>
      <c r="H118" s="116">
        <v>1.5957121E7</v>
      </c>
      <c r="I118" s="14">
        <f t="shared" si="1"/>
        <v>-4016656.05</v>
      </c>
      <c r="K118" s="97">
        <v>22904.45</v>
      </c>
      <c r="L118" s="44">
        <f t="shared" si="2"/>
        <v>0.906077053</v>
      </c>
      <c r="M118" s="44">
        <f t="shared" si="3"/>
        <v>0.7965706375</v>
      </c>
    </row>
    <row r="119">
      <c r="A119" s="114">
        <v>45754.0</v>
      </c>
      <c r="B119" s="115" t="s">
        <v>446</v>
      </c>
      <c r="C119" s="115" t="s">
        <v>447</v>
      </c>
      <c r="D119" s="114">
        <v>45751.0</v>
      </c>
      <c r="E119" s="115"/>
      <c r="F119" s="116">
        <v>0.0</v>
      </c>
      <c r="G119" s="116">
        <v>-1.997377705E7</v>
      </c>
      <c r="H119" s="116">
        <v>1.5327161E7</v>
      </c>
      <c r="I119" s="14">
        <f t="shared" si="1"/>
        <v>-4646616.05</v>
      </c>
      <c r="K119" s="97">
        <v>22161.6</v>
      </c>
      <c r="L119" s="44">
        <f t="shared" si="2"/>
        <v>0.8766906526</v>
      </c>
      <c r="M119" s="44">
        <f t="shared" si="3"/>
        <v>0.7651233834</v>
      </c>
    </row>
    <row r="120">
      <c r="A120" s="114">
        <v>45755.0</v>
      </c>
      <c r="B120" s="115" t="s">
        <v>446</v>
      </c>
      <c r="C120" s="115" t="s">
        <v>447</v>
      </c>
      <c r="D120" s="114">
        <v>45754.0</v>
      </c>
      <c r="E120" s="115"/>
      <c r="F120" s="116">
        <v>0.0</v>
      </c>
      <c r="G120" s="116">
        <v>-1.997377705E7</v>
      </c>
      <c r="H120" s="116">
        <v>1.4538495E7</v>
      </c>
      <c r="I120" s="14">
        <f t="shared" si="1"/>
        <v>-5435282.05</v>
      </c>
      <c r="K120" s="97">
        <v>22535.85</v>
      </c>
      <c r="L120" s="44">
        <f t="shared" si="2"/>
        <v>0.891495607</v>
      </c>
      <c r="M120" s="44">
        <f t="shared" si="3"/>
        <v>0.7257536137</v>
      </c>
    </row>
    <row r="121">
      <c r="A121" s="114">
        <v>45756.0</v>
      </c>
      <c r="B121" s="115" t="s">
        <v>446</v>
      </c>
      <c r="C121" s="115" t="s">
        <v>447</v>
      </c>
      <c r="D121" s="114">
        <v>45755.0</v>
      </c>
      <c r="E121" s="115"/>
      <c r="F121" s="116">
        <v>0.0</v>
      </c>
      <c r="G121" s="116">
        <v>-1.997377705E7</v>
      </c>
      <c r="H121" s="116">
        <v>1.4926775E7</v>
      </c>
      <c r="I121" s="14">
        <f t="shared" si="1"/>
        <v>-5047002.05</v>
      </c>
      <c r="K121" s="97">
        <v>22399.15</v>
      </c>
      <c r="L121" s="44">
        <f t="shared" si="2"/>
        <v>0.8860878922</v>
      </c>
      <c r="M121" s="44">
        <f t="shared" si="3"/>
        <v>0.7451363362</v>
      </c>
    </row>
    <row r="122">
      <c r="A122" s="114">
        <v>45758.0</v>
      </c>
      <c r="B122" s="115" t="s">
        <v>446</v>
      </c>
      <c r="C122" s="115" t="s">
        <v>447</v>
      </c>
      <c r="D122" s="114">
        <v>45756.0</v>
      </c>
      <c r="E122" s="115"/>
      <c r="F122" s="116">
        <v>0.0</v>
      </c>
      <c r="G122" s="116">
        <v>-1.997377705E7</v>
      </c>
      <c r="H122" s="116">
        <v>1.4846767E7</v>
      </c>
      <c r="I122" s="14">
        <f t="shared" si="1"/>
        <v>-5127010.05</v>
      </c>
      <c r="K122" s="97">
        <v>22828.55</v>
      </c>
      <c r="L122" s="44">
        <f t="shared" si="2"/>
        <v>0.9030745252</v>
      </c>
      <c r="M122" s="44">
        <f t="shared" si="3"/>
        <v>0.7411423811</v>
      </c>
    </row>
    <row r="123">
      <c r="A123" s="114">
        <v>45762.0</v>
      </c>
      <c r="B123" s="115" t="s">
        <v>446</v>
      </c>
      <c r="C123" s="115" t="s">
        <v>447</v>
      </c>
      <c r="D123" s="114">
        <v>45758.0</v>
      </c>
      <c r="E123" s="115"/>
      <c r="F123" s="116">
        <v>0.0</v>
      </c>
      <c r="G123" s="116">
        <v>-1.997377705E7</v>
      </c>
      <c r="H123" s="116">
        <v>1.5356072E7</v>
      </c>
      <c r="I123" s="14">
        <f t="shared" si="1"/>
        <v>-4617705.05</v>
      </c>
      <c r="K123" s="97">
        <v>23328.55</v>
      </c>
      <c r="L123" s="44">
        <f t="shared" si="2"/>
        <v>0.9228540233</v>
      </c>
      <c r="M123" s="44">
        <f t="shared" si="3"/>
        <v>0.7665666045</v>
      </c>
    </row>
    <row r="124">
      <c r="A124" s="114">
        <v>45763.0</v>
      </c>
      <c r="B124" s="115" t="s">
        <v>446</v>
      </c>
      <c r="C124" s="115" t="s">
        <v>447</v>
      </c>
      <c r="D124" s="114">
        <v>45762.0</v>
      </c>
      <c r="E124" s="115"/>
      <c r="F124" s="116">
        <v>0.0</v>
      </c>
      <c r="G124" s="116">
        <v>-1.997377705E7</v>
      </c>
      <c r="H124" s="116">
        <v>1.5963451E7</v>
      </c>
      <c r="I124" s="14">
        <f t="shared" si="1"/>
        <v>-4010326.05</v>
      </c>
      <c r="K124" s="97">
        <v>23328.55</v>
      </c>
      <c r="L124" s="44">
        <f t="shared" si="2"/>
        <v>0.9228540233</v>
      </c>
      <c r="M124" s="44">
        <f t="shared" si="3"/>
        <v>0.7968866276</v>
      </c>
    </row>
    <row r="125">
      <c r="A125" s="114">
        <v>45764.0</v>
      </c>
      <c r="B125" s="115" t="s">
        <v>446</v>
      </c>
      <c r="C125" s="115" t="s">
        <v>447</v>
      </c>
      <c r="D125" s="114">
        <v>45763.0</v>
      </c>
      <c r="E125" s="115"/>
      <c r="F125" s="116">
        <v>0.0</v>
      </c>
      <c r="G125" s="116">
        <v>-1.997377705E7</v>
      </c>
      <c r="H125" s="116">
        <v>1.6167269E7</v>
      </c>
      <c r="I125" s="14">
        <f t="shared" si="1"/>
        <v>-3806508.05</v>
      </c>
      <c r="K125" s="97">
        <v>23328.55</v>
      </c>
      <c r="L125" s="44">
        <f t="shared" si="2"/>
        <v>0.9228540233</v>
      </c>
      <c r="M125" s="44">
        <f t="shared" si="3"/>
        <v>0.8070611092</v>
      </c>
    </row>
    <row r="126">
      <c r="A126" s="114">
        <v>45768.0</v>
      </c>
      <c r="B126" s="115" t="s">
        <v>446</v>
      </c>
      <c r="C126" s="115" t="s">
        <v>447</v>
      </c>
      <c r="D126" s="114">
        <v>45764.0</v>
      </c>
      <c r="E126" s="115"/>
      <c r="F126" s="116">
        <v>0.0</v>
      </c>
      <c r="G126" s="116">
        <v>-1.997377705E7</v>
      </c>
      <c r="H126" s="116">
        <v>1.6293157E7</v>
      </c>
      <c r="I126" s="14">
        <f t="shared" si="1"/>
        <v>-3680620.05</v>
      </c>
      <c r="K126" s="97">
        <v>23328.55</v>
      </c>
      <c r="L126" s="44">
        <f t="shared" si="2"/>
        <v>0.9228540233</v>
      </c>
      <c r="M126" s="44">
        <f t="shared" si="3"/>
        <v>0.8133453684</v>
      </c>
    </row>
    <row r="127">
      <c r="A127" s="114">
        <v>45769.0</v>
      </c>
      <c r="B127" s="115" t="s">
        <v>446</v>
      </c>
      <c r="C127" s="115" t="s">
        <v>447</v>
      </c>
      <c r="D127" s="114">
        <v>45768.0</v>
      </c>
      <c r="E127" s="115"/>
      <c r="F127" s="116">
        <v>0.0</v>
      </c>
      <c r="G127" s="116">
        <v>-1.997377705E7</v>
      </c>
      <c r="H127" s="116">
        <v>1.6589314E7</v>
      </c>
      <c r="I127" s="14">
        <f t="shared" si="1"/>
        <v>-3384463.05</v>
      </c>
      <c r="K127" s="97">
        <v>23328.55</v>
      </c>
      <c r="L127" s="44">
        <f t="shared" si="2"/>
        <v>0.9228540233</v>
      </c>
      <c r="M127" s="44">
        <f t="shared" si="3"/>
        <v>0.8281293617</v>
      </c>
    </row>
    <row r="128">
      <c r="A128" s="114">
        <v>45770.0</v>
      </c>
      <c r="B128" s="115" t="s">
        <v>446</v>
      </c>
      <c r="C128" s="115" t="s">
        <v>447</v>
      </c>
      <c r="D128" s="114">
        <v>45769.0</v>
      </c>
      <c r="E128" s="115"/>
      <c r="F128" s="116">
        <v>0.0</v>
      </c>
      <c r="G128" s="116">
        <v>-1.997377705E7</v>
      </c>
      <c r="H128" s="116">
        <v>1.6704408E7</v>
      </c>
      <c r="I128" s="14">
        <f t="shared" si="1"/>
        <v>-3269369.05</v>
      </c>
      <c r="K128" s="97">
        <v>23328.55</v>
      </c>
      <c r="L128" s="44">
        <f t="shared" si="2"/>
        <v>0.9228540233</v>
      </c>
      <c r="M128" s="44">
        <f t="shared" si="3"/>
        <v>0.8338747904</v>
      </c>
    </row>
    <row r="129">
      <c r="A129" s="114">
        <v>45771.0</v>
      </c>
      <c r="B129" s="115" t="s">
        <v>446</v>
      </c>
      <c r="C129" s="115" t="s">
        <v>447</v>
      </c>
      <c r="D129" s="114">
        <v>45770.0</v>
      </c>
      <c r="E129" s="115"/>
      <c r="F129" s="116">
        <v>0.0</v>
      </c>
      <c r="G129" s="116">
        <v>-1.997377705E7</v>
      </c>
      <c r="H129" s="116">
        <v>1.6855425E7</v>
      </c>
      <c r="I129" s="14">
        <f t="shared" si="1"/>
        <v>-3118352.05</v>
      </c>
      <c r="K129" s="97">
        <v>23328.55</v>
      </c>
      <c r="L129" s="44">
        <f t="shared" si="2"/>
        <v>0.9228540233</v>
      </c>
      <c r="M129" s="44">
        <f t="shared" si="3"/>
        <v>0.8414134754</v>
      </c>
    </row>
    <row r="130">
      <c r="A130" s="114">
        <v>45772.0</v>
      </c>
      <c r="B130" s="115" t="s">
        <v>446</v>
      </c>
      <c r="C130" s="115" t="s">
        <v>447</v>
      </c>
      <c r="D130" s="114">
        <v>45771.0</v>
      </c>
      <c r="E130" s="115"/>
      <c r="F130" s="116">
        <v>0.0</v>
      </c>
      <c r="G130" s="116">
        <v>-1.997377705E7</v>
      </c>
      <c r="H130" s="116">
        <v>1.6909032E7</v>
      </c>
      <c r="I130" s="14">
        <f t="shared" si="1"/>
        <v>-3064745.05</v>
      </c>
      <c r="K130" s="97">
        <v>23328.55</v>
      </c>
      <c r="L130" s="44">
        <f t="shared" si="2"/>
        <v>0.9228540233</v>
      </c>
      <c r="M130" s="44">
        <f t="shared" si="3"/>
        <v>0.8440895071</v>
      </c>
    </row>
    <row r="131">
      <c r="A131" s="114">
        <v>45775.0</v>
      </c>
      <c r="B131" s="115" t="s">
        <v>446</v>
      </c>
      <c r="C131" s="115" t="s">
        <v>447</v>
      </c>
      <c r="D131" s="114">
        <v>45772.0</v>
      </c>
      <c r="E131" s="115"/>
      <c r="F131" s="116">
        <v>0.0</v>
      </c>
      <c r="G131" s="116">
        <v>-1.997377705E7</v>
      </c>
      <c r="H131" s="116">
        <v>1.6475181E7</v>
      </c>
      <c r="I131" s="14">
        <f t="shared" si="1"/>
        <v>-3498596.05</v>
      </c>
      <c r="K131" s="97">
        <v>23328.55</v>
      </c>
      <c r="L131" s="44">
        <f t="shared" si="2"/>
        <v>0.9228540233</v>
      </c>
      <c r="M131" s="44">
        <f t="shared" si="3"/>
        <v>0.8224319056</v>
      </c>
    </row>
    <row r="132">
      <c r="A132" s="114">
        <v>45776.0</v>
      </c>
      <c r="B132" s="115" t="s">
        <v>446</v>
      </c>
      <c r="C132" s="115" t="s">
        <v>447</v>
      </c>
      <c r="D132" s="114">
        <v>45775.0</v>
      </c>
      <c r="E132" s="115"/>
      <c r="F132" s="116">
        <v>0.0</v>
      </c>
      <c r="G132" s="116">
        <v>-1.997377705E7</v>
      </c>
      <c r="H132" s="116">
        <v>1.6827978E7</v>
      </c>
      <c r="I132" s="14">
        <f t="shared" si="1"/>
        <v>-3145799.05</v>
      </c>
      <c r="K132" s="97">
        <v>23328.55</v>
      </c>
      <c r="L132" s="44">
        <f t="shared" si="2"/>
        <v>0.9228540233</v>
      </c>
      <c r="M132" s="44">
        <f t="shared" si="3"/>
        <v>0.8400433363</v>
      </c>
    </row>
    <row r="133">
      <c r="A133" s="114">
        <v>45777.0</v>
      </c>
      <c r="B133" s="115" t="s">
        <v>446</v>
      </c>
      <c r="C133" s="115" t="s">
        <v>447</v>
      </c>
      <c r="D133" s="114">
        <v>45776.0</v>
      </c>
      <c r="E133" s="115"/>
      <c r="F133" s="116">
        <v>0.0</v>
      </c>
      <c r="G133" s="116">
        <v>-1.997377705E7</v>
      </c>
      <c r="H133" s="116">
        <v>1.7130289E7</v>
      </c>
      <c r="I133" s="14">
        <f t="shared" si="1"/>
        <v>-2843488.05</v>
      </c>
      <c r="K133" s="97">
        <v>23328.55</v>
      </c>
      <c r="L133" s="44">
        <f t="shared" si="2"/>
        <v>0.9228540233</v>
      </c>
      <c r="M133" s="44">
        <f t="shared" si="3"/>
        <v>0.8551345339</v>
      </c>
    </row>
    <row r="134">
      <c r="A134" s="114">
        <v>45779.0</v>
      </c>
      <c r="B134" s="115" t="s">
        <v>446</v>
      </c>
      <c r="C134" s="115" t="s">
        <v>447</v>
      </c>
      <c r="D134" s="114">
        <v>45777.0</v>
      </c>
      <c r="E134" s="115"/>
      <c r="F134" s="116">
        <v>0.0</v>
      </c>
      <c r="G134" s="116">
        <v>-1.997377705E7</v>
      </c>
      <c r="H134" s="116">
        <v>1.6946268E7</v>
      </c>
      <c r="I134" s="14">
        <f t="shared" si="1"/>
        <v>-3027509.05</v>
      </c>
      <c r="K134" s="97">
        <v>23328.55</v>
      </c>
      <c r="L134" s="44">
        <f t="shared" si="2"/>
        <v>0.9228540233</v>
      </c>
      <c r="M134" s="44">
        <f t="shared" si="3"/>
        <v>0.8459483076</v>
      </c>
    </row>
    <row r="135">
      <c r="A135" s="114">
        <v>45782.0</v>
      </c>
      <c r="B135" s="115" t="s">
        <v>446</v>
      </c>
      <c r="C135" s="115" t="s">
        <v>447</v>
      </c>
      <c r="D135" s="114">
        <v>45779.0</v>
      </c>
      <c r="E135" s="115"/>
      <c r="F135" s="116">
        <v>0.0</v>
      </c>
      <c r="G135" s="116">
        <v>-1.997377705E7</v>
      </c>
      <c r="H135" s="116">
        <v>1.6874574E7</v>
      </c>
      <c r="I135" s="14">
        <f t="shared" si="1"/>
        <v>-3099203.05</v>
      </c>
      <c r="K135" s="97">
        <v>23328.55</v>
      </c>
      <c r="L135" s="44">
        <f t="shared" si="2"/>
        <v>0.9228540233</v>
      </c>
      <c r="M135" s="44">
        <f t="shared" si="3"/>
        <v>0.8423693828</v>
      </c>
    </row>
    <row r="136">
      <c r="A136" s="114">
        <v>45783.0</v>
      </c>
      <c r="B136" s="115" t="s">
        <v>446</v>
      </c>
      <c r="C136" s="115" t="s">
        <v>447</v>
      </c>
      <c r="D136" s="114">
        <v>45782.0</v>
      </c>
      <c r="E136" s="115"/>
      <c r="F136" s="116">
        <v>0.0</v>
      </c>
      <c r="G136" s="116">
        <v>-1.997377705E7</v>
      </c>
      <c r="H136" s="116">
        <v>1.7176295E7</v>
      </c>
      <c r="I136" s="14">
        <f t="shared" si="1"/>
        <v>-2797482.05</v>
      </c>
      <c r="K136" s="97">
        <v>23328.55</v>
      </c>
      <c r="L136" s="44">
        <f t="shared" si="2"/>
        <v>0.9228540233</v>
      </c>
      <c r="M136" s="44">
        <f t="shared" si="3"/>
        <v>0.857431128</v>
      </c>
    </row>
    <row r="137">
      <c r="A137" s="114">
        <v>45784.0</v>
      </c>
      <c r="B137" s="115" t="s">
        <v>446</v>
      </c>
      <c r="C137" s="115" t="s">
        <v>447</v>
      </c>
      <c r="D137" s="114">
        <v>45783.0</v>
      </c>
      <c r="E137" s="115"/>
      <c r="F137" s="116">
        <v>0.0</v>
      </c>
      <c r="G137" s="116">
        <v>-1.997377705E7</v>
      </c>
      <c r="H137" s="116">
        <v>1.6668901E7</v>
      </c>
      <c r="I137" s="14">
        <f t="shared" si="1"/>
        <v>-3304876.05</v>
      </c>
      <c r="K137" s="97">
        <v>23328.55</v>
      </c>
      <c r="L137" s="44">
        <f t="shared" si="2"/>
        <v>0.9228540233</v>
      </c>
      <c r="M137" s="44">
        <f t="shared" si="3"/>
        <v>0.8321023007</v>
      </c>
    </row>
    <row r="138">
      <c r="A138" s="114">
        <v>45785.0</v>
      </c>
      <c r="B138" s="115" t="s">
        <v>446</v>
      </c>
      <c r="C138" s="115" t="s">
        <v>447</v>
      </c>
      <c r="D138" s="114">
        <v>45784.0</v>
      </c>
      <c r="E138" s="115"/>
      <c r="F138" s="116">
        <v>0.0</v>
      </c>
      <c r="G138" s="116">
        <v>-1.997377705E7</v>
      </c>
      <c r="H138" s="116">
        <v>1.675867E7</v>
      </c>
      <c r="I138" s="14">
        <f t="shared" si="1"/>
        <v>-3215107.05</v>
      </c>
      <c r="K138" s="97">
        <v>23328.55</v>
      </c>
      <c r="L138" s="44">
        <f t="shared" si="2"/>
        <v>0.9228540233</v>
      </c>
      <c r="M138" s="44">
        <f t="shared" si="3"/>
        <v>0.8365835194</v>
      </c>
    </row>
    <row r="139">
      <c r="A139" s="114">
        <v>45786.0</v>
      </c>
      <c r="B139" s="115" t="s">
        <v>446</v>
      </c>
      <c r="C139" s="115" t="s">
        <v>447</v>
      </c>
      <c r="D139" s="114">
        <v>45785.0</v>
      </c>
      <c r="E139" s="115"/>
      <c r="F139" s="116">
        <v>0.0</v>
      </c>
      <c r="G139" s="116">
        <v>-1.997377705E7</v>
      </c>
      <c r="H139" s="116">
        <v>1.6634845E7</v>
      </c>
      <c r="I139" s="14">
        <f t="shared" si="1"/>
        <v>-3338932.05</v>
      </c>
      <c r="K139" s="97">
        <v>23328.55</v>
      </c>
      <c r="L139" s="44">
        <f t="shared" si="2"/>
        <v>0.9228540233</v>
      </c>
      <c r="M139" s="44">
        <f t="shared" si="3"/>
        <v>0.830402244</v>
      </c>
    </row>
    <row r="140">
      <c r="A140" s="114">
        <v>45789.0</v>
      </c>
      <c r="B140" s="115" t="s">
        <v>446</v>
      </c>
      <c r="C140" s="115" t="s">
        <v>447</v>
      </c>
      <c r="D140" s="114">
        <v>45786.0</v>
      </c>
      <c r="E140" s="115"/>
      <c r="F140" s="116">
        <v>0.0</v>
      </c>
      <c r="G140" s="116">
        <v>-1.997377705E7</v>
      </c>
      <c r="H140" s="116">
        <v>1.6619066E7</v>
      </c>
      <c r="I140" s="14">
        <f t="shared" si="1"/>
        <v>-3354711.05</v>
      </c>
      <c r="K140" s="97">
        <v>23328.55</v>
      </c>
      <c r="L140" s="44">
        <f t="shared" si="2"/>
        <v>0.9228540233</v>
      </c>
      <c r="M140" s="44">
        <f t="shared" si="3"/>
        <v>0.8296145651</v>
      </c>
    </row>
    <row r="141">
      <c r="A141" s="114">
        <v>45790.0</v>
      </c>
      <c r="B141" s="115" t="s">
        <v>446</v>
      </c>
      <c r="C141" s="115" t="s">
        <v>447</v>
      </c>
      <c r="D141" s="114">
        <v>45789.0</v>
      </c>
      <c r="E141" s="115"/>
      <c r="F141" s="116">
        <v>0.0</v>
      </c>
      <c r="G141" s="116">
        <v>-1.997377705E7</v>
      </c>
      <c r="H141" s="116">
        <v>1.7285497E7</v>
      </c>
      <c r="I141" s="14">
        <f t="shared" si="1"/>
        <v>-2688280.05</v>
      </c>
      <c r="K141" s="97">
        <v>23328.55</v>
      </c>
      <c r="L141" s="44">
        <f t="shared" si="2"/>
        <v>0.9228540233</v>
      </c>
      <c r="M141" s="44">
        <f t="shared" si="3"/>
        <v>0.8628824313</v>
      </c>
    </row>
    <row r="142">
      <c r="A142" s="114">
        <v>45791.0</v>
      </c>
      <c r="B142" s="115" t="s">
        <v>446</v>
      </c>
      <c r="C142" s="115" t="s">
        <v>447</v>
      </c>
      <c r="D142" s="114">
        <v>45790.0</v>
      </c>
      <c r="E142" s="115"/>
      <c r="F142" s="116">
        <v>0.0</v>
      </c>
      <c r="G142" s="116">
        <v>-1.997377705E7</v>
      </c>
      <c r="H142" s="116">
        <v>1.7558479E7</v>
      </c>
      <c r="I142" s="14">
        <f t="shared" si="1"/>
        <v>-2415298.05</v>
      </c>
      <c r="K142" s="97">
        <v>23328.55</v>
      </c>
      <c r="L142" s="44">
        <f t="shared" si="2"/>
        <v>0.9228540233</v>
      </c>
      <c r="M142" s="44">
        <f t="shared" si="3"/>
        <v>0.8765095415</v>
      </c>
    </row>
    <row r="143">
      <c r="A143" s="114">
        <v>45792.0</v>
      </c>
      <c r="B143" s="115" t="s">
        <v>446</v>
      </c>
      <c r="C143" s="115" t="s">
        <v>447</v>
      </c>
      <c r="D143" s="114">
        <v>45791.0</v>
      </c>
      <c r="E143" s="115"/>
      <c r="F143" s="116">
        <v>0.0</v>
      </c>
      <c r="G143" s="116">
        <v>-1.997377705E7</v>
      </c>
      <c r="H143" s="116">
        <v>1.8040659E7</v>
      </c>
      <c r="I143" s="14">
        <f t="shared" si="1"/>
        <v>-1933118.05</v>
      </c>
      <c r="K143" s="97">
        <v>23328.55</v>
      </c>
      <c r="L143" s="44">
        <f t="shared" si="2"/>
        <v>0.9228540233</v>
      </c>
      <c r="M143" s="44">
        <f t="shared" si="3"/>
        <v>0.9005796998</v>
      </c>
    </row>
    <row r="144">
      <c r="A144" s="114">
        <v>45793.0</v>
      </c>
      <c r="B144" s="115" t="s">
        <v>446</v>
      </c>
      <c r="C144" s="115" t="s">
        <v>447</v>
      </c>
      <c r="D144" s="114">
        <v>45792.0</v>
      </c>
      <c r="E144" s="115"/>
      <c r="F144" s="116">
        <v>0.0</v>
      </c>
      <c r="G144" s="116">
        <v>-1.997377705E7</v>
      </c>
      <c r="H144" s="116">
        <v>1.8134143E7</v>
      </c>
      <c r="I144" s="14">
        <f t="shared" si="1"/>
        <v>-1839634.05</v>
      </c>
      <c r="K144" s="97">
        <v>23328.55</v>
      </c>
      <c r="L144" s="44">
        <f t="shared" si="2"/>
        <v>0.9228540233</v>
      </c>
      <c r="M144" s="44">
        <f t="shared" si="3"/>
        <v>0.9052463693</v>
      </c>
    </row>
    <row r="145">
      <c r="A145" s="114">
        <v>45796.0</v>
      </c>
      <c r="B145" s="115" t="s">
        <v>446</v>
      </c>
      <c r="C145" s="115" t="s">
        <v>447</v>
      </c>
      <c r="D145" s="114">
        <v>45793.0</v>
      </c>
      <c r="E145" s="115"/>
      <c r="F145" s="116">
        <v>0.0</v>
      </c>
      <c r="G145" s="116">
        <v>-1.997377705E7</v>
      </c>
      <c r="H145" s="116">
        <v>1.8606594E7</v>
      </c>
      <c r="I145" s="14">
        <f t="shared" si="1"/>
        <v>-1367183.05</v>
      </c>
      <c r="K145" s="97">
        <v>23328.55</v>
      </c>
      <c r="L145" s="44">
        <f t="shared" si="2"/>
        <v>0.9228540233</v>
      </c>
      <c r="M145" s="44">
        <f t="shared" si="3"/>
        <v>0.9288308614</v>
      </c>
    </row>
    <row r="146">
      <c r="A146" s="114">
        <v>45797.0</v>
      </c>
      <c r="B146" s="115" t="s">
        <v>446</v>
      </c>
      <c r="C146" s="115" t="s">
        <v>447</v>
      </c>
      <c r="D146" s="114">
        <v>45796.0</v>
      </c>
      <c r="E146" s="115"/>
      <c r="F146" s="116">
        <v>0.0</v>
      </c>
      <c r="G146" s="116">
        <v>-1.997377705E7</v>
      </c>
      <c r="H146" s="116">
        <v>1.8601087E7</v>
      </c>
      <c r="I146" s="14">
        <f t="shared" si="1"/>
        <v>-1372690.05</v>
      </c>
      <c r="K146" s="97">
        <v>23328.55</v>
      </c>
      <c r="L146" s="44">
        <f t="shared" si="2"/>
        <v>0.9228540233</v>
      </c>
      <c r="M146" s="44">
        <f t="shared" si="3"/>
        <v>0.928555955</v>
      </c>
    </row>
    <row r="147">
      <c r="A147" s="114">
        <v>45798.0</v>
      </c>
      <c r="B147" s="115" t="s">
        <v>446</v>
      </c>
      <c r="C147" s="115" t="s">
        <v>447</v>
      </c>
      <c r="D147" s="114">
        <v>45797.0</v>
      </c>
      <c r="E147" s="115"/>
      <c r="F147" s="116">
        <v>0.0</v>
      </c>
      <c r="G147" s="116">
        <v>-1.997377705E7</v>
      </c>
      <c r="H147" s="116">
        <v>1.8267668E7</v>
      </c>
      <c r="I147" s="14">
        <f t="shared" si="1"/>
        <v>-1706109.05</v>
      </c>
      <c r="K147" s="97">
        <v>23328.55</v>
      </c>
      <c r="L147" s="44">
        <f t="shared" si="2"/>
        <v>0.9228540233</v>
      </c>
      <c r="M147" s="44">
        <f t="shared" si="3"/>
        <v>0.9119118633</v>
      </c>
    </row>
    <row r="148">
      <c r="A148" s="114">
        <v>45799.0</v>
      </c>
      <c r="B148" s="115" t="s">
        <v>446</v>
      </c>
      <c r="C148" s="115" t="s">
        <v>447</v>
      </c>
      <c r="D148" s="114">
        <v>45798.0</v>
      </c>
      <c r="E148" s="115"/>
      <c r="F148" s="116">
        <v>0.0</v>
      </c>
      <c r="G148" s="116">
        <v>-1.997377705E7</v>
      </c>
      <c r="H148" s="116">
        <v>1.8372689E7</v>
      </c>
      <c r="I148" s="14">
        <f t="shared" si="1"/>
        <v>-1601088.05</v>
      </c>
      <c r="K148" s="97">
        <v>23328.55</v>
      </c>
      <c r="L148" s="44">
        <f t="shared" si="2"/>
        <v>0.9228540233</v>
      </c>
      <c r="M148" s="44">
        <f t="shared" si="3"/>
        <v>0.9171544535</v>
      </c>
    </row>
    <row r="149">
      <c r="A149" s="114">
        <v>45800.0</v>
      </c>
      <c r="B149" s="115" t="s">
        <v>446</v>
      </c>
      <c r="C149" s="115" t="s">
        <v>447</v>
      </c>
      <c r="D149" s="114">
        <v>45799.0</v>
      </c>
      <c r="E149" s="115"/>
      <c r="F149" s="116">
        <v>0.0</v>
      </c>
      <c r="G149" s="116">
        <v>-1.997377705E7</v>
      </c>
      <c r="H149" s="116">
        <v>1.8545296E7</v>
      </c>
      <c r="I149" s="14">
        <f t="shared" si="1"/>
        <v>-1428481.05</v>
      </c>
      <c r="K149" s="97">
        <v>23328.55</v>
      </c>
      <c r="L149" s="44">
        <f t="shared" si="2"/>
        <v>0.9228540233</v>
      </c>
      <c r="M149" s="44">
        <f t="shared" si="3"/>
        <v>0.9257708992</v>
      </c>
    </row>
    <row r="150">
      <c r="A150" s="114">
        <v>45803.0</v>
      </c>
      <c r="B150" s="115" t="s">
        <v>446</v>
      </c>
      <c r="C150" s="115" t="s">
        <v>447</v>
      </c>
      <c r="D150" s="114">
        <v>45800.0</v>
      </c>
      <c r="E150" s="115"/>
      <c r="F150" s="116">
        <v>0.0</v>
      </c>
      <c r="G150" s="116">
        <v>-1.997377705E7</v>
      </c>
      <c r="H150" s="116">
        <v>1.7651635E7</v>
      </c>
      <c r="I150" s="14">
        <f t="shared" si="1"/>
        <v>-2322142.05</v>
      </c>
      <c r="K150" s="97">
        <v>23328.55</v>
      </c>
      <c r="L150" s="44">
        <f t="shared" si="2"/>
        <v>0.9228540233</v>
      </c>
      <c r="M150" s="44">
        <f t="shared" si="3"/>
        <v>0.8811598374</v>
      </c>
    </row>
    <row r="151">
      <c r="A151" s="114">
        <v>45804.0</v>
      </c>
      <c r="B151" s="115" t="s">
        <v>446</v>
      </c>
      <c r="C151" s="115" t="s">
        <v>447</v>
      </c>
      <c r="D151" s="114">
        <v>45803.0</v>
      </c>
      <c r="E151" s="115"/>
      <c r="F151" s="116">
        <v>0.0</v>
      </c>
      <c r="G151" s="116">
        <v>-1.997377705E7</v>
      </c>
      <c r="H151" s="116">
        <v>1.7770364E7</v>
      </c>
      <c r="I151" s="14">
        <f t="shared" si="1"/>
        <v>-2203413.05</v>
      </c>
      <c r="K151" s="97">
        <v>23328.55</v>
      </c>
      <c r="L151" s="44">
        <f t="shared" si="2"/>
        <v>0.9228540233</v>
      </c>
      <c r="M151" s="44">
        <f t="shared" si="3"/>
        <v>0.8870867232</v>
      </c>
    </row>
    <row r="152">
      <c r="A152" s="114">
        <v>45805.0</v>
      </c>
      <c r="B152" s="115" t="s">
        <v>446</v>
      </c>
      <c r="C152" s="115" t="s">
        <v>447</v>
      </c>
      <c r="D152" s="114">
        <v>45804.0</v>
      </c>
      <c r="E152" s="115"/>
      <c r="F152" s="116">
        <v>0.0</v>
      </c>
      <c r="G152" s="116">
        <v>-1.997377705E7</v>
      </c>
      <c r="H152" s="116">
        <v>1.7980072E7</v>
      </c>
      <c r="I152" s="14">
        <f t="shared" si="1"/>
        <v>-1993705.05</v>
      </c>
      <c r="K152" s="97">
        <v>23328.55</v>
      </c>
      <c r="L152" s="44">
        <f t="shared" si="2"/>
        <v>0.9228540233</v>
      </c>
      <c r="M152" s="44">
        <f t="shared" si="3"/>
        <v>0.8975552304</v>
      </c>
    </row>
    <row r="153">
      <c r="A153" s="114">
        <v>45806.0</v>
      </c>
      <c r="B153" s="115" t="s">
        <v>446</v>
      </c>
      <c r="C153" s="115" t="s">
        <v>447</v>
      </c>
      <c r="D153" s="114">
        <v>45805.0</v>
      </c>
      <c r="E153" s="115"/>
      <c r="F153" s="116">
        <v>0.0</v>
      </c>
      <c r="G153" s="116">
        <v>-1.997377705E7</v>
      </c>
      <c r="H153" s="116">
        <v>1.9108398E7</v>
      </c>
      <c r="I153" s="14">
        <f t="shared" si="1"/>
        <v>-865379.05</v>
      </c>
      <c r="K153" s="97">
        <v>23328.55</v>
      </c>
      <c r="L153" s="44">
        <f t="shared" si="2"/>
        <v>0.9228540233</v>
      </c>
      <c r="M153" s="44">
        <f t="shared" si="3"/>
        <v>0.953880639</v>
      </c>
    </row>
    <row r="154">
      <c r="A154" s="114">
        <v>45807.0</v>
      </c>
      <c r="B154" s="115" t="s">
        <v>446</v>
      </c>
      <c r="C154" s="115" t="s">
        <v>447</v>
      </c>
      <c r="D154" s="114">
        <v>45806.0</v>
      </c>
      <c r="E154" s="115"/>
      <c r="F154" s="116">
        <v>0.0</v>
      </c>
      <c r="G154" s="116">
        <v>-1.997377705E7</v>
      </c>
      <c r="H154" s="116">
        <v>1.9529829E7</v>
      </c>
      <c r="I154" s="14">
        <f t="shared" si="1"/>
        <v>-443948.05</v>
      </c>
      <c r="K154" s="97">
        <v>23328.55</v>
      </c>
      <c r="L154" s="44">
        <f t="shared" si="2"/>
        <v>0.9228540233</v>
      </c>
      <c r="M154" s="44">
        <f t="shared" si="3"/>
        <v>0.974918241</v>
      </c>
    </row>
    <row r="155">
      <c r="A155" s="114">
        <v>45810.0</v>
      </c>
      <c r="B155" s="115" t="s">
        <v>446</v>
      </c>
      <c r="C155" s="115" t="s">
        <v>447</v>
      </c>
      <c r="D155" s="114">
        <v>45807.0</v>
      </c>
      <c r="E155" s="115"/>
      <c r="F155" s="116">
        <v>0.0</v>
      </c>
      <c r="G155" s="116">
        <v>-1.997377705E7</v>
      </c>
      <c r="H155" s="116">
        <v>1.942917E7</v>
      </c>
      <c r="I155" s="14">
        <f t="shared" si="1"/>
        <v>-544607.05</v>
      </c>
      <c r="K155" s="97">
        <v>23328.55</v>
      </c>
      <c r="L155" s="44">
        <f t="shared" si="2"/>
        <v>0.9228540233</v>
      </c>
      <c r="M155" s="44">
        <f t="shared" si="3"/>
        <v>0.9698933995</v>
      </c>
    </row>
    <row r="156">
      <c r="A156" s="114">
        <v>45811.0</v>
      </c>
      <c r="B156" s="115" t="s">
        <v>446</v>
      </c>
      <c r="C156" s="115" t="s">
        <v>447</v>
      </c>
      <c r="D156" s="114">
        <v>45810.0</v>
      </c>
      <c r="E156" s="115"/>
      <c r="F156" s="116">
        <v>0.0</v>
      </c>
      <c r="G156" s="116">
        <v>-1.997377705E7</v>
      </c>
      <c r="H156" s="116">
        <v>1.9353955E7</v>
      </c>
      <c r="I156" s="14">
        <f t="shared" si="1"/>
        <v>-619822.05</v>
      </c>
      <c r="K156" s="97">
        <v>23328.55</v>
      </c>
      <c r="L156" s="44">
        <f t="shared" si="2"/>
        <v>0.9228540233</v>
      </c>
      <c r="M156" s="44">
        <f t="shared" si="3"/>
        <v>0.9661387084</v>
      </c>
    </row>
    <row r="157">
      <c r="A157" s="59">
        <v>45812.0</v>
      </c>
      <c r="B157" s="8" t="s">
        <v>463</v>
      </c>
      <c r="C157" s="8" t="s">
        <v>464</v>
      </c>
      <c r="D157" s="59">
        <v>45811.0</v>
      </c>
      <c r="E157" s="8">
        <v>0.0</v>
      </c>
      <c r="F157" s="8">
        <v>1126351.56</v>
      </c>
      <c r="G157" s="8">
        <v>-1.884742589E7</v>
      </c>
      <c r="H157" s="8">
        <v>1.9611766E7</v>
      </c>
      <c r="I157" s="14">
        <f t="shared" si="1"/>
        <v>764340.11</v>
      </c>
    </row>
    <row r="158">
      <c r="A158" s="59">
        <v>45812.0</v>
      </c>
      <c r="B158" s="8" t="s">
        <v>465</v>
      </c>
      <c r="C158" s="8" t="s">
        <v>466</v>
      </c>
      <c r="D158" s="59">
        <v>45811.0</v>
      </c>
      <c r="E158" s="8">
        <v>1133779.65</v>
      </c>
      <c r="F158" s="8">
        <v>0.0</v>
      </c>
      <c r="G158" s="8">
        <v>-1.998120554E7</v>
      </c>
      <c r="H158" s="8">
        <v>1.9611766E7</v>
      </c>
      <c r="I158" s="14">
        <f t="shared" si="1"/>
        <v>-369439.54</v>
      </c>
    </row>
    <row r="159">
      <c r="A159" s="59">
        <v>45813.0</v>
      </c>
      <c r="B159" s="8" t="s">
        <v>465</v>
      </c>
      <c r="C159" s="8" t="s">
        <v>466</v>
      </c>
      <c r="D159" s="59">
        <v>45812.0</v>
      </c>
      <c r="F159" s="8">
        <v>0.0</v>
      </c>
      <c r="G159" s="8">
        <v>-1.998120554E7</v>
      </c>
      <c r="H159" s="8">
        <v>1.9436799E7</v>
      </c>
      <c r="I159" s="14">
        <f t="shared" si="1"/>
        <v>-544406.54</v>
      </c>
    </row>
    <row r="160">
      <c r="A160" s="59">
        <v>45814.0</v>
      </c>
      <c r="B160" s="8" t="s">
        <v>465</v>
      </c>
      <c r="C160" s="8" t="s">
        <v>466</v>
      </c>
      <c r="D160" s="59">
        <v>45813.0</v>
      </c>
      <c r="F160" s="8">
        <v>0.0</v>
      </c>
      <c r="G160" s="8">
        <v>-1.998120554E7</v>
      </c>
      <c r="H160" s="8">
        <v>1.9569757E7</v>
      </c>
      <c r="I160" s="14">
        <f t="shared" si="1"/>
        <v>-411448.54</v>
      </c>
    </row>
    <row r="161">
      <c r="A161" s="59">
        <v>45817.0</v>
      </c>
      <c r="B161" s="8" t="s">
        <v>465</v>
      </c>
      <c r="C161" s="8" t="s">
        <v>466</v>
      </c>
      <c r="D161" s="59">
        <v>45814.0</v>
      </c>
      <c r="F161" s="8">
        <v>0.0</v>
      </c>
      <c r="G161" s="8">
        <v>-1.998120554E7</v>
      </c>
      <c r="H161" s="8">
        <v>1.9566898E7</v>
      </c>
      <c r="I161" s="14">
        <f t="shared" si="1"/>
        <v>-414307.54</v>
      </c>
    </row>
    <row r="162">
      <c r="A162" s="59">
        <v>45818.0</v>
      </c>
      <c r="B162" s="8" t="s">
        <v>465</v>
      </c>
      <c r="C162" s="8" t="s">
        <v>466</v>
      </c>
      <c r="D162" s="59">
        <v>45817.0</v>
      </c>
      <c r="F162" s="8">
        <v>0.0</v>
      </c>
      <c r="G162" s="8">
        <v>-1.998120554E7</v>
      </c>
      <c r="H162" s="8">
        <v>2.0091866E7</v>
      </c>
      <c r="I162" s="14">
        <f t="shared" si="1"/>
        <v>110660.46</v>
      </c>
    </row>
    <row r="163">
      <c r="A163" s="59">
        <v>45819.0</v>
      </c>
      <c r="B163" s="8" t="s">
        <v>465</v>
      </c>
      <c r="C163" s="8" t="s">
        <v>466</v>
      </c>
      <c r="D163" s="59">
        <v>45818.0</v>
      </c>
      <c r="F163" s="8">
        <v>0.0</v>
      </c>
      <c r="G163" s="8">
        <v>-1.998120554E7</v>
      </c>
      <c r="H163" s="8">
        <v>2.017349E7</v>
      </c>
      <c r="I163" s="14">
        <f t="shared" si="1"/>
        <v>192284.46</v>
      </c>
    </row>
    <row r="164">
      <c r="A164" s="59">
        <v>45820.0</v>
      </c>
      <c r="B164" s="8" t="s">
        <v>465</v>
      </c>
      <c r="C164" s="8" t="s">
        <v>466</v>
      </c>
      <c r="D164" s="59">
        <v>45819.0</v>
      </c>
      <c r="F164" s="8">
        <v>0.0</v>
      </c>
      <c r="G164" s="8">
        <v>-1.998120554E7</v>
      </c>
      <c r="H164" s="8">
        <v>2.0272556E7</v>
      </c>
      <c r="I164" s="14">
        <f t="shared" si="1"/>
        <v>291350.46</v>
      </c>
    </row>
    <row r="165">
      <c r="A165" s="59">
        <v>45821.0</v>
      </c>
      <c r="B165" s="8" t="s">
        <v>465</v>
      </c>
      <c r="C165" s="8" t="s">
        <v>466</v>
      </c>
      <c r="D165" s="59">
        <v>45820.0</v>
      </c>
      <c r="F165" s="8">
        <v>0.0</v>
      </c>
      <c r="G165" s="8">
        <v>-1.998120554E7</v>
      </c>
      <c r="H165" s="8">
        <v>1.9893139E7</v>
      </c>
      <c r="I165" s="14">
        <f t="shared" si="1"/>
        <v>-88066.54</v>
      </c>
    </row>
    <row r="166">
      <c r="A166" s="59">
        <v>45824.0</v>
      </c>
      <c r="B166" s="8" t="s">
        <v>465</v>
      </c>
      <c r="C166" s="8" t="s">
        <v>466</v>
      </c>
      <c r="D166" s="59">
        <v>45821.0</v>
      </c>
      <c r="F166" s="8">
        <v>0.0</v>
      </c>
      <c r="G166" s="8">
        <v>-1.998120554E7</v>
      </c>
      <c r="H166" s="8">
        <v>1.9839722E7</v>
      </c>
      <c r="I166" s="14">
        <f t="shared" si="1"/>
        <v>-141483.54</v>
      </c>
    </row>
    <row r="167">
      <c r="A167" s="59">
        <v>45825.0</v>
      </c>
      <c r="B167" s="8" t="s">
        <v>465</v>
      </c>
      <c r="C167" s="8" t="s">
        <v>466</v>
      </c>
      <c r="D167" s="59">
        <v>45824.0</v>
      </c>
      <c r="F167" s="8">
        <v>0.0</v>
      </c>
      <c r="G167" s="8">
        <v>-1.998120554E7</v>
      </c>
      <c r="H167" s="8">
        <v>1.9904229E7</v>
      </c>
      <c r="I167" s="14">
        <f t="shared" si="1"/>
        <v>-76976.54</v>
      </c>
    </row>
    <row r="168">
      <c r="A168" s="59">
        <v>45826.0</v>
      </c>
      <c r="B168" s="8" t="s">
        <v>465</v>
      </c>
      <c r="C168" s="8" t="s">
        <v>466</v>
      </c>
      <c r="D168" s="59">
        <v>45825.0</v>
      </c>
      <c r="F168" s="8">
        <v>0.0</v>
      </c>
      <c r="G168" s="8">
        <v>-1.998120554E7</v>
      </c>
      <c r="H168" s="8">
        <v>1.9786751E7</v>
      </c>
      <c r="I168" s="14">
        <f t="shared" si="1"/>
        <v>-194454.54</v>
      </c>
    </row>
    <row r="169">
      <c r="A169" s="59">
        <v>45827.0</v>
      </c>
      <c r="B169" s="8" t="s">
        <v>465</v>
      </c>
      <c r="C169" s="8" t="s">
        <v>466</v>
      </c>
      <c r="D169" s="59">
        <v>45826.0</v>
      </c>
      <c r="F169" s="8">
        <v>0.0</v>
      </c>
      <c r="G169" s="8">
        <v>-1.998120554E7</v>
      </c>
      <c r="H169" s="8">
        <v>1.9787684E7</v>
      </c>
      <c r="I169" s="14">
        <f t="shared" si="1"/>
        <v>-193521.54</v>
      </c>
    </row>
    <row r="170">
      <c r="A170" s="59">
        <v>45828.0</v>
      </c>
      <c r="B170" s="8" t="s">
        <v>465</v>
      </c>
      <c r="C170" s="8" t="s">
        <v>466</v>
      </c>
      <c r="D170" s="59">
        <v>45827.0</v>
      </c>
      <c r="F170" s="8">
        <v>0.0</v>
      </c>
      <c r="G170" s="8">
        <v>-1.998120554E7</v>
      </c>
      <c r="H170" s="8">
        <v>1.9387303E7</v>
      </c>
      <c r="I170" s="14">
        <f t="shared" si="1"/>
        <v>-593902.54</v>
      </c>
    </row>
    <row r="171">
      <c r="A171" s="59">
        <v>45831.0</v>
      </c>
      <c r="B171" s="8" t="s">
        <v>465</v>
      </c>
      <c r="C171" s="8" t="s">
        <v>466</v>
      </c>
      <c r="D171" s="59">
        <v>45828.0</v>
      </c>
      <c r="F171" s="8">
        <v>0.0</v>
      </c>
      <c r="G171" s="8">
        <v>-1.998120554E7</v>
      </c>
      <c r="H171" s="8">
        <v>1.9652271E7</v>
      </c>
      <c r="I171" s="14">
        <f t="shared" si="1"/>
        <v>-328934.54</v>
      </c>
    </row>
    <row r="172">
      <c r="A172" s="59">
        <v>45832.0</v>
      </c>
      <c r="B172" s="8" t="s">
        <v>465</v>
      </c>
      <c r="C172" s="8" t="s">
        <v>466</v>
      </c>
      <c r="D172" s="59">
        <v>45831.0</v>
      </c>
      <c r="F172" s="8">
        <v>0.0</v>
      </c>
      <c r="G172" s="8">
        <v>-1.998120554E7</v>
      </c>
      <c r="H172" s="8">
        <v>1.9814406E7</v>
      </c>
      <c r="I172" s="14">
        <f t="shared" si="1"/>
        <v>-166799.54</v>
      </c>
    </row>
    <row r="173">
      <c r="A173" s="59">
        <v>45833.0</v>
      </c>
      <c r="B173" s="8" t="s">
        <v>465</v>
      </c>
      <c r="C173" s="8" t="s">
        <v>466</v>
      </c>
      <c r="D173" s="59">
        <v>45832.0</v>
      </c>
      <c r="F173" s="8">
        <v>0.0</v>
      </c>
      <c r="G173" s="8">
        <v>-1.998120554E7</v>
      </c>
      <c r="H173" s="8">
        <v>1.995389E7</v>
      </c>
      <c r="I173" s="14">
        <f t="shared" si="1"/>
        <v>-27315.54</v>
      </c>
    </row>
    <row r="174">
      <c r="A174" s="59">
        <v>45834.0</v>
      </c>
      <c r="B174" s="8" t="s">
        <v>465</v>
      </c>
      <c r="C174" s="8" t="s">
        <v>466</v>
      </c>
      <c r="D174" s="59">
        <v>45833.0</v>
      </c>
      <c r="F174" s="8">
        <v>0.0</v>
      </c>
      <c r="G174" s="8">
        <v>-1.998120554E7</v>
      </c>
      <c r="H174" s="8">
        <v>2.0122776E7</v>
      </c>
      <c r="I174" s="14">
        <f t="shared" si="1"/>
        <v>141570.46</v>
      </c>
    </row>
    <row r="175">
      <c r="A175" s="59">
        <v>45835.0</v>
      </c>
      <c r="B175" s="8" t="s">
        <v>465</v>
      </c>
      <c r="C175" s="8" t="s">
        <v>466</v>
      </c>
      <c r="D175" s="59">
        <v>45834.0</v>
      </c>
      <c r="F175" s="8">
        <v>0.0</v>
      </c>
      <c r="G175" s="8">
        <v>-1.998120554E7</v>
      </c>
      <c r="H175" s="8">
        <v>2.0130809E7</v>
      </c>
      <c r="I175" s="14">
        <f t="shared" si="1"/>
        <v>149603.46</v>
      </c>
    </row>
    <row r="176">
      <c r="A176" s="59">
        <v>45838.0</v>
      </c>
      <c r="B176" s="8" t="s">
        <v>465</v>
      </c>
      <c r="C176" s="8" t="s">
        <v>466</v>
      </c>
      <c r="D176" s="59">
        <v>45835.0</v>
      </c>
      <c r="F176" s="8">
        <v>0.0</v>
      </c>
      <c r="G176" s="8">
        <v>-1.998120554E7</v>
      </c>
      <c r="H176" s="8">
        <v>2.0395255E7</v>
      </c>
      <c r="I176" s="14">
        <f t="shared" si="1"/>
        <v>414049.46</v>
      </c>
    </row>
    <row r="177">
      <c r="A177" s="59">
        <v>45839.0</v>
      </c>
      <c r="B177" s="8" t="s">
        <v>465</v>
      </c>
      <c r="C177" s="8" t="s">
        <v>466</v>
      </c>
      <c r="D177" s="59">
        <v>45838.0</v>
      </c>
      <c r="F177" s="8">
        <v>0.0</v>
      </c>
      <c r="G177" s="8">
        <v>-1.998120554E7</v>
      </c>
      <c r="H177" s="8">
        <v>2.0633991E7</v>
      </c>
      <c r="I177" s="14">
        <f t="shared" si="1"/>
        <v>652785.46</v>
      </c>
    </row>
    <row r="178">
      <c r="A178" s="59">
        <v>45840.0</v>
      </c>
      <c r="B178" s="8" t="s">
        <v>465</v>
      </c>
      <c r="C178" s="8" t="s">
        <v>466</v>
      </c>
      <c r="D178" s="59">
        <v>45839.0</v>
      </c>
      <c r="F178" s="8">
        <v>0.0</v>
      </c>
      <c r="G178" s="8">
        <v>-1.998120554E7</v>
      </c>
      <c r="H178" s="8">
        <v>2.0427388E7</v>
      </c>
      <c r="I178" s="14">
        <f t="shared" si="1"/>
        <v>446182.46</v>
      </c>
    </row>
    <row r="179">
      <c r="A179" s="59">
        <v>45841.0</v>
      </c>
      <c r="B179" s="8" t="s">
        <v>465</v>
      </c>
      <c r="C179" s="8" t="s">
        <v>466</v>
      </c>
      <c r="D179" s="59">
        <v>45840.0</v>
      </c>
      <c r="F179" s="8">
        <v>0.0</v>
      </c>
      <c r="G179" s="8">
        <v>-1.998120554E7</v>
      </c>
      <c r="H179" s="8">
        <v>2.0504924E7</v>
      </c>
      <c r="I179" s="14">
        <f t="shared" si="1"/>
        <v>523718.46</v>
      </c>
    </row>
    <row r="180">
      <c r="A180" s="59">
        <v>45842.0</v>
      </c>
      <c r="B180" s="8" t="s">
        <v>465</v>
      </c>
      <c r="C180" s="8" t="s">
        <v>466</v>
      </c>
      <c r="D180" s="59">
        <v>45841.0</v>
      </c>
      <c r="F180" s="8">
        <v>0.0</v>
      </c>
      <c r="G180" s="8">
        <v>-1.998120554E7</v>
      </c>
      <c r="H180" s="8">
        <v>2.0542415E7</v>
      </c>
      <c r="I180" s="14">
        <f t="shared" si="1"/>
        <v>561209.46</v>
      </c>
    </row>
    <row r="181">
      <c r="A181" s="59">
        <v>45845.0</v>
      </c>
      <c r="B181" s="8" t="s">
        <v>465</v>
      </c>
      <c r="C181" s="8" t="s">
        <v>466</v>
      </c>
      <c r="D181" s="59">
        <v>45842.0</v>
      </c>
      <c r="F181" s="8">
        <v>0.0</v>
      </c>
      <c r="G181" s="8">
        <v>-1.998120554E7</v>
      </c>
      <c r="H181" s="8">
        <v>2.0476258E7</v>
      </c>
      <c r="I181" s="14">
        <f t="shared" si="1"/>
        <v>495052.46</v>
      </c>
    </row>
    <row r="182">
      <c r="A182" s="59">
        <v>45846.0</v>
      </c>
      <c r="B182" s="8" t="s">
        <v>465</v>
      </c>
      <c r="C182" s="8" t="s">
        <v>466</v>
      </c>
      <c r="D182" s="59">
        <v>45845.0</v>
      </c>
      <c r="F182" s="8">
        <v>0.0</v>
      </c>
      <c r="G182" s="8">
        <v>-1.998120554E7</v>
      </c>
      <c r="H182" s="8">
        <v>2.0246494E7</v>
      </c>
      <c r="I182" s="14">
        <f t="shared" si="1"/>
        <v>265288.46</v>
      </c>
    </row>
    <row r="183">
      <c r="A183" s="59">
        <v>45847.0</v>
      </c>
      <c r="B183" s="8" t="s">
        <v>465</v>
      </c>
      <c r="C183" s="8" t="s">
        <v>466</v>
      </c>
      <c r="D183" s="59">
        <v>45846.0</v>
      </c>
      <c r="F183" s="8">
        <v>0.0</v>
      </c>
      <c r="G183" s="8">
        <v>-1.998120554E7</v>
      </c>
      <c r="H183" s="8">
        <v>1.9967186E7</v>
      </c>
      <c r="I183" s="14">
        <f t="shared" si="1"/>
        <v>-14019.54</v>
      </c>
    </row>
    <row r="184">
      <c r="A184" s="59">
        <v>45848.0</v>
      </c>
      <c r="B184" s="8" t="s">
        <v>465</v>
      </c>
      <c r="C184" s="8" t="s">
        <v>466</v>
      </c>
      <c r="D184" s="59">
        <v>45847.0</v>
      </c>
      <c r="F184" s="8">
        <v>0.0</v>
      </c>
      <c r="G184" s="8">
        <v>-1.998120554E7</v>
      </c>
      <c r="H184" s="8">
        <v>2.0241329E7</v>
      </c>
      <c r="I184" s="14">
        <f t="shared" si="1"/>
        <v>260123.46</v>
      </c>
    </row>
    <row r="185">
      <c r="A185" s="59">
        <v>45849.0</v>
      </c>
      <c r="B185" s="8" t="s">
        <v>465</v>
      </c>
      <c r="C185" s="8" t="s">
        <v>466</v>
      </c>
      <c r="D185" s="59">
        <v>45848.0</v>
      </c>
      <c r="F185" s="8">
        <v>0.0</v>
      </c>
      <c r="G185" s="8">
        <v>-1.998120554E7</v>
      </c>
      <c r="H185" s="8">
        <v>2.016075E7</v>
      </c>
      <c r="I185" s="14">
        <f t="shared" si="1"/>
        <v>179544.46</v>
      </c>
    </row>
    <row r="186">
      <c r="A186" s="59">
        <v>45852.0</v>
      </c>
      <c r="B186" s="8" t="s">
        <v>465</v>
      </c>
      <c r="C186" s="8" t="s">
        <v>466</v>
      </c>
      <c r="D186" s="59">
        <v>45849.0</v>
      </c>
      <c r="F186" s="8">
        <v>0.0</v>
      </c>
      <c r="G186" s="8">
        <v>-1.998120554E7</v>
      </c>
      <c r="H186" s="8">
        <v>1.9961641E7</v>
      </c>
      <c r="I186" s="14">
        <f t="shared" si="1"/>
        <v>-19564.54</v>
      </c>
    </row>
    <row r="187">
      <c r="A187" s="59">
        <v>45853.0</v>
      </c>
      <c r="B187" s="8" t="s">
        <v>465</v>
      </c>
      <c r="C187" s="8" t="s">
        <v>466</v>
      </c>
      <c r="D187" s="59">
        <v>45852.0</v>
      </c>
      <c r="F187" s="8">
        <v>0.0</v>
      </c>
      <c r="G187" s="8">
        <v>-1.998120554E7</v>
      </c>
      <c r="H187" s="8">
        <v>2.0223669E7</v>
      </c>
      <c r="I187" s="14">
        <f t="shared" si="1"/>
        <v>242463.46</v>
      </c>
    </row>
    <row r="188">
      <c r="A188" s="59">
        <v>45854.0</v>
      </c>
      <c r="B188" s="8" t="s">
        <v>465</v>
      </c>
      <c r="C188" s="8" t="s">
        <v>466</v>
      </c>
      <c r="D188" s="59">
        <v>45853.0</v>
      </c>
      <c r="F188" s="8">
        <v>0.0</v>
      </c>
      <c r="G188" s="8">
        <v>-1.998120554E7</v>
      </c>
      <c r="H188" s="8">
        <v>2.0433654E7</v>
      </c>
      <c r="I188" s="14">
        <f t="shared" si="1"/>
        <v>452448.46</v>
      </c>
    </row>
    <row r="189">
      <c r="A189" s="59">
        <v>45855.0</v>
      </c>
      <c r="B189" s="8" t="s">
        <v>465</v>
      </c>
      <c r="C189" s="8" t="s">
        <v>466</v>
      </c>
      <c r="D189" s="59">
        <v>45854.0</v>
      </c>
      <c r="F189" s="8">
        <v>0.0</v>
      </c>
      <c r="G189" s="8">
        <v>-1.998120554E7</v>
      </c>
      <c r="H189" s="8">
        <v>2.045538E7</v>
      </c>
      <c r="I189" s="14">
        <f t="shared" si="1"/>
        <v>474174.46</v>
      </c>
    </row>
    <row r="190">
      <c r="A190" s="59">
        <v>45856.0</v>
      </c>
      <c r="B190" s="8" t="s">
        <v>465</v>
      </c>
      <c r="C190" s="8" t="s">
        <v>466</v>
      </c>
      <c r="D190" s="59">
        <v>45855.0</v>
      </c>
      <c r="F190" s="8">
        <v>0.0</v>
      </c>
      <c r="G190" s="8">
        <v>-1.998120554E7</v>
      </c>
      <c r="H190" s="8">
        <v>2.0463384E7</v>
      </c>
      <c r="I190" s="14">
        <f t="shared" si="1"/>
        <v>482178.46</v>
      </c>
    </row>
    <row r="191">
      <c r="A191" s="59">
        <v>45859.0</v>
      </c>
      <c r="B191" s="8" t="s">
        <v>465</v>
      </c>
      <c r="C191" s="8" t="s">
        <v>466</v>
      </c>
      <c r="D191" s="59">
        <v>45856.0</v>
      </c>
      <c r="F191" s="8">
        <v>0.0</v>
      </c>
      <c r="G191" s="8">
        <v>-1.998120554E7</v>
      </c>
      <c r="H191" s="8">
        <v>2.0324163E7</v>
      </c>
      <c r="I191" s="14">
        <f t="shared" si="1"/>
        <v>342957.46</v>
      </c>
    </row>
    <row r="192">
      <c r="A192" s="59">
        <v>45860.0</v>
      </c>
      <c r="B192" s="8" t="s">
        <v>465</v>
      </c>
      <c r="C192" s="8" t="s">
        <v>466</v>
      </c>
      <c r="D192" s="59">
        <v>45859.0</v>
      </c>
      <c r="F192" s="8">
        <v>0.0</v>
      </c>
      <c r="G192" s="8">
        <v>-1.998120554E7</v>
      </c>
      <c r="H192" s="8">
        <v>2.0366447E7</v>
      </c>
      <c r="I192" s="14">
        <f t="shared" si="1"/>
        <v>385241.46</v>
      </c>
    </row>
    <row r="193">
      <c r="A193" s="59">
        <v>45861.0</v>
      </c>
      <c r="B193" s="8" t="s">
        <v>465</v>
      </c>
      <c r="C193" s="8" t="s">
        <v>466</v>
      </c>
      <c r="D193" s="59">
        <v>45860.0</v>
      </c>
      <c r="F193" s="8">
        <v>0.0</v>
      </c>
      <c r="G193" s="8">
        <v>-1.998120554E7</v>
      </c>
      <c r="H193" s="8">
        <v>2.0309855E7</v>
      </c>
      <c r="I193" s="14">
        <f t="shared" si="1"/>
        <v>328649.46</v>
      </c>
    </row>
    <row r="194">
      <c r="A194" s="59">
        <v>45862.0</v>
      </c>
      <c r="B194" s="8" t="s">
        <v>465</v>
      </c>
      <c r="C194" s="8" t="s">
        <v>466</v>
      </c>
      <c r="D194" s="59">
        <v>45861.0</v>
      </c>
      <c r="F194" s="8">
        <v>0.0</v>
      </c>
      <c r="G194" s="8">
        <v>-1.998120554E7</v>
      </c>
      <c r="H194" s="8">
        <v>2.0371382E7</v>
      </c>
      <c r="I194" s="14">
        <f t="shared" si="1"/>
        <v>390176.46</v>
      </c>
    </row>
    <row r="195">
      <c r="A195" s="59">
        <v>45863.0</v>
      </c>
      <c r="B195" s="8" t="s">
        <v>465</v>
      </c>
      <c r="C195" s="8" t="s">
        <v>466</v>
      </c>
      <c r="D195" s="59">
        <v>45862.0</v>
      </c>
      <c r="F195" s="8">
        <v>0.0</v>
      </c>
      <c r="G195" s="8">
        <v>-1.998120554E7</v>
      </c>
      <c r="H195" s="8">
        <v>2.025137E7</v>
      </c>
      <c r="I195" s="14">
        <f t="shared" si="1"/>
        <v>270164.46</v>
      </c>
    </row>
    <row r="196">
      <c r="A196" s="59">
        <v>45866.0</v>
      </c>
      <c r="B196" s="8" t="s">
        <v>465</v>
      </c>
      <c r="C196" s="8" t="s">
        <v>466</v>
      </c>
      <c r="D196" s="59">
        <v>45863.0</v>
      </c>
      <c r="F196" s="8">
        <v>0.0</v>
      </c>
      <c r="G196" s="8">
        <v>-1.998120554E7</v>
      </c>
      <c r="H196" s="8">
        <v>1.9813613E7</v>
      </c>
      <c r="I196" s="14">
        <f t="shared" si="1"/>
        <v>-167592.54</v>
      </c>
    </row>
    <row r="197">
      <c r="A197" s="59">
        <v>45867.0</v>
      </c>
      <c r="B197" s="8" t="s">
        <v>465</v>
      </c>
      <c r="C197" s="8" t="s">
        <v>466</v>
      </c>
      <c r="D197" s="59">
        <v>45866.0</v>
      </c>
      <c r="F197" s="8">
        <v>0.0</v>
      </c>
      <c r="G197" s="8">
        <v>-1.998120554E7</v>
      </c>
      <c r="H197" s="8">
        <v>1.9551906E7</v>
      </c>
      <c r="I197" s="14">
        <f t="shared" si="1"/>
        <v>-429299.54</v>
      </c>
    </row>
    <row r="198">
      <c r="A198" s="59">
        <v>45868.0</v>
      </c>
      <c r="B198" s="8" t="s">
        <v>465</v>
      </c>
      <c r="C198" s="8" t="s">
        <v>466</v>
      </c>
      <c r="D198" s="59">
        <v>45867.0</v>
      </c>
      <c r="F198" s="8">
        <v>0.0</v>
      </c>
      <c r="G198" s="8">
        <v>-1.998120554E7</v>
      </c>
      <c r="H198" s="8">
        <v>1.977476E7</v>
      </c>
      <c r="I198" s="14">
        <f t="shared" si="1"/>
        <v>-206445.54</v>
      </c>
    </row>
    <row r="199">
      <c r="A199" s="59">
        <v>45869.0</v>
      </c>
      <c r="B199" s="8" t="s">
        <v>465</v>
      </c>
      <c r="C199" s="8" t="s">
        <v>466</v>
      </c>
      <c r="D199" s="59">
        <v>45868.0</v>
      </c>
      <c r="F199" s="8">
        <v>0.0</v>
      </c>
      <c r="G199" s="8">
        <v>-1.998120554E7</v>
      </c>
      <c r="H199" s="8">
        <v>1.9856585E7</v>
      </c>
      <c r="I199" s="14">
        <f t="shared" si="1"/>
        <v>-124620.54</v>
      </c>
    </row>
    <row r="200">
      <c r="A200" s="59">
        <v>45870.0</v>
      </c>
      <c r="B200" s="8" t="s">
        <v>465</v>
      </c>
      <c r="C200" s="8" t="s">
        <v>466</v>
      </c>
      <c r="D200" s="59">
        <v>45869.0</v>
      </c>
      <c r="F200" s="8">
        <v>0.0</v>
      </c>
      <c r="G200" s="8">
        <v>-1.998120554E7</v>
      </c>
      <c r="H200" s="8">
        <v>1.9766068E7</v>
      </c>
      <c r="I200" s="14">
        <f t="shared" si="1"/>
        <v>-215137.54</v>
      </c>
    </row>
    <row r="201">
      <c r="A201" s="59">
        <v>45873.0</v>
      </c>
      <c r="B201" s="8" t="s">
        <v>465</v>
      </c>
      <c r="C201" s="8" t="s">
        <v>466</v>
      </c>
      <c r="D201" s="59">
        <v>45870.0</v>
      </c>
      <c r="F201" s="8">
        <v>0.0</v>
      </c>
      <c r="G201" s="8">
        <v>-1.998120554E7</v>
      </c>
      <c r="H201" s="8">
        <v>1.9394504E7</v>
      </c>
      <c r="I201" s="14">
        <f t="shared" si="1"/>
        <v>-586701.54</v>
      </c>
    </row>
    <row r="202">
      <c r="A202" s="59">
        <v>45874.0</v>
      </c>
      <c r="B202" s="8" t="s">
        <v>465</v>
      </c>
      <c r="C202" s="8" t="s">
        <v>466</v>
      </c>
      <c r="D202" s="59">
        <v>45873.0</v>
      </c>
      <c r="F202" s="8">
        <v>0.0</v>
      </c>
      <c r="G202" s="8">
        <v>-1.998120554E7</v>
      </c>
      <c r="H202" s="8">
        <v>1.9610281E7</v>
      </c>
      <c r="I202" s="14">
        <f t="shared" si="1"/>
        <v>-370924.54</v>
      </c>
    </row>
    <row r="203">
      <c r="A203" s="59">
        <v>45875.0</v>
      </c>
      <c r="B203" s="8" t="s">
        <v>465</v>
      </c>
      <c r="C203" s="8" t="s">
        <v>466</v>
      </c>
      <c r="D203" s="59">
        <v>45874.0</v>
      </c>
      <c r="F203" s="8">
        <v>0.0</v>
      </c>
      <c r="G203" s="8">
        <v>-1.998120554E7</v>
      </c>
      <c r="H203" s="8">
        <v>1.9518596E7</v>
      </c>
      <c r="I203" s="14">
        <f t="shared" si="1"/>
        <v>-462609.54</v>
      </c>
    </row>
    <row r="204">
      <c r="A204" s="59">
        <v>45876.0</v>
      </c>
      <c r="B204" s="8" t="s">
        <v>465</v>
      </c>
      <c r="C204" s="8" t="s">
        <v>466</v>
      </c>
      <c r="D204" s="59">
        <v>45875.0</v>
      </c>
      <c r="F204" s="8">
        <v>0.0</v>
      </c>
      <c r="G204" s="8">
        <v>-1.998120554E7</v>
      </c>
      <c r="H204" s="8">
        <v>1.9404674E7</v>
      </c>
      <c r="I204" s="14">
        <f t="shared" si="1"/>
        <v>-576531.54</v>
      </c>
    </row>
    <row r="205">
      <c r="A205" s="59">
        <v>45877.0</v>
      </c>
      <c r="B205" s="8" t="s">
        <v>465</v>
      </c>
      <c r="C205" s="8" t="s">
        <v>466</v>
      </c>
      <c r="D205" s="59">
        <v>45876.0</v>
      </c>
      <c r="F205" s="8">
        <v>0.0</v>
      </c>
      <c r="G205" s="8">
        <v>-1.998120554E7</v>
      </c>
      <c r="H205" s="8">
        <v>1.9347601E7</v>
      </c>
      <c r="I205" s="14">
        <f t="shared" si="1"/>
        <v>-633604.54</v>
      </c>
    </row>
    <row r="206">
      <c r="A206" s="59">
        <v>45880.0</v>
      </c>
      <c r="B206" s="8" t="s">
        <v>465</v>
      </c>
      <c r="C206" s="8" t="s">
        <v>466</v>
      </c>
      <c r="D206" s="59">
        <v>45877.0</v>
      </c>
      <c r="F206" s="8">
        <v>0.0</v>
      </c>
      <c r="G206" s="8">
        <v>-1.998120554E7</v>
      </c>
      <c r="H206" s="8">
        <v>1.885075E7</v>
      </c>
      <c r="I206" s="14">
        <f t="shared" si="1"/>
        <v>-1130455.54</v>
      </c>
    </row>
    <row r="207">
      <c r="A207" s="59">
        <v>45881.0</v>
      </c>
      <c r="B207" s="8" t="s">
        <v>465</v>
      </c>
      <c r="C207" s="8" t="s">
        <v>466</v>
      </c>
      <c r="D207" s="59">
        <v>45880.0</v>
      </c>
      <c r="F207" s="8">
        <v>0.0</v>
      </c>
      <c r="G207" s="8">
        <v>-1.998120554E7</v>
      </c>
      <c r="H207" s="8">
        <v>1.8884799E7</v>
      </c>
      <c r="I207" s="14">
        <f t="shared" si="1"/>
        <v>-1096406.54</v>
      </c>
    </row>
    <row r="208">
      <c r="A208" s="59">
        <v>45882.0</v>
      </c>
      <c r="B208" s="8" t="s">
        <v>465</v>
      </c>
      <c r="C208" s="8" t="s">
        <v>466</v>
      </c>
      <c r="D208" s="59">
        <v>45881.0</v>
      </c>
      <c r="F208" s="8">
        <v>0.0</v>
      </c>
      <c r="G208" s="8">
        <v>-1.998120554E7</v>
      </c>
      <c r="H208" s="8">
        <v>1.8860815E7</v>
      </c>
      <c r="I208" s="14">
        <f t="shared" si="1"/>
        <v>-1120390.54</v>
      </c>
    </row>
    <row r="209">
      <c r="A209" s="59">
        <v>45883.0</v>
      </c>
      <c r="B209" s="8" t="s">
        <v>465</v>
      </c>
      <c r="C209" s="8" t="s">
        <v>466</v>
      </c>
      <c r="D209" s="59">
        <v>45882.0</v>
      </c>
      <c r="F209" s="8">
        <v>0.0</v>
      </c>
      <c r="G209" s="8">
        <v>-1.998120554E7</v>
      </c>
      <c r="H209" s="8">
        <v>1.9104137E7</v>
      </c>
      <c r="I209" s="14">
        <f t="shared" si="1"/>
        <v>-877068.54</v>
      </c>
    </row>
    <row r="210">
      <c r="A210" s="59">
        <v>45887.0</v>
      </c>
      <c r="B210" s="8" t="s">
        <v>465</v>
      </c>
      <c r="C210" s="8" t="s">
        <v>466</v>
      </c>
      <c r="D210" s="59">
        <v>45883.0</v>
      </c>
      <c r="F210" s="8">
        <v>0.0</v>
      </c>
      <c r="G210" s="8">
        <v>-1.998120554E7</v>
      </c>
      <c r="H210" s="8">
        <v>1.9026643E7</v>
      </c>
      <c r="I210" s="14">
        <f t="shared" si="1"/>
        <v>-954562.54</v>
      </c>
    </row>
    <row r="211">
      <c r="A211" s="59">
        <v>45888.0</v>
      </c>
      <c r="B211" s="8" t="s">
        <v>465</v>
      </c>
      <c r="C211" s="8" t="s">
        <v>466</v>
      </c>
      <c r="D211" s="59">
        <v>45887.0</v>
      </c>
      <c r="F211" s="8">
        <v>0.0</v>
      </c>
      <c r="G211" s="8">
        <v>-1.998120554E7</v>
      </c>
      <c r="H211" s="8">
        <v>1.9229459E7</v>
      </c>
      <c r="I211" s="14">
        <f t="shared" si="1"/>
        <v>-751746.54</v>
      </c>
    </row>
    <row r="212">
      <c r="A212" s="59">
        <v>45889.0</v>
      </c>
      <c r="B212" s="8" t="s">
        <v>465</v>
      </c>
      <c r="C212" s="8" t="s">
        <v>466</v>
      </c>
      <c r="D212" s="59">
        <v>45888.0</v>
      </c>
      <c r="F212" s="8">
        <v>0.0</v>
      </c>
      <c r="G212" s="8">
        <v>-1.998120554E7</v>
      </c>
      <c r="H212" s="8">
        <v>1.9359846E7</v>
      </c>
      <c r="I212" s="14">
        <f t="shared" si="1"/>
        <v>-621359.54</v>
      </c>
    </row>
    <row r="213">
      <c r="A213" s="59">
        <v>45890.0</v>
      </c>
      <c r="B213" s="8" t="s">
        <v>465</v>
      </c>
      <c r="C213" s="8" t="s">
        <v>466</v>
      </c>
      <c r="D213" s="59">
        <v>45889.0</v>
      </c>
      <c r="F213" s="8">
        <v>0.0</v>
      </c>
      <c r="G213" s="8">
        <v>-1.998120554E7</v>
      </c>
      <c r="H213" s="8">
        <v>1.9572176E7</v>
      </c>
      <c r="I213" s="14">
        <f t="shared" si="1"/>
        <v>-409029.54</v>
      </c>
    </row>
    <row r="214">
      <c r="A214" s="59">
        <v>45891.0</v>
      </c>
      <c r="B214" s="8" t="s">
        <v>465</v>
      </c>
      <c r="C214" s="8" t="s">
        <v>466</v>
      </c>
      <c r="D214" s="59">
        <v>45890.0</v>
      </c>
      <c r="F214" s="8">
        <v>0.0</v>
      </c>
      <c r="G214" s="8">
        <v>-1.998120554E7</v>
      </c>
      <c r="H214" s="8">
        <v>1.9690378E7</v>
      </c>
      <c r="I214" s="14">
        <f t="shared" si="1"/>
        <v>-290827.54</v>
      </c>
    </row>
    <row r="215">
      <c r="A215" s="59">
        <v>45894.0</v>
      </c>
      <c r="B215" s="8" t="s">
        <v>465</v>
      </c>
      <c r="C215" s="8" t="s">
        <v>466</v>
      </c>
      <c r="D215" s="59">
        <v>45891.0</v>
      </c>
      <c r="F215" s="8">
        <v>0.0</v>
      </c>
      <c r="G215" s="8">
        <v>-1.998120554E7</v>
      </c>
      <c r="H215" s="8">
        <v>1.9629493E7</v>
      </c>
      <c r="I215" s="14">
        <f t="shared" si="1"/>
        <v>-351712.54</v>
      </c>
    </row>
    <row r="216">
      <c r="A216" s="59">
        <v>45895.0</v>
      </c>
      <c r="B216" s="8" t="s">
        <v>465</v>
      </c>
      <c r="C216" s="8" t="s">
        <v>466</v>
      </c>
      <c r="D216" s="59">
        <v>45894.0</v>
      </c>
      <c r="F216" s="8">
        <v>0.0</v>
      </c>
      <c r="G216" s="8">
        <v>-1.998120554E7</v>
      </c>
      <c r="H216" s="8">
        <v>1.9622788E7</v>
      </c>
      <c r="I216" s="14">
        <f t="shared" si="1"/>
        <v>-358417.54</v>
      </c>
    </row>
    <row r="217">
      <c r="A217" s="59">
        <v>45897.0</v>
      </c>
      <c r="B217" s="8" t="s">
        <v>465</v>
      </c>
      <c r="C217" s="8" t="s">
        <v>466</v>
      </c>
      <c r="D217" s="59">
        <v>45895.0</v>
      </c>
      <c r="F217" s="8">
        <v>0.0</v>
      </c>
      <c r="G217" s="8">
        <v>-1.998120554E7</v>
      </c>
      <c r="H217" s="8">
        <v>1.9184403E7</v>
      </c>
      <c r="I217" s="14">
        <f t="shared" si="1"/>
        <v>-796802.54</v>
      </c>
    </row>
    <row r="218">
      <c r="A218" s="59">
        <v>45898.0</v>
      </c>
      <c r="B218" s="8" t="s">
        <v>465</v>
      </c>
      <c r="C218" s="8" t="s">
        <v>466</v>
      </c>
      <c r="D218" s="59">
        <v>45897.0</v>
      </c>
      <c r="F218" s="8">
        <v>0.0</v>
      </c>
      <c r="G218" s="8">
        <v>-1.998120554E7</v>
      </c>
      <c r="H218" s="8">
        <v>1.8958818E7</v>
      </c>
      <c r="I218" s="14">
        <f t="shared" si="1"/>
        <v>-1022387.54</v>
      </c>
    </row>
    <row r="219">
      <c r="A219" s="59">
        <v>45901.0</v>
      </c>
      <c r="B219" s="8" t="s">
        <v>465</v>
      </c>
      <c r="C219" s="8" t="s">
        <v>466</v>
      </c>
      <c r="D219" s="59">
        <v>45898.0</v>
      </c>
      <c r="F219" s="8">
        <v>0.0</v>
      </c>
      <c r="G219" s="8">
        <v>-1.998120554E7</v>
      </c>
      <c r="H219" s="8">
        <v>1.8825304E7</v>
      </c>
      <c r="I219" s="14">
        <f t="shared" si="1"/>
        <v>-1155901.54</v>
      </c>
    </row>
    <row r="220">
      <c r="A220" s="59">
        <v>45902.0</v>
      </c>
      <c r="B220" s="8" t="s">
        <v>465</v>
      </c>
      <c r="C220" s="8" t="s">
        <v>466</v>
      </c>
      <c r="D220" s="59">
        <v>45901.0</v>
      </c>
      <c r="F220" s="8">
        <v>0.0</v>
      </c>
      <c r="G220" s="8">
        <v>-1.998120554E7</v>
      </c>
      <c r="H220" s="8">
        <v>1.9193926E7</v>
      </c>
      <c r="I220" s="14">
        <f t="shared" si="1"/>
        <v>-787279.54</v>
      </c>
    </row>
    <row r="221">
      <c r="A221" s="59">
        <v>45903.0</v>
      </c>
      <c r="B221" s="8" t="s">
        <v>495</v>
      </c>
      <c r="C221" s="8" t="s">
        <v>496</v>
      </c>
      <c r="D221" s="59">
        <v>45902.0</v>
      </c>
      <c r="E221" s="8">
        <v>0.0</v>
      </c>
      <c r="F221" s="8">
        <v>7525912.14</v>
      </c>
      <c r="G221" s="8">
        <v>-1.245529362E7</v>
      </c>
      <c r="H221" s="8">
        <v>1.1672701E7</v>
      </c>
      <c r="I221" s="14">
        <f t="shared" si="1"/>
        <v>-782592.62</v>
      </c>
    </row>
    <row r="222">
      <c r="A222" s="59">
        <v>45904.0</v>
      </c>
      <c r="B222" s="8" t="s">
        <v>495</v>
      </c>
      <c r="C222" s="8" t="s">
        <v>496</v>
      </c>
      <c r="D222" s="59">
        <v>45903.0</v>
      </c>
      <c r="E222" s="8">
        <v>0.0</v>
      </c>
      <c r="G222" s="8">
        <v>-1.245529362E7</v>
      </c>
      <c r="H222" s="8">
        <v>1.1838513E7</v>
      </c>
      <c r="I222" s="14">
        <f t="shared" si="1"/>
        <v>-616780.62</v>
      </c>
    </row>
    <row r="223">
      <c r="A223" s="59">
        <v>45909.0</v>
      </c>
      <c r="B223" s="8" t="s">
        <v>495</v>
      </c>
      <c r="C223" s="8" t="s">
        <v>496</v>
      </c>
      <c r="D223" s="59">
        <v>45904.0</v>
      </c>
      <c r="E223" s="8">
        <v>0.0</v>
      </c>
      <c r="G223" s="8">
        <v>-1.245529362E7</v>
      </c>
      <c r="H223" s="8">
        <v>1.1658685E7</v>
      </c>
      <c r="I223" s="14">
        <f t="shared" si="1"/>
        <v>-796608.62</v>
      </c>
    </row>
    <row r="224">
      <c r="A224" s="59">
        <v>45909.0</v>
      </c>
      <c r="B224" s="8" t="s">
        <v>495</v>
      </c>
      <c r="C224" s="8" t="s">
        <v>496</v>
      </c>
      <c r="D224" s="59">
        <v>45905.0</v>
      </c>
      <c r="E224" s="8">
        <v>0.0</v>
      </c>
      <c r="G224" s="8">
        <v>-1.245529362E7</v>
      </c>
      <c r="H224" s="8">
        <v>1.1757924E7</v>
      </c>
      <c r="I224" s="14">
        <f t="shared" si="1"/>
        <v>-697369.62</v>
      </c>
    </row>
    <row r="225">
      <c r="A225" s="59">
        <v>45910.0</v>
      </c>
      <c r="B225" s="8" t="s">
        <v>495</v>
      </c>
      <c r="C225" s="8" t="s">
        <v>496</v>
      </c>
      <c r="D225" s="59">
        <v>45908.0</v>
      </c>
      <c r="E225" s="8">
        <v>0.0</v>
      </c>
      <c r="G225" s="8">
        <v>-1.245529362E7</v>
      </c>
      <c r="H225" s="8">
        <v>1.1736002E7</v>
      </c>
      <c r="I225" s="14">
        <f t="shared" si="1"/>
        <v>-719291.62</v>
      </c>
    </row>
    <row r="226">
      <c r="A226" s="59">
        <v>45910.0</v>
      </c>
      <c r="B226" s="8" t="s">
        <v>495</v>
      </c>
      <c r="C226" s="8" t="s">
        <v>496</v>
      </c>
      <c r="D226" s="59">
        <v>45909.0</v>
      </c>
      <c r="E226" s="8">
        <v>0.0</v>
      </c>
      <c r="G226" s="8">
        <v>-1.245529362E7</v>
      </c>
      <c r="H226" s="8">
        <v>1.1810733E7</v>
      </c>
      <c r="I226" s="14">
        <f t="shared" si="1"/>
        <v>-644560.62</v>
      </c>
    </row>
    <row r="227">
      <c r="A227" s="59">
        <v>45911.0</v>
      </c>
      <c r="B227" s="8" t="s">
        <v>495</v>
      </c>
      <c r="C227" s="8" t="s">
        <v>496</v>
      </c>
      <c r="D227" s="59">
        <v>45910.0</v>
      </c>
      <c r="E227" s="8">
        <v>0.0</v>
      </c>
      <c r="G227" s="8">
        <v>-1.245529362E7</v>
      </c>
      <c r="H227" s="8">
        <v>1.1841898E7</v>
      </c>
      <c r="I227" s="14">
        <f t="shared" si="1"/>
        <v>-613395.62</v>
      </c>
    </row>
    <row r="228">
      <c r="A228" s="59">
        <v>45912.0</v>
      </c>
      <c r="B228" s="8" t="s">
        <v>495</v>
      </c>
      <c r="C228" s="8" t="s">
        <v>496</v>
      </c>
      <c r="D228" s="59">
        <v>45911.0</v>
      </c>
      <c r="E228" s="8">
        <v>0.0</v>
      </c>
      <c r="G228" s="8">
        <v>-1.245529362E7</v>
      </c>
      <c r="H228" s="8">
        <v>1.1731466E7</v>
      </c>
      <c r="I228" s="14">
        <f t="shared" si="1"/>
        <v>-723827.62</v>
      </c>
    </row>
    <row r="229">
      <c r="A229" s="59">
        <v>45915.0</v>
      </c>
      <c r="B229" s="8" t="s">
        <v>495</v>
      </c>
      <c r="C229" s="8" t="s">
        <v>496</v>
      </c>
      <c r="D229" s="59">
        <v>45912.0</v>
      </c>
      <c r="E229" s="8">
        <v>0.0</v>
      </c>
      <c r="G229" s="8">
        <v>-1.245529362E7</v>
      </c>
      <c r="H229" s="8">
        <v>1.1805077E7</v>
      </c>
      <c r="I229" s="14">
        <f t="shared" si="1"/>
        <v>-650216.62</v>
      </c>
    </row>
    <row r="230">
      <c r="A230" s="59">
        <v>45916.0</v>
      </c>
      <c r="B230" s="8" t="s">
        <v>495</v>
      </c>
      <c r="C230" s="8" t="s">
        <v>496</v>
      </c>
      <c r="D230" s="59">
        <v>45915.0</v>
      </c>
      <c r="E230" s="8">
        <v>0.0</v>
      </c>
      <c r="G230" s="8">
        <v>-1.245529362E7</v>
      </c>
      <c r="H230" s="8">
        <v>1.1868271E7</v>
      </c>
      <c r="I230" s="14">
        <f t="shared" si="1"/>
        <v>-587022.62</v>
      </c>
    </row>
    <row r="231">
      <c r="A231" s="59">
        <v>45917.0</v>
      </c>
      <c r="B231" s="8" t="s">
        <v>495</v>
      </c>
      <c r="C231" s="8" t="s">
        <v>496</v>
      </c>
      <c r="D231" s="59">
        <v>45916.0</v>
      </c>
      <c r="E231" s="8">
        <v>0.0</v>
      </c>
      <c r="G231" s="8">
        <v>-1.245529362E7</v>
      </c>
      <c r="H231" s="8">
        <v>1.1435515E7</v>
      </c>
      <c r="I231" s="14">
        <f t="shared" si="1"/>
        <v>-1019778.62</v>
      </c>
    </row>
    <row r="232">
      <c r="A232" s="59">
        <v>45918.0</v>
      </c>
      <c r="B232" s="8" t="s">
        <v>495</v>
      </c>
      <c r="C232" s="8" t="s">
        <v>496</v>
      </c>
      <c r="D232" s="59">
        <v>45917.0</v>
      </c>
      <c r="E232" s="8">
        <v>0.0</v>
      </c>
      <c r="G232" s="8">
        <v>-1.245529362E7</v>
      </c>
      <c r="H232" s="8">
        <v>1.1499158E7</v>
      </c>
      <c r="I232" s="14">
        <f t="shared" si="1"/>
        <v>-956135.62</v>
      </c>
    </row>
    <row r="233">
      <c r="A233" s="59">
        <v>45919.0</v>
      </c>
      <c r="B233" s="8" t="s">
        <v>495</v>
      </c>
      <c r="C233" s="8" t="s">
        <v>496</v>
      </c>
      <c r="D233" s="59">
        <v>45918.0</v>
      </c>
      <c r="E233" s="8">
        <v>0.0</v>
      </c>
      <c r="G233" s="8">
        <v>-1.245529362E7</v>
      </c>
      <c r="H233" s="8">
        <v>1.1404126E7</v>
      </c>
      <c r="I233" s="14">
        <f t="shared" si="1"/>
        <v>-1051167.62</v>
      </c>
    </row>
    <row r="234">
      <c r="A234" s="59">
        <v>45922.0</v>
      </c>
      <c r="B234" s="8" t="s">
        <v>495</v>
      </c>
      <c r="C234" s="8" t="s">
        <v>496</v>
      </c>
      <c r="D234" s="59">
        <v>45919.0</v>
      </c>
      <c r="E234" s="8">
        <v>0.0</v>
      </c>
      <c r="G234" s="8">
        <v>-1.245529362E7</v>
      </c>
      <c r="H234" s="8">
        <v>1.1338964E7</v>
      </c>
      <c r="I234" s="14">
        <f t="shared" si="1"/>
        <v>-1116329.62</v>
      </c>
    </row>
    <row r="235">
      <c r="A235" s="59">
        <v>45923.0</v>
      </c>
      <c r="B235" s="8" t="s">
        <v>495</v>
      </c>
      <c r="C235" s="8" t="s">
        <v>496</v>
      </c>
      <c r="D235" s="59">
        <v>45922.0</v>
      </c>
      <c r="E235" s="8">
        <v>0.0</v>
      </c>
      <c r="G235" s="8">
        <v>-1.245529362E7</v>
      </c>
      <c r="H235" s="8">
        <v>1.1313693E7</v>
      </c>
      <c r="I235" s="14">
        <f t="shared" si="1"/>
        <v>-1141600.62</v>
      </c>
    </row>
    <row r="236">
      <c r="A236" s="59">
        <v>45924.0</v>
      </c>
      <c r="B236" s="8" t="s">
        <v>495</v>
      </c>
      <c r="C236" s="8" t="s">
        <v>496</v>
      </c>
      <c r="D236" s="59">
        <v>45923.0</v>
      </c>
      <c r="E236" s="8">
        <v>0.0</v>
      </c>
      <c r="G236" s="8">
        <v>-1.245529362E7</v>
      </c>
      <c r="H236" s="8">
        <v>1.1270366E7</v>
      </c>
      <c r="I236" s="14">
        <f t="shared" si="1"/>
        <v>-1184927.62</v>
      </c>
    </row>
    <row r="237">
      <c r="A237" s="59">
        <v>45925.0</v>
      </c>
      <c r="B237" s="8" t="s">
        <v>495</v>
      </c>
      <c r="C237" s="8" t="s">
        <v>496</v>
      </c>
      <c r="D237" s="59">
        <v>45924.0</v>
      </c>
      <c r="E237" s="8">
        <v>0.0</v>
      </c>
      <c r="G237" s="8">
        <v>-1.245529362E7</v>
      </c>
      <c r="H237" s="8">
        <v>1.1727205E7</v>
      </c>
      <c r="I237" s="14">
        <f t="shared" si="1"/>
        <v>-728088.62</v>
      </c>
    </row>
    <row r="238">
      <c r="A238" s="59">
        <v>45926.0</v>
      </c>
      <c r="B238" s="8" t="s">
        <v>495</v>
      </c>
      <c r="C238" s="8" t="s">
        <v>496</v>
      </c>
      <c r="D238" s="59">
        <v>45925.0</v>
      </c>
      <c r="E238" s="8">
        <v>0.0</v>
      </c>
      <c r="G238" s="8">
        <v>-1.245529362E7</v>
      </c>
      <c r="H238" s="8">
        <v>1.1627904E7</v>
      </c>
      <c r="I238" s="14">
        <f t="shared" si="1"/>
        <v>-827389.62</v>
      </c>
    </row>
    <row r="239">
      <c r="A239" s="59">
        <v>45929.0</v>
      </c>
      <c r="B239" s="8" t="s">
        <v>495</v>
      </c>
      <c r="C239" s="8" t="s">
        <v>496</v>
      </c>
      <c r="D239" s="59">
        <v>45926.0</v>
      </c>
      <c r="E239" s="8">
        <v>0.0</v>
      </c>
      <c r="G239" s="8">
        <v>-1.245529362E7</v>
      </c>
      <c r="H239" s="8">
        <v>1.136168E7</v>
      </c>
      <c r="I239" s="14">
        <f t="shared" si="1"/>
        <v>-1093613.62</v>
      </c>
    </row>
    <row r="240">
      <c r="A240" s="59">
        <v>45930.0</v>
      </c>
      <c r="B240" s="8" t="s">
        <v>495</v>
      </c>
      <c r="C240" s="8" t="s">
        <v>496</v>
      </c>
      <c r="D240" s="59">
        <v>45929.0</v>
      </c>
      <c r="E240" s="8">
        <v>0.0</v>
      </c>
      <c r="G240" s="8">
        <v>-1.245529362E7</v>
      </c>
      <c r="H240" s="8">
        <v>1.1364486E7</v>
      </c>
      <c r="I240" s="14">
        <f t="shared" si="1"/>
        <v>-1090807.62</v>
      </c>
    </row>
    <row r="241">
      <c r="A241" s="59">
        <v>45931.0</v>
      </c>
      <c r="B241" s="8" t="s">
        <v>495</v>
      </c>
      <c r="C241" s="8" t="s">
        <v>496</v>
      </c>
      <c r="D241" s="59">
        <v>45930.0</v>
      </c>
      <c r="E241" s="8">
        <v>0.0</v>
      </c>
      <c r="G241" s="8">
        <v>-1.245529362E7</v>
      </c>
      <c r="H241" s="8">
        <v>1.1171145E7</v>
      </c>
      <c r="I241" s="14">
        <f t="shared" si="1"/>
        <v>-1284148.62</v>
      </c>
    </row>
    <row r="242">
      <c r="A242" s="59">
        <v>45933.0</v>
      </c>
      <c r="B242" s="8" t="s">
        <v>495</v>
      </c>
      <c r="C242" s="8" t="s">
        <v>496</v>
      </c>
      <c r="D242" s="59">
        <v>45931.0</v>
      </c>
      <c r="E242" s="8">
        <v>0.0</v>
      </c>
      <c r="G242" s="8">
        <v>-1.245529362E7</v>
      </c>
      <c r="H242" s="8">
        <v>1.1283153E7</v>
      </c>
      <c r="I242" s="14">
        <f t="shared" si="1"/>
        <v>-1172140.62</v>
      </c>
    </row>
    <row r="243">
      <c r="A243" s="59">
        <v>45936.0</v>
      </c>
      <c r="B243" s="8" t="s">
        <v>495</v>
      </c>
      <c r="C243" s="8" t="s">
        <v>496</v>
      </c>
      <c r="D243" s="59">
        <v>45933.0</v>
      </c>
      <c r="E243" s="8">
        <v>0.0</v>
      </c>
      <c r="G243" s="8">
        <v>-1.245529362E7</v>
      </c>
      <c r="H243" s="8">
        <v>1.1465574E7</v>
      </c>
      <c r="I243" s="14">
        <f t="shared" si="1"/>
        <v>-989719.62</v>
      </c>
    </row>
    <row r="244">
      <c r="A244" s="59">
        <v>45937.0</v>
      </c>
      <c r="B244" s="8" t="s">
        <v>495</v>
      </c>
      <c r="C244" s="8" t="s">
        <v>496</v>
      </c>
      <c r="D244" s="59">
        <v>45936.0</v>
      </c>
      <c r="E244" s="8">
        <v>0.0</v>
      </c>
      <c r="G244" s="8">
        <v>-1.245529362E7</v>
      </c>
      <c r="H244" s="8">
        <v>1.1618447E7</v>
      </c>
      <c r="I244" s="14">
        <f t="shared" si="1"/>
        <v>-836846.62</v>
      </c>
    </row>
    <row r="245">
      <c r="A245" s="59">
        <v>45938.0</v>
      </c>
      <c r="B245" s="8" t="s">
        <v>495</v>
      </c>
      <c r="C245" s="8" t="s">
        <v>496</v>
      </c>
      <c r="D245" s="59">
        <v>45937.0</v>
      </c>
      <c r="E245" s="8">
        <v>0.0</v>
      </c>
      <c r="G245" s="8">
        <v>-1.245529362E7</v>
      </c>
      <c r="H245" s="8">
        <v>1.1593493E7</v>
      </c>
      <c r="I245" s="14">
        <f t="shared" si="1"/>
        <v>-861800.62</v>
      </c>
    </row>
    <row r="246">
      <c r="A246" s="59">
        <v>45939.0</v>
      </c>
      <c r="B246" s="8" t="s">
        <v>495</v>
      </c>
      <c r="C246" s="8" t="s">
        <v>496</v>
      </c>
      <c r="D246" s="59">
        <v>45938.0</v>
      </c>
      <c r="E246" s="8">
        <v>0.0</v>
      </c>
      <c r="G246" s="8">
        <v>-1.245529362E7</v>
      </c>
      <c r="H246" s="8">
        <v>1.1520637E7</v>
      </c>
      <c r="I246" s="14">
        <f t="shared" si="1"/>
        <v>-934656.62</v>
      </c>
    </row>
    <row r="247">
      <c r="A247" s="59">
        <v>45940.0</v>
      </c>
      <c r="B247" s="8" t="s">
        <v>495</v>
      </c>
      <c r="C247" s="8" t="s">
        <v>496</v>
      </c>
      <c r="D247" s="59">
        <v>45939.0</v>
      </c>
      <c r="E247" s="8">
        <v>0.0</v>
      </c>
      <c r="G247" s="8">
        <v>-1.245529362E7</v>
      </c>
      <c r="H247" s="8">
        <v>1.1650784E7</v>
      </c>
      <c r="I247" s="14">
        <f t="shared" si="1"/>
        <v>-804509.62</v>
      </c>
    </row>
    <row r="248">
      <c r="A248" s="59">
        <v>45943.0</v>
      </c>
      <c r="B248" s="8" t="s">
        <v>495</v>
      </c>
      <c r="C248" s="8" t="s">
        <v>496</v>
      </c>
      <c r="D248" s="59">
        <v>45940.0</v>
      </c>
      <c r="E248" s="8">
        <v>0.0</v>
      </c>
      <c r="G248" s="8">
        <v>-1.245529362E7</v>
      </c>
      <c r="H248" s="8">
        <v>1.173144E7</v>
      </c>
      <c r="I248" s="14">
        <f t="shared" si="1"/>
        <v>-723853.62</v>
      </c>
    </row>
    <row r="249">
      <c r="A249" s="59">
        <v>45944.0</v>
      </c>
      <c r="B249" s="8" t="s">
        <v>495</v>
      </c>
      <c r="C249" s="8" t="s">
        <v>496</v>
      </c>
      <c r="D249" s="59">
        <v>45943.0</v>
      </c>
      <c r="E249" s="8">
        <v>0.0</v>
      </c>
      <c r="G249" s="8">
        <v>-1.245529362E7</v>
      </c>
      <c r="H249" s="8">
        <v>1.172406E7</v>
      </c>
      <c r="I249" s="14">
        <f t="shared" si="1"/>
        <v>-731233.62</v>
      </c>
    </row>
    <row r="250">
      <c r="A250" s="59">
        <v>45945.0</v>
      </c>
      <c r="B250" s="8" t="s">
        <v>495</v>
      </c>
      <c r="C250" s="8" t="s">
        <v>496</v>
      </c>
      <c r="D250" s="59">
        <v>45944.0</v>
      </c>
      <c r="E250" s="8">
        <v>0.0</v>
      </c>
      <c r="G250" s="8">
        <v>-1.245529362E7</v>
      </c>
      <c r="H250" s="8">
        <v>1.1593745E7</v>
      </c>
      <c r="I250" s="14">
        <f t="shared" si="1"/>
        <v>-861548.62</v>
      </c>
    </row>
    <row r="251">
      <c r="A251" s="59">
        <v>45946.0</v>
      </c>
      <c r="B251" s="8" t="s">
        <v>495</v>
      </c>
      <c r="C251" s="8" t="s">
        <v>496</v>
      </c>
      <c r="D251" s="59">
        <v>45945.0</v>
      </c>
      <c r="E251" s="8">
        <v>0.0</v>
      </c>
      <c r="G251" s="8">
        <v>-1.245529362E7</v>
      </c>
      <c r="H251" s="8">
        <v>1.1710619E7</v>
      </c>
      <c r="I251" s="14">
        <f t="shared" si="1"/>
        <v>-744674.62</v>
      </c>
    </row>
    <row r="252">
      <c r="A252" s="59">
        <v>45947.0</v>
      </c>
      <c r="B252" s="8" t="s">
        <v>495</v>
      </c>
      <c r="C252" s="8" t="s">
        <v>496</v>
      </c>
      <c r="D252" s="59">
        <v>45946.0</v>
      </c>
      <c r="E252" s="8">
        <v>0.0</v>
      </c>
      <c r="G252" s="8">
        <v>-1.245529362E7</v>
      </c>
      <c r="H252" s="8">
        <v>1.1728971E7</v>
      </c>
      <c r="I252" s="14">
        <f t="shared" si="1"/>
        <v>-726322.62</v>
      </c>
    </row>
    <row r="253">
      <c r="A253" s="59">
        <v>45950.0</v>
      </c>
      <c r="B253" s="8" t="s">
        <v>495</v>
      </c>
      <c r="C253" s="8" t="s">
        <v>496</v>
      </c>
      <c r="D253" s="59">
        <v>45947.0</v>
      </c>
      <c r="E253" s="8">
        <v>0.0</v>
      </c>
      <c r="G253" s="8">
        <v>-1.245529362E7</v>
      </c>
      <c r="H253" s="8">
        <v>1.170893E7</v>
      </c>
      <c r="I253" s="14">
        <f t="shared" si="1"/>
        <v>-746363.62</v>
      </c>
    </row>
    <row r="254">
      <c r="A254" s="59">
        <v>45953.0</v>
      </c>
      <c r="B254" s="8" t="s">
        <v>495</v>
      </c>
      <c r="C254" s="8" t="s">
        <v>496</v>
      </c>
      <c r="D254" s="59">
        <v>45950.0</v>
      </c>
      <c r="E254" s="8">
        <v>0.0</v>
      </c>
      <c r="G254" s="8">
        <v>-1.245529362E7</v>
      </c>
      <c r="H254" s="8">
        <v>1.1710691E7</v>
      </c>
      <c r="I254" s="14">
        <f t="shared" si="1"/>
        <v>-744602.62</v>
      </c>
    </row>
    <row r="255">
      <c r="A255" s="59">
        <v>45953.0</v>
      </c>
      <c r="B255" s="8" t="s">
        <v>495</v>
      </c>
      <c r="C255" s="8" t="s">
        <v>496</v>
      </c>
      <c r="D255" s="59">
        <v>45951.0</v>
      </c>
      <c r="E255" s="8">
        <v>0.0</v>
      </c>
      <c r="G255" s="8">
        <v>-1.245529362E7</v>
      </c>
      <c r="H255" s="8">
        <v>1.1770576E7</v>
      </c>
      <c r="I255" s="14">
        <f t="shared" si="1"/>
        <v>-684717.62</v>
      </c>
    </row>
    <row r="256">
      <c r="A256" s="59">
        <v>45954.0</v>
      </c>
      <c r="B256" s="8" t="s">
        <v>495</v>
      </c>
      <c r="C256" s="8" t="s">
        <v>496</v>
      </c>
      <c r="D256" s="59">
        <v>45953.0</v>
      </c>
      <c r="E256" s="8">
        <v>0.0</v>
      </c>
      <c r="G256" s="8">
        <v>-1.245529362E7</v>
      </c>
      <c r="H256" s="8">
        <v>1.1653719E7</v>
      </c>
      <c r="I256" s="14">
        <f t="shared" si="1"/>
        <v>-801574.62</v>
      </c>
    </row>
    <row r="257">
      <c r="A257" s="59">
        <v>45957.0</v>
      </c>
      <c r="B257" s="8" t="s">
        <v>495</v>
      </c>
      <c r="C257" s="8" t="s">
        <v>496</v>
      </c>
      <c r="D257" s="59">
        <v>45954.0</v>
      </c>
      <c r="E257" s="8">
        <v>0.0</v>
      </c>
      <c r="G257" s="8">
        <v>-1.245529362E7</v>
      </c>
      <c r="H257" s="8">
        <v>1.1621497E7</v>
      </c>
      <c r="I257" s="14">
        <f t="shared" si="1"/>
        <v>-833796.62</v>
      </c>
    </row>
    <row r="258">
      <c r="A258" s="59">
        <v>45958.0</v>
      </c>
      <c r="B258" s="8" t="s">
        <v>495</v>
      </c>
      <c r="C258" s="8" t="s">
        <v>496</v>
      </c>
      <c r="D258" s="59">
        <v>45957.0</v>
      </c>
      <c r="E258" s="8">
        <v>0.0</v>
      </c>
      <c r="G258" s="8">
        <v>-1.245529362E7</v>
      </c>
      <c r="H258" s="8">
        <v>1.1683466E7</v>
      </c>
      <c r="I258" s="14">
        <f t="shared" si="1"/>
        <v>-771827.62</v>
      </c>
    </row>
    <row r="259">
      <c r="A259" s="59">
        <v>45959.0</v>
      </c>
      <c r="B259" s="8" t="s">
        <v>495</v>
      </c>
      <c r="C259" s="8" t="s">
        <v>496</v>
      </c>
      <c r="D259" s="59">
        <v>45958.0</v>
      </c>
      <c r="E259" s="8">
        <v>0.0</v>
      </c>
      <c r="G259" s="8">
        <v>-1.245529362E7</v>
      </c>
      <c r="H259" s="8">
        <v>1.1652043E7</v>
      </c>
      <c r="I259" s="14">
        <f t="shared" si="1"/>
        <v>-803250.62</v>
      </c>
    </row>
    <row r="260">
      <c r="A260" s="59">
        <v>45960.0</v>
      </c>
      <c r="B260" s="8" t="s">
        <v>495</v>
      </c>
      <c r="C260" s="8" t="s">
        <v>496</v>
      </c>
      <c r="D260" s="59">
        <v>45959.0</v>
      </c>
      <c r="E260" s="8">
        <v>0.0</v>
      </c>
      <c r="G260" s="8">
        <v>-1.245529362E7</v>
      </c>
      <c r="H260" s="8">
        <v>1.1759431E7</v>
      </c>
      <c r="I260" s="14">
        <f t="shared" si="1"/>
        <v>-695862.62</v>
      </c>
    </row>
    <row r="261">
      <c r="A261" s="59">
        <v>45961.0</v>
      </c>
      <c r="B261" s="8" t="s">
        <v>495</v>
      </c>
      <c r="C261" s="8" t="s">
        <v>496</v>
      </c>
      <c r="D261" s="59">
        <v>45960.0</v>
      </c>
      <c r="E261" s="8">
        <v>0.0</v>
      </c>
      <c r="G261" s="8">
        <v>-1.245529362E7</v>
      </c>
      <c r="H261" s="8">
        <v>1.1662069E7</v>
      </c>
      <c r="I261" s="14">
        <f t="shared" si="1"/>
        <v>-793224.62</v>
      </c>
    </row>
    <row r="262">
      <c r="A262" s="59">
        <v>45964.0</v>
      </c>
      <c r="B262" s="8" t="s">
        <v>495</v>
      </c>
      <c r="C262" s="8" t="s">
        <v>496</v>
      </c>
      <c r="D262" s="59">
        <v>45961.0</v>
      </c>
      <c r="E262" s="8">
        <v>0.0</v>
      </c>
      <c r="G262" s="8">
        <v>-1.245529362E7</v>
      </c>
      <c r="H262" s="8">
        <v>1.1589303E7</v>
      </c>
      <c r="I262" s="14">
        <f t="shared" si="1"/>
        <v>-865990.62</v>
      </c>
    </row>
    <row r="263">
      <c r="A263" s="59">
        <v>45965.0</v>
      </c>
      <c r="B263" s="8" t="s">
        <v>495</v>
      </c>
      <c r="C263" s="8" t="s">
        <v>496</v>
      </c>
      <c r="D263" s="59">
        <v>45964.0</v>
      </c>
      <c r="E263" s="8">
        <v>0.0</v>
      </c>
      <c r="G263" s="8">
        <v>-1.245529362E7</v>
      </c>
      <c r="H263" s="8">
        <v>1.1702296E7</v>
      </c>
      <c r="I263" s="14">
        <f t="shared" si="1"/>
        <v>-752997.62</v>
      </c>
    </row>
    <row r="264">
      <c r="A264" s="59">
        <v>45967.0</v>
      </c>
      <c r="B264" s="8" t="s">
        <v>495</v>
      </c>
      <c r="C264" s="8" t="s">
        <v>496</v>
      </c>
      <c r="D264" s="59">
        <v>45965.0</v>
      </c>
      <c r="E264" s="8">
        <v>0.0</v>
      </c>
      <c r="G264" s="8">
        <v>-1.245529362E7</v>
      </c>
      <c r="H264" s="8">
        <v>1.1592777E7</v>
      </c>
      <c r="I264" s="14">
        <f t="shared" si="1"/>
        <v>-862516.62</v>
      </c>
    </row>
    <row r="265">
      <c r="A265" s="59">
        <v>45968.0</v>
      </c>
      <c r="B265" s="8" t="s">
        <v>495</v>
      </c>
      <c r="C265" s="8" t="s">
        <v>496</v>
      </c>
      <c r="D265" s="59">
        <v>45967.0</v>
      </c>
      <c r="E265" s="8">
        <v>0.0</v>
      </c>
      <c r="G265" s="8">
        <v>-1.245529362E7</v>
      </c>
      <c r="H265" s="8">
        <v>1.1532138E7</v>
      </c>
      <c r="I265" s="14">
        <f t="shared" si="1"/>
        <v>-923155.62</v>
      </c>
    </row>
    <row r="266">
      <c r="A266" s="59">
        <v>45971.0</v>
      </c>
      <c r="B266" s="8" t="s">
        <v>495</v>
      </c>
      <c r="C266" s="8" t="s">
        <v>496</v>
      </c>
      <c r="D266" s="59">
        <v>45968.0</v>
      </c>
      <c r="E266" s="8">
        <v>0.0</v>
      </c>
      <c r="G266" s="8">
        <v>-1.245529362E7</v>
      </c>
      <c r="H266" s="8">
        <v>1.1582008E7</v>
      </c>
      <c r="I266" s="14">
        <f t="shared" si="1"/>
        <v>-873285.62</v>
      </c>
    </row>
    <row r="267">
      <c r="A267" s="59">
        <v>45972.0</v>
      </c>
      <c r="B267" s="8" t="s">
        <v>495</v>
      </c>
      <c r="C267" s="8" t="s">
        <v>496</v>
      </c>
      <c r="D267" s="59">
        <v>45971.0</v>
      </c>
      <c r="E267" s="8">
        <v>0.0</v>
      </c>
      <c r="G267" s="8">
        <v>-1.245529362E7</v>
      </c>
      <c r="H267" s="8">
        <v>1.1532297E7</v>
      </c>
      <c r="I267" s="14">
        <f t="shared" si="1"/>
        <v>-922996.62</v>
      </c>
    </row>
    <row r="268">
      <c r="A268" s="59">
        <v>45973.0</v>
      </c>
      <c r="B268" s="8" t="s">
        <v>495</v>
      </c>
      <c r="C268" s="8" t="s">
        <v>496</v>
      </c>
      <c r="D268" s="59">
        <v>45972.0</v>
      </c>
      <c r="E268" s="8">
        <v>0.0</v>
      </c>
      <c r="G268" s="8">
        <v>-1.245529362E7</v>
      </c>
      <c r="H268" s="8">
        <v>1.1563716E7</v>
      </c>
      <c r="I268" s="14">
        <f t="shared" si="1"/>
        <v>-891577.62</v>
      </c>
    </row>
    <row r="269">
      <c r="A269" s="59">
        <v>45974.0</v>
      </c>
      <c r="B269" s="8" t="s">
        <v>495</v>
      </c>
      <c r="C269" s="8" t="s">
        <v>496</v>
      </c>
      <c r="D269" s="59">
        <v>45973.0</v>
      </c>
      <c r="E269" s="8">
        <v>0.0</v>
      </c>
      <c r="G269" s="8">
        <v>-1.245529362E7</v>
      </c>
      <c r="H269" s="8">
        <v>1.1651938E7</v>
      </c>
      <c r="I269" s="14">
        <f t="shared" si="1"/>
        <v>-803355.62</v>
      </c>
    </row>
    <row r="270">
      <c r="A270" s="59">
        <v>45975.0</v>
      </c>
      <c r="B270" s="8" t="s">
        <v>495</v>
      </c>
      <c r="C270" s="8" t="s">
        <v>496</v>
      </c>
      <c r="D270" s="59">
        <v>45974.0</v>
      </c>
      <c r="E270" s="8">
        <v>0.0</v>
      </c>
      <c r="G270" s="8">
        <v>-1.245529362E7</v>
      </c>
      <c r="H270" s="8">
        <v>1.1566362E7</v>
      </c>
      <c r="I270" s="14">
        <f t="shared" si="1"/>
        <v>-888931.62</v>
      </c>
    </row>
    <row r="271">
      <c r="A271" s="59">
        <v>45978.0</v>
      </c>
      <c r="B271" s="8" t="s">
        <v>495</v>
      </c>
      <c r="C271" s="8" t="s">
        <v>496</v>
      </c>
      <c r="D271" s="59">
        <v>45975.0</v>
      </c>
      <c r="E271" s="8">
        <v>0.0</v>
      </c>
      <c r="G271" s="8">
        <v>-1.245529362E7</v>
      </c>
      <c r="H271" s="8">
        <v>1.1658036E7</v>
      </c>
      <c r="I271" s="14">
        <f t="shared" si="1"/>
        <v>-797257.62</v>
      </c>
    </row>
    <row r="272">
      <c r="A272" s="59">
        <v>45979.0</v>
      </c>
      <c r="B272" s="8" t="s">
        <v>495</v>
      </c>
      <c r="C272" s="8" t="s">
        <v>496</v>
      </c>
      <c r="D272" s="59">
        <v>45978.0</v>
      </c>
      <c r="E272" s="8">
        <v>0.0</v>
      </c>
      <c r="G272" s="8">
        <v>-1.245529362E7</v>
      </c>
      <c r="H272" s="8">
        <v>1.1732465E7</v>
      </c>
      <c r="I272" s="14">
        <f t="shared" si="1"/>
        <v>-722828.62</v>
      </c>
    </row>
    <row r="273">
      <c r="A273" s="59">
        <v>45980.0</v>
      </c>
      <c r="B273" s="8" t="s">
        <v>495</v>
      </c>
      <c r="C273" s="8" t="s">
        <v>496</v>
      </c>
      <c r="D273" s="59">
        <v>45979.0</v>
      </c>
      <c r="E273" s="8">
        <v>0.0</v>
      </c>
      <c r="G273" s="8">
        <v>-1.245529362E7</v>
      </c>
      <c r="H273" s="8">
        <v>1.1602352E7</v>
      </c>
      <c r="I273" s="14">
        <f t="shared" si="1"/>
        <v>-852941.62</v>
      </c>
    </row>
    <row r="274">
      <c r="A274" s="59">
        <v>45981.0</v>
      </c>
      <c r="B274" s="8" t="s">
        <v>495</v>
      </c>
      <c r="C274" s="8" t="s">
        <v>496</v>
      </c>
      <c r="D274" s="59">
        <v>45980.0</v>
      </c>
      <c r="E274" s="8">
        <v>0.0</v>
      </c>
      <c r="G274" s="8">
        <v>-1.245529362E7</v>
      </c>
      <c r="H274" s="8">
        <v>1.163784E7</v>
      </c>
      <c r="I274" s="14">
        <f t="shared" si="1"/>
        <v>-817453.62</v>
      </c>
    </row>
    <row r="275">
      <c r="A275" s="59">
        <v>45982.0</v>
      </c>
      <c r="B275" s="8" t="s">
        <v>495</v>
      </c>
      <c r="C275" s="8" t="s">
        <v>496</v>
      </c>
      <c r="D275" s="59">
        <v>45981.0</v>
      </c>
      <c r="E275" s="8">
        <v>0.0</v>
      </c>
      <c r="G275" s="8">
        <v>-1.245529362E7</v>
      </c>
      <c r="H275" s="8">
        <v>1.1695862E7</v>
      </c>
      <c r="I275" s="14">
        <f t="shared" si="1"/>
        <v>-759431.62</v>
      </c>
    </row>
    <row r="276">
      <c r="A276" s="59">
        <v>45985.0</v>
      </c>
      <c r="B276" s="8" t="s">
        <v>495</v>
      </c>
      <c r="C276" s="8" t="s">
        <v>496</v>
      </c>
      <c r="D276" s="59">
        <v>45982.0</v>
      </c>
      <c r="E276" s="8">
        <v>0.0</v>
      </c>
      <c r="G276" s="8">
        <v>-1.245529362E7</v>
      </c>
      <c r="H276" s="8">
        <v>1.1438222E7</v>
      </c>
      <c r="I276" s="14">
        <f t="shared" si="1"/>
        <v>-1017071.62</v>
      </c>
    </row>
    <row r="277">
      <c r="A277" s="59">
        <v>45986.0</v>
      </c>
      <c r="B277" s="8" t="s">
        <v>495</v>
      </c>
      <c r="C277" s="8" t="s">
        <v>496</v>
      </c>
      <c r="D277" s="59">
        <v>45985.0</v>
      </c>
      <c r="E277" s="8">
        <v>0.0</v>
      </c>
      <c r="G277" s="8">
        <v>-1.245529362E7</v>
      </c>
      <c r="H277" s="8">
        <v>1.1315982E7</v>
      </c>
      <c r="I277" s="14">
        <f t="shared" si="1"/>
        <v>-1139311.62</v>
      </c>
    </row>
    <row r="278">
      <c r="A278" s="59">
        <v>45987.0</v>
      </c>
      <c r="B278" s="8" t="s">
        <v>495</v>
      </c>
      <c r="C278" s="8" t="s">
        <v>496</v>
      </c>
      <c r="D278" s="59">
        <v>45986.0</v>
      </c>
      <c r="E278" s="8">
        <v>0.0</v>
      </c>
      <c r="G278" s="8">
        <v>-1.245529362E7</v>
      </c>
      <c r="H278" s="8">
        <v>1.1381219E7</v>
      </c>
      <c r="I278" s="14">
        <f t="shared" si="1"/>
        <v>-1074074.62</v>
      </c>
    </row>
    <row r="279">
      <c r="A279" s="59">
        <v>45988.0</v>
      </c>
      <c r="B279" s="8" t="s">
        <v>495</v>
      </c>
      <c r="C279" s="8" t="s">
        <v>496</v>
      </c>
      <c r="D279" s="59">
        <v>45987.0</v>
      </c>
      <c r="E279" s="8">
        <v>0.0</v>
      </c>
      <c r="G279" s="8">
        <v>-1.245529362E7</v>
      </c>
      <c r="H279" s="8">
        <v>1.1658226E7</v>
      </c>
      <c r="I279" s="14">
        <f t="shared" si="1"/>
        <v>-797067.62</v>
      </c>
    </row>
    <row r="280">
      <c r="A280" s="59">
        <v>45989.0</v>
      </c>
      <c r="B280" s="8" t="s">
        <v>495</v>
      </c>
      <c r="C280" s="8" t="s">
        <v>496</v>
      </c>
      <c r="D280" s="59">
        <v>45988.0</v>
      </c>
      <c r="E280" s="8">
        <v>0.0</v>
      </c>
      <c r="G280" s="8">
        <v>-1.245529362E7</v>
      </c>
      <c r="H280" s="8">
        <v>1.1706164E7</v>
      </c>
      <c r="I280" s="14">
        <f t="shared" si="1"/>
        <v>-749129.62</v>
      </c>
    </row>
    <row r="281">
      <c r="A281" s="59">
        <v>45992.0</v>
      </c>
      <c r="B281" s="8" t="s">
        <v>495</v>
      </c>
      <c r="C281" s="8" t="s">
        <v>496</v>
      </c>
      <c r="D281" s="59">
        <v>45989.0</v>
      </c>
      <c r="E281" s="8">
        <v>0.0</v>
      </c>
      <c r="G281" s="8">
        <v>-1.245529362E7</v>
      </c>
      <c r="H281" s="8">
        <v>1.1691767E7</v>
      </c>
      <c r="I281" s="14">
        <f t="shared" si="1"/>
        <v>-763526.62</v>
      </c>
    </row>
    <row r="282">
      <c r="A282" s="59">
        <v>45993.0</v>
      </c>
      <c r="B282" s="8" t="s">
        <v>495</v>
      </c>
      <c r="C282" s="8" t="s">
        <v>496</v>
      </c>
      <c r="D282" s="59">
        <v>45992.0</v>
      </c>
      <c r="E282" s="8">
        <v>0.0</v>
      </c>
      <c r="G282" s="8">
        <v>-1.245529362E7</v>
      </c>
      <c r="H282" s="8">
        <v>1.1850424E7</v>
      </c>
      <c r="I282" s="14">
        <f t="shared" si="1"/>
        <v>-604869.62</v>
      </c>
    </row>
    <row r="283">
      <c r="A283" s="59">
        <v>45994.0</v>
      </c>
      <c r="B283" s="8" t="s">
        <v>495</v>
      </c>
      <c r="C283" s="8" t="s">
        <v>496</v>
      </c>
      <c r="D283" s="59">
        <v>45993.0</v>
      </c>
      <c r="E283" s="8">
        <v>0.0</v>
      </c>
      <c r="G283" s="8">
        <v>-1.245529362E7</v>
      </c>
      <c r="H283" s="8">
        <v>1.1838994E7</v>
      </c>
      <c r="I283" s="14">
        <f t="shared" si="1"/>
        <v>-616299.62</v>
      </c>
    </row>
    <row r="284">
      <c r="A284" s="59">
        <v>45995.0</v>
      </c>
      <c r="B284" s="8" t="s">
        <v>495</v>
      </c>
      <c r="C284" s="8" t="s">
        <v>496</v>
      </c>
      <c r="D284" s="59">
        <v>45994.0</v>
      </c>
      <c r="E284" s="8">
        <v>0.0</v>
      </c>
      <c r="G284" s="8">
        <v>-1.245529362E7</v>
      </c>
      <c r="H284" s="8">
        <v>1.1678045E7</v>
      </c>
      <c r="I284" s="14">
        <f t="shared" si="1"/>
        <v>-777248.62</v>
      </c>
    </row>
    <row r="285">
      <c r="A285" s="59">
        <v>45996.0</v>
      </c>
      <c r="B285" s="8" t="s">
        <v>495</v>
      </c>
      <c r="C285" s="8" t="s">
        <v>496</v>
      </c>
      <c r="D285" s="59">
        <v>45995.0</v>
      </c>
      <c r="E285" s="8">
        <v>0.0</v>
      </c>
      <c r="G285" s="8">
        <v>-1.245529362E7</v>
      </c>
      <c r="H285" s="8">
        <v>1.1512403E7</v>
      </c>
      <c r="I285" s="14">
        <f t="shared" si="1"/>
        <v>-942890.62</v>
      </c>
    </row>
    <row r="286">
      <c r="A286" s="59">
        <v>45999.0</v>
      </c>
      <c r="B286" s="8" t="s">
        <v>495</v>
      </c>
      <c r="C286" s="8" t="s">
        <v>496</v>
      </c>
      <c r="D286" s="59">
        <v>45996.0</v>
      </c>
      <c r="E286" s="8">
        <v>0.0</v>
      </c>
      <c r="G286" s="8">
        <v>-1.245529362E7</v>
      </c>
      <c r="H286" s="8">
        <v>1.1440244E7</v>
      </c>
      <c r="I286" s="14">
        <f t="shared" si="1"/>
        <v>-1015049.62</v>
      </c>
    </row>
    <row r="287">
      <c r="A287" s="59">
        <v>46000.0</v>
      </c>
      <c r="B287" s="8" t="s">
        <v>495</v>
      </c>
      <c r="C287" s="8" t="s">
        <v>496</v>
      </c>
      <c r="D287" s="59">
        <v>45999.0</v>
      </c>
      <c r="E287" s="8">
        <v>0.0</v>
      </c>
      <c r="G287" s="8">
        <v>-1.245529362E7</v>
      </c>
      <c r="H287" s="8">
        <v>1.1207016E7</v>
      </c>
      <c r="I287" s="14">
        <f t="shared" si="1"/>
        <v>-1248277.62</v>
      </c>
    </row>
    <row r="288">
      <c r="A288" s="59">
        <v>46001.0</v>
      </c>
      <c r="B288" s="8" t="s">
        <v>495</v>
      </c>
      <c r="C288" s="8" t="s">
        <v>496</v>
      </c>
      <c r="D288" s="59">
        <v>46000.0</v>
      </c>
      <c r="E288" s="8">
        <v>0.0</v>
      </c>
      <c r="G288" s="8">
        <v>-1.245529362E7</v>
      </c>
      <c r="H288" s="8">
        <v>1.1295132E7</v>
      </c>
      <c r="I288" s="14">
        <f t="shared" si="1"/>
        <v>-1160161.62</v>
      </c>
    </row>
    <row r="289">
      <c r="A289" s="59">
        <v>46002.0</v>
      </c>
      <c r="B289" s="8" t="s">
        <v>495</v>
      </c>
      <c r="C289" s="8" t="s">
        <v>496</v>
      </c>
      <c r="D289" s="59">
        <v>46001.0</v>
      </c>
      <c r="E289" s="8">
        <v>0.0</v>
      </c>
      <c r="G289" s="8">
        <v>-1.245529362E7</v>
      </c>
      <c r="H289" s="8">
        <v>1.1129499E7</v>
      </c>
      <c r="I289" s="14">
        <f t="shared" si="1"/>
        <v>-1325794.62</v>
      </c>
    </row>
    <row r="290">
      <c r="A290" s="59">
        <v>46003.0</v>
      </c>
      <c r="B290" s="8" t="s">
        <v>495</v>
      </c>
      <c r="C290" s="8" t="s">
        <v>496</v>
      </c>
      <c r="D290" s="59">
        <v>46002.0</v>
      </c>
      <c r="E290" s="8">
        <v>0.0</v>
      </c>
      <c r="G290" s="8">
        <v>-1.245529362E7</v>
      </c>
      <c r="H290" s="8">
        <v>1.1266416E7</v>
      </c>
      <c r="I290" s="14">
        <f t="shared" si="1"/>
        <v>-1188877.62</v>
      </c>
    </row>
    <row r="291">
      <c r="A291" s="59">
        <v>46006.0</v>
      </c>
      <c r="B291" s="8" t="s">
        <v>495</v>
      </c>
      <c r="C291" s="8" t="s">
        <v>496</v>
      </c>
      <c r="D291" s="59">
        <v>46003.0</v>
      </c>
      <c r="E291" s="8">
        <v>0.0</v>
      </c>
      <c r="G291" s="8">
        <v>-1.245529362E7</v>
      </c>
      <c r="H291" s="8">
        <v>1.141559E7</v>
      </c>
      <c r="I291" s="14">
        <f t="shared" si="1"/>
        <v>-1039703.62</v>
      </c>
    </row>
    <row r="292">
      <c r="A292" s="59">
        <v>46007.0</v>
      </c>
      <c r="B292" s="8" t="s">
        <v>495</v>
      </c>
      <c r="C292" s="8" t="s">
        <v>496</v>
      </c>
      <c r="D292" s="59">
        <v>46006.0</v>
      </c>
      <c r="E292" s="8">
        <v>0.0</v>
      </c>
      <c r="G292" s="8">
        <v>-1.245529362E7</v>
      </c>
      <c r="H292" s="8">
        <v>1.1398163E7</v>
      </c>
      <c r="I292" s="14">
        <f t="shared" si="1"/>
        <v>-1057130.62</v>
      </c>
    </row>
    <row r="293">
      <c r="A293" s="59">
        <v>46008.0</v>
      </c>
      <c r="B293" s="8" t="s">
        <v>495</v>
      </c>
      <c r="C293" s="8" t="s">
        <v>496</v>
      </c>
      <c r="D293" s="59">
        <v>46007.0</v>
      </c>
      <c r="E293" s="8">
        <v>0.0</v>
      </c>
      <c r="G293" s="8">
        <v>-1.245529362E7</v>
      </c>
      <c r="H293" s="8">
        <v>1.129529E7</v>
      </c>
      <c r="I293" s="14">
        <f t="shared" si="1"/>
        <v>-1160003.62</v>
      </c>
    </row>
    <row r="294">
      <c r="A294" s="59">
        <v>46009.0</v>
      </c>
      <c r="B294" s="8" t="s">
        <v>495</v>
      </c>
      <c r="C294" s="8" t="s">
        <v>496</v>
      </c>
      <c r="D294" s="59">
        <v>46008.0</v>
      </c>
      <c r="E294" s="8">
        <v>0.0</v>
      </c>
      <c r="G294" s="8">
        <v>-1.245529362E7</v>
      </c>
      <c r="H294" s="8">
        <v>1.1192443E7</v>
      </c>
      <c r="I294" s="14">
        <f t="shared" si="1"/>
        <v>-1262850.62</v>
      </c>
    </row>
    <row r="295">
      <c r="A295" s="59">
        <v>46010.0</v>
      </c>
      <c r="B295" s="8" t="s">
        <v>495</v>
      </c>
      <c r="C295" s="8" t="s">
        <v>496</v>
      </c>
      <c r="D295" s="59">
        <v>46009.0</v>
      </c>
      <c r="E295" s="8">
        <v>0.0</v>
      </c>
      <c r="G295" s="8">
        <v>-1.245529362E7</v>
      </c>
      <c r="H295" s="8">
        <v>1.1215984E7</v>
      </c>
      <c r="I295" s="14">
        <f t="shared" si="1"/>
        <v>-1239309.62</v>
      </c>
    </row>
    <row r="296">
      <c r="A296" s="59">
        <v>46013.0</v>
      </c>
      <c r="B296" s="8" t="s">
        <v>495</v>
      </c>
      <c r="C296" s="8" t="s">
        <v>496</v>
      </c>
      <c r="D296" s="59">
        <v>46010.0</v>
      </c>
      <c r="E296" s="8">
        <v>0.0</v>
      </c>
      <c r="G296" s="8">
        <v>-1.245529362E7</v>
      </c>
      <c r="H296" s="8">
        <v>1.1352515E7</v>
      </c>
      <c r="I296" s="14">
        <f t="shared" si="1"/>
        <v>-1102778.62</v>
      </c>
    </row>
    <row r="297">
      <c r="A297" s="59">
        <v>46014.0</v>
      </c>
      <c r="B297" s="8" t="s">
        <v>495</v>
      </c>
      <c r="C297" s="8" t="s">
        <v>496</v>
      </c>
      <c r="D297" s="59">
        <v>46013.0</v>
      </c>
      <c r="E297" s="8">
        <v>0.0</v>
      </c>
      <c r="G297" s="8">
        <v>-1.245529362E7</v>
      </c>
      <c r="H297" s="8">
        <v>1.1524414E7</v>
      </c>
      <c r="I297" s="14">
        <f t="shared" si="1"/>
        <v>-930879.62</v>
      </c>
    </row>
    <row r="298">
      <c r="A298" s="59">
        <v>46015.0</v>
      </c>
      <c r="B298" s="8" t="s">
        <v>495</v>
      </c>
      <c r="C298" s="8" t="s">
        <v>496</v>
      </c>
      <c r="D298" s="59">
        <v>46014.0</v>
      </c>
      <c r="E298" s="8">
        <v>0.0</v>
      </c>
      <c r="G298" s="8">
        <v>-1.245529362E7</v>
      </c>
      <c r="H298" s="8">
        <v>1.1534693E7</v>
      </c>
      <c r="I298" s="14">
        <f t="shared" si="1"/>
        <v>-920600.62</v>
      </c>
    </row>
    <row r="299">
      <c r="A299" s="59">
        <v>46017.0</v>
      </c>
      <c r="B299" s="8" t="s">
        <v>495</v>
      </c>
      <c r="C299" s="8" t="s">
        <v>496</v>
      </c>
      <c r="D299" s="59">
        <v>46015.0</v>
      </c>
      <c r="E299" s="8">
        <v>0.0</v>
      </c>
      <c r="G299" s="8">
        <v>-1.245529362E7</v>
      </c>
      <c r="H299" s="8">
        <v>1.1492963E7</v>
      </c>
      <c r="I299" s="14">
        <f t="shared" si="1"/>
        <v>-962330.62</v>
      </c>
    </row>
    <row r="300">
      <c r="A300" s="59">
        <v>46020.0</v>
      </c>
      <c r="B300" s="8" t="s">
        <v>495</v>
      </c>
      <c r="C300" s="8" t="s">
        <v>496</v>
      </c>
      <c r="D300" s="59">
        <v>46017.0</v>
      </c>
      <c r="E300" s="8">
        <v>0.0</v>
      </c>
      <c r="G300" s="8">
        <v>-1.245529362E7</v>
      </c>
      <c r="H300" s="8">
        <v>1.1393994E7</v>
      </c>
      <c r="I300" s="14">
        <f t="shared" si="1"/>
        <v>-1061299.62</v>
      </c>
    </row>
    <row r="301">
      <c r="A301" s="59">
        <v>46021.0</v>
      </c>
      <c r="B301" s="8" t="s">
        <v>495</v>
      </c>
      <c r="C301" s="8" t="s">
        <v>496</v>
      </c>
      <c r="D301" s="59">
        <v>46020.0</v>
      </c>
      <c r="E301" s="8">
        <v>0.0</v>
      </c>
      <c r="G301" s="8">
        <v>-1.245529362E7</v>
      </c>
      <c r="H301" s="8">
        <v>1.1333881E7</v>
      </c>
      <c r="I301" s="14">
        <f t="shared" si="1"/>
        <v>-1121412.62</v>
      </c>
    </row>
    <row r="302">
      <c r="A302" s="59">
        <v>46022.0</v>
      </c>
      <c r="B302" s="8" t="s">
        <v>495</v>
      </c>
      <c r="C302" s="8" t="s">
        <v>496</v>
      </c>
      <c r="D302" s="59">
        <v>46021.0</v>
      </c>
      <c r="E302" s="8">
        <v>0.0</v>
      </c>
      <c r="G302" s="8">
        <v>-1.245529362E7</v>
      </c>
      <c r="H302" s="8">
        <v>1.1123978E7</v>
      </c>
      <c r="I302" s="14">
        <f t="shared" si="1"/>
        <v>-1331315.62</v>
      </c>
    </row>
    <row r="303">
      <c r="A303" s="59">
        <v>46023.0</v>
      </c>
      <c r="B303" s="8" t="s">
        <v>495</v>
      </c>
      <c r="C303" s="8" t="s">
        <v>496</v>
      </c>
      <c r="D303" s="59">
        <v>46022.0</v>
      </c>
      <c r="E303" s="8">
        <v>0.0</v>
      </c>
      <c r="G303" s="8">
        <v>-1.245529362E7</v>
      </c>
      <c r="H303" s="8">
        <v>1.1348959E7</v>
      </c>
      <c r="I303" s="14">
        <f t="shared" si="1"/>
        <v>-1106334.62</v>
      </c>
    </row>
    <row r="304">
      <c r="A304" s="59">
        <v>46024.0</v>
      </c>
      <c r="B304" s="8" t="s">
        <v>495</v>
      </c>
      <c r="C304" s="8" t="s">
        <v>496</v>
      </c>
      <c r="D304" s="59">
        <v>46023.0</v>
      </c>
      <c r="E304" s="8">
        <v>0.0</v>
      </c>
      <c r="G304" s="8">
        <v>-1.245529362E7</v>
      </c>
      <c r="H304" s="8">
        <v>1.1178117E7</v>
      </c>
      <c r="I304" s="14">
        <f t="shared" si="1"/>
        <v>-1277176.62</v>
      </c>
    </row>
    <row r="305">
      <c r="A305" s="59">
        <v>46027.0</v>
      </c>
      <c r="B305" s="8" t="s">
        <v>495</v>
      </c>
      <c r="C305" s="8" t="s">
        <v>496</v>
      </c>
      <c r="D305" s="59">
        <v>46024.0</v>
      </c>
      <c r="E305" s="8">
        <v>0.0</v>
      </c>
      <c r="G305" s="8">
        <v>-1.245529362E7</v>
      </c>
      <c r="H305" s="8">
        <v>1.0682341E7</v>
      </c>
      <c r="I305" s="14">
        <f t="shared" si="1"/>
        <v>-1772952.62</v>
      </c>
    </row>
    <row r="306">
      <c r="A306" s="59">
        <v>46028.0</v>
      </c>
      <c r="B306" s="8" t="s">
        <v>495</v>
      </c>
      <c r="C306" s="8" t="s">
        <v>496</v>
      </c>
      <c r="D306" s="59">
        <v>46027.0</v>
      </c>
      <c r="E306" s="8">
        <v>0.0</v>
      </c>
      <c r="G306" s="8">
        <v>-1.245529362E7</v>
      </c>
      <c r="H306" s="8">
        <v>1.0725785E7</v>
      </c>
      <c r="I306" s="14">
        <f t="shared" si="1"/>
        <v>-1729508.62</v>
      </c>
    </row>
    <row r="307">
      <c r="A307" s="59">
        <v>46029.0</v>
      </c>
      <c r="B307" s="8" t="s">
        <v>495</v>
      </c>
      <c r="C307" s="8" t="s">
        <v>496</v>
      </c>
      <c r="D307" s="59">
        <v>46028.0</v>
      </c>
      <c r="E307" s="8">
        <v>0.0</v>
      </c>
      <c r="G307" s="8">
        <v>-1.245529362E7</v>
      </c>
      <c r="H307" s="8">
        <v>1.0654543E7</v>
      </c>
      <c r="I307" s="14">
        <f t="shared" si="1"/>
        <v>-1800750.62</v>
      </c>
    </row>
    <row r="308">
      <c r="A308" s="59">
        <v>46030.0</v>
      </c>
      <c r="B308" s="8" t="s">
        <v>495</v>
      </c>
      <c r="C308" s="8" t="s">
        <v>496</v>
      </c>
      <c r="D308" s="59">
        <v>46029.0</v>
      </c>
      <c r="E308" s="8">
        <v>0.0</v>
      </c>
      <c r="G308" s="8">
        <v>-1.245529362E7</v>
      </c>
      <c r="H308" s="8">
        <v>1.0698108E7</v>
      </c>
      <c r="I308" s="14">
        <f t="shared" si="1"/>
        <v>-1757185.62</v>
      </c>
    </row>
    <row r="309">
      <c r="A309" s="59">
        <v>46031.0</v>
      </c>
      <c r="B309" s="8" t="s">
        <v>495</v>
      </c>
      <c r="C309" s="8" t="s">
        <v>496</v>
      </c>
      <c r="D309" s="59">
        <v>46030.0</v>
      </c>
      <c r="E309" s="8">
        <v>0.0</v>
      </c>
      <c r="G309" s="8">
        <v>-1.245529362E7</v>
      </c>
      <c r="H309" s="8">
        <v>1.0468124E7</v>
      </c>
      <c r="I309" s="14">
        <f t="shared" si="1"/>
        <v>-1987169.62</v>
      </c>
    </row>
    <row r="310">
      <c r="A310" s="59">
        <v>46034.0</v>
      </c>
      <c r="B310" s="8" t="s">
        <v>495</v>
      </c>
      <c r="C310" s="8" t="s">
        <v>496</v>
      </c>
      <c r="D310" s="59">
        <v>46031.0</v>
      </c>
      <c r="E310" s="8">
        <v>0.0</v>
      </c>
      <c r="G310" s="8">
        <v>-1.245529362E7</v>
      </c>
      <c r="H310" s="8">
        <v>1.0329034E7</v>
      </c>
      <c r="I310" s="14">
        <f t="shared" si="1"/>
        <v>-2126259.62</v>
      </c>
    </row>
    <row r="311">
      <c r="A311" s="59">
        <v>46035.0</v>
      </c>
      <c r="B311" s="8" t="s">
        <v>495</v>
      </c>
      <c r="C311" s="8" t="s">
        <v>496</v>
      </c>
      <c r="D311" s="59">
        <v>46034.0</v>
      </c>
      <c r="E311" s="8">
        <v>0.0</v>
      </c>
      <c r="G311" s="8">
        <v>-1.245529362E7</v>
      </c>
      <c r="H311" s="8">
        <v>1.0275932E7</v>
      </c>
      <c r="I311" s="14">
        <f t="shared" si="1"/>
        <v>-2179361.62</v>
      </c>
    </row>
    <row r="312">
      <c r="A312" s="59">
        <v>46036.0</v>
      </c>
      <c r="B312" s="8" t="s">
        <v>495</v>
      </c>
      <c r="C312" s="8" t="s">
        <v>496</v>
      </c>
      <c r="D312" s="59">
        <v>46035.0</v>
      </c>
      <c r="E312" s="8">
        <v>0.0</v>
      </c>
      <c r="G312" s="8">
        <v>-1.245529362E7</v>
      </c>
      <c r="H312" s="8">
        <v>1.029281E7</v>
      </c>
      <c r="I312" s="14">
        <f t="shared" si="1"/>
        <v>-2162483.62</v>
      </c>
    </row>
    <row r="313">
      <c r="A313" s="59">
        <v>46038.0</v>
      </c>
      <c r="B313" s="8" t="s">
        <v>495</v>
      </c>
      <c r="C313" s="8" t="s">
        <v>496</v>
      </c>
      <c r="D313" s="59">
        <v>46036.0</v>
      </c>
      <c r="E313" s="8">
        <v>0.0</v>
      </c>
      <c r="G313" s="8">
        <v>-1.245529362E7</v>
      </c>
      <c r="H313" s="8">
        <v>1.1019085E7</v>
      </c>
      <c r="I313" s="14">
        <f t="shared" si="1"/>
        <v>-1436208.62</v>
      </c>
    </row>
    <row r="314">
      <c r="A314" s="59">
        <v>46041.0</v>
      </c>
      <c r="B314" s="8" t="s">
        <v>495</v>
      </c>
      <c r="C314" s="8" t="s">
        <v>496</v>
      </c>
      <c r="D314" s="59">
        <v>46038.0</v>
      </c>
      <c r="E314" s="8">
        <v>0.0</v>
      </c>
      <c r="G314" s="8">
        <v>-1.245529362E7</v>
      </c>
      <c r="H314" s="8">
        <v>1.097493E7</v>
      </c>
      <c r="I314" s="14">
        <f t="shared" si="1"/>
        <v>-1480363.62</v>
      </c>
    </row>
    <row r="315">
      <c r="A315" s="59">
        <v>46042.0</v>
      </c>
      <c r="B315" s="8" t="s">
        <v>495</v>
      </c>
      <c r="C315" s="8" t="s">
        <v>496</v>
      </c>
      <c r="D315" s="59">
        <v>46041.0</v>
      </c>
      <c r="E315" s="8">
        <v>0.0</v>
      </c>
      <c r="G315" s="8">
        <v>-1.245529362E7</v>
      </c>
      <c r="H315" s="8">
        <v>1.0839475E7</v>
      </c>
      <c r="I315" s="14">
        <f t="shared" si="1"/>
        <v>-1615818.62</v>
      </c>
    </row>
    <row r="316">
      <c r="A316" s="59">
        <v>46043.0</v>
      </c>
      <c r="B316" s="8" t="s">
        <v>495</v>
      </c>
      <c r="C316" s="8" t="s">
        <v>496</v>
      </c>
      <c r="D316" s="59">
        <v>46042.0</v>
      </c>
      <c r="E316" s="8">
        <v>0.0</v>
      </c>
      <c r="G316" s="8">
        <v>-1.245529362E7</v>
      </c>
      <c r="H316" s="8">
        <v>1.0534938E7</v>
      </c>
      <c r="I316" s="14">
        <f t="shared" si="1"/>
        <v>-1920355.62</v>
      </c>
    </row>
    <row r="317">
      <c r="A317" s="59">
        <v>46044.0</v>
      </c>
      <c r="B317" s="8" t="s">
        <v>495</v>
      </c>
      <c r="C317" s="8" t="s">
        <v>496</v>
      </c>
      <c r="D317" s="59">
        <v>46043.0</v>
      </c>
      <c r="E317" s="8">
        <v>0.0</v>
      </c>
      <c r="G317" s="8">
        <v>-1.245529362E7</v>
      </c>
      <c r="H317" s="8">
        <v>1.0406555E7</v>
      </c>
      <c r="I317" s="14">
        <f t="shared" si="1"/>
        <v>-2048738.62</v>
      </c>
    </row>
    <row r="318">
      <c r="A318" s="59">
        <v>46045.0</v>
      </c>
      <c r="B318" s="8" t="s">
        <v>495</v>
      </c>
      <c r="C318" s="8" t="s">
        <v>496</v>
      </c>
      <c r="D318" s="59">
        <v>46044.0</v>
      </c>
      <c r="E318" s="8">
        <v>0.0</v>
      </c>
      <c r="G318" s="8">
        <v>-1.245529362E7</v>
      </c>
      <c r="H318" s="8">
        <v>1.0525385E7</v>
      </c>
      <c r="I318" s="14">
        <f t="shared" si="1"/>
        <v>-1929908.62</v>
      </c>
    </row>
    <row r="319">
      <c r="A319" s="59">
        <v>46049.0</v>
      </c>
      <c r="B319" s="8" t="s">
        <v>495</v>
      </c>
      <c r="C319" s="8" t="s">
        <v>496</v>
      </c>
      <c r="D319" s="59">
        <v>46045.0</v>
      </c>
      <c r="E319" s="8">
        <v>0.0</v>
      </c>
      <c r="G319" s="8">
        <v>-1.245529362E7</v>
      </c>
      <c r="H319" s="8">
        <v>1.0212921E7</v>
      </c>
      <c r="I319" s="14">
        <f t="shared" si="1"/>
        <v>-2242372.62</v>
      </c>
    </row>
    <row r="320">
      <c r="A320" s="59">
        <v>46050.0</v>
      </c>
      <c r="B320" s="8" t="s">
        <v>495</v>
      </c>
      <c r="C320" s="8" t="s">
        <v>496</v>
      </c>
      <c r="D320" s="59">
        <v>46049.0</v>
      </c>
      <c r="E320" s="8">
        <v>0.0</v>
      </c>
      <c r="G320" s="8">
        <v>-1.245529362E7</v>
      </c>
      <c r="H320" s="8">
        <v>1.0358405E7</v>
      </c>
      <c r="I320" s="14">
        <f t="shared" si="1"/>
        <v>-2096888.62</v>
      </c>
    </row>
    <row r="321">
      <c r="A321" s="59">
        <v>46051.0</v>
      </c>
      <c r="B321" s="8" t="s">
        <v>495</v>
      </c>
      <c r="C321" s="8" t="s">
        <v>496</v>
      </c>
      <c r="D321" s="59">
        <v>46050.0</v>
      </c>
      <c r="E321" s="8">
        <v>0.0</v>
      </c>
      <c r="G321" s="8">
        <v>-1.245529362E7</v>
      </c>
      <c r="H321" s="8">
        <v>1.0656476E7</v>
      </c>
      <c r="I321" s="14">
        <f t="shared" si="1"/>
        <v>-1798817.62</v>
      </c>
    </row>
    <row r="322">
      <c r="A322" s="59">
        <v>46052.0</v>
      </c>
      <c r="B322" s="8" t="s">
        <v>495</v>
      </c>
      <c r="C322" s="8" t="s">
        <v>496</v>
      </c>
      <c r="D322" s="59">
        <v>46051.0</v>
      </c>
      <c r="E322" s="8">
        <v>0.0</v>
      </c>
      <c r="G322" s="8">
        <v>-1.245529362E7</v>
      </c>
      <c r="H322" s="8">
        <v>1.0686617E7</v>
      </c>
      <c r="I322" s="14">
        <f t="shared" si="1"/>
        <v>-1768676.62</v>
      </c>
    </row>
    <row r="323">
      <c r="A323" s="59">
        <v>46055.0</v>
      </c>
      <c r="B323" s="8" t="s">
        <v>495</v>
      </c>
      <c r="C323" s="8" t="s">
        <v>496</v>
      </c>
      <c r="D323" s="59">
        <v>46052.0</v>
      </c>
      <c r="E323" s="8">
        <v>0.0</v>
      </c>
      <c r="G323" s="8">
        <v>-1.245529362E7</v>
      </c>
      <c r="H323" s="8">
        <v>1.0679584E7</v>
      </c>
      <c r="I323" s="14">
        <f t="shared" si="1"/>
        <v>-1775709.62</v>
      </c>
    </row>
    <row r="324">
      <c r="A324" s="59">
        <v>46055.0</v>
      </c>
      <c r="B324" s="8" t="s">
        <v>495</v>
      </c>
      <c r="C324" s="8" t="s">
        <v>496</v>
      </c>
      <c r="D324" s="59">
        <v>46054.0</v>
      </c>
      <c r="E324" s="8">
        <v>0.0</v>
      </c>
      <c r="G324" s="8">
        <v>-1.245529362E7</v>
      </c>
      <c r="H324" s="8">
        <v>1.0274612E7</v>
      </c>
      <c r="I324" s="14">
        <f t="shared" si="1"/>
        <v>-2180681.62</v>
      </c>
    </row>
    <row r="325">
      <c r="A325" s="59">
        <v>46056.0</v>
      </c>
      <c r="B325" s="8" t="s">
        <v>495</v>
      </c>
      <c r="C325" s="8" t="s">
        <v>496</v>
      </c>
      <c r="D325" s="59">
        <v>46055.0</v>
      </c>
      <c r="E325" s="8">
        <v>0.0</v>
      </c>
      <c r="G325" s="8">
        <v>-1.245529362E7</v>
      </c>
      <c r="H325" s="8">
        <v>1.042109E7</v>
      </c>
      <c r="I325" s="14">
        <f t="shared" si="1"/>
        <v>-2034203.62</v>
      </c>
    </row>
    <row r="326">
      <c r="A326" s="59">
        <v>46057.0</v>
      </c>
      <c r="B326" s="8" t="s">
        <v>495</v>
      </c>
      <c r="C326" s="8" t="s">
        <v>496</v>
      </c>
      <c r="D326" s="59">
        <v>46056.0</v>
      </c>
      <c r="E326" s="8">
        <v>0.0</v>
      </c>
      <c r="G326" s="8">
        <v>-1.245529362E7</v>
      </c>
      <c r="H326" s="8">
        <v>1.0766655E7</v>
      </c>
      <c r="I326" s="14">
        <f t="shared" si="1"/>
        <v>-1688638.62</v>
      </c>
    </row>
    <row r="327">
      <c r="A327" s="59">
        <v>46058.0</v>
      </c>
      <c r="B327" s="8" t="s">
        <v>495</v>
      </c>
      <c r="C327" s="8" t="s">
        <v>496</v>
      </c>
      <c r="D327" s="59">
        <v>46057.0</v>
      </c>
      <c r="E327" s="8">
        <v>0.0</v>
      </c>
      <c r="G327" s="8">
        <v>-1.245529362E7</v>
      </c>
      <c r="H327" s="8">
        <v>1.0941507E7</v>
      </c>
      <c r="I327" s="14">
        <f t="shared" si="1"/>
        <v>-1513786.62</v>
      </c>
    </row>
    <row r="328">
      <c r="A328" s="59">
        <v>46059.0</v>
      </c>
      <c r="B328" s="8" t="s">
        <v>495</v>
      </c>
      <c r="C328" s="8" t="s">
        <v>496</v>
      </c>
      <c r="D328" s="59">
        <v>46058.0</v>
      </c>
      <c r="E328" s="8">
        <v>0.0</v>
      </c>
      <c r="G328" s="8">
        <v>-1.245529362E7</v>
      </c>
      <c r="H328" s="8">
        <v>1.0773247E7</v>
      </c>
      <c r="I328" s="14">
        <f t="shared" si="1"/>
        <v>-1682046.62</v>
      </c>
    </row>
    <row r="329">
      <c r="A329" s="59">
        <v>46062.0</v>
      </c>
      <c r="B329" s="8" t="s">
        <v>495</v>
      </c>
      <c r="C329" s="8" t="s">
        <v>496</v>
      </c>
      <c r="D329" s="59">
        <v>46059.0</v>
      </c>
      <c r="E329" s="8">
        <v>0.0</v>
      </c>
      <c r="G329" s="8">
        <v>-1.245529362E7</v>
      </c>
      <c r="H329" s="8">
        <v>1.0868485E7</v>
      </c>
      <c r="I329" s="14">
        <f t="shared" si="1"/>
        <v>-1586808.62</v>
      </c>
    </row>
    <row r="330">
      <c r="A330" s="59">
        <v>46063.0</v>
      </c>
      <c r="B330" s="8" t="s">
        <v>495</v>
      </c>
      <c r="C330" s="8" t="s">
        <v>496</v>
      </c>
      <c r="D330" s="59">
        <v>46062.0</v>
      </c>
      <c r="E330" s="8">
        <v>0.0</v>
      </c>
      <c r="G330" s="8">
        <v>-1.245529362E7</v>
      </c>
      <c r="H330" s="8">
        <v>1.109544E7</v>
      </c>
      <c r="I330" s="14">
        <f t="shared" si="1"/>
        <v>-1359853.62</v>
      </c>
    </row>
    <row r="331">
      <c r="A331" s="59">
        <v>46064.0</v>
      </c>
      <c r="B331" s="8" t="s">
        <v>495</v>
      </c>
      <c r="C331" s="8" t="s">
        <v>496</v>
      </c>
      <c r="D331" s="59">
        <v>46063.0</v>
      </c>
      <c r="E331" s="8">
        <v>0.0</v>
      </c>
      <c r="G331" s="8">
        <v>-1.245529362E7</v>
      </c>
      <c r="H331" s="8">
        <v>1.1220652E7</v>
      </c>
      <c r="I331" s="14">
        <f t="shared" si="1"/>
        <v>-1234641.62</v>
      </c>
    </row>
    <row r="332">
      <c r="A332" s="59">
        <v>46065.0</v>
      </c>
      <c r="B332" s="8" t="s">
        <v>495</v>
      </c>
      <c r="C332" s="8" t="s">
        <v>496</v>
      </c>
      <c r="D332" s="59">
        <v>46064.0</v>
      </c>
      <c r="E332" s="8">
        <v>0.0</v>
      </c>
      <c r="G332" s="8">
        <v>-1.245529362E7</v>
      </c>
      <c r="H332" s="8">
        <v>1.1139162E7</v>
      </c>
      <c r="I332" s="14">
        <f t="shared" si="1"/>
        <v>-1316131.62</v>
      </c>
    </row>
    <row r="333">
      <c r="A333" s="59">
        <v>46066.0</v>
      </c>
      <c r="B333" s="8" t="s">
        <v>495</v>
      </c>
      <c r="C333" s="8" t="s">
        <v>496</v>
      </c>
      <c r="D333" s="59">
        <v>46065.0</v>
      </c>
      <c r="E333" s="8">
        <v>0.0</v>
      </c>
      <c r="G333" s="8">
        <v>-1.245529362E7</v>
      </c>
      <c r="H333" s="8">
        <v>1.1106393E7</v>
      </c>
      <c r="I333" s="14">
        <f t="shared" si="1"/>
        <v>-1348900.62</v>
      </c>
    </row>
    <row r="334">
      <c r="A334" s="59">
        <v>46069.0</v>
      </c>
      <c r="B334" s="8" t="s">
        <v>495</v>
      </c>
      <c r="C334" s="8" t="s">
        <v>496</v>
      </c>
      <c r="D334" s="59">
        <v>46066.0</v>
      </c>
      <c r="E334" s="8">
        <v>0.0</v>
      </c>
      <c r="G334" s="8">
        <v>-1.245529362E7</v>
      </c>
      <c r="H334" s="8">
        <v>1.089155E7</v>
      </c>
      <c r="I334" s="14">
        <f t="shared" si="1"/>
        <v>-1563743.62</v>
      </c>
    </row>
    <row r="335">
      <c r="A335" s="59">
        <v>46070.0</v>
      </c>
      <c r="B335" s="8" t="s">
        <v>495</v>
      </c>
      <c r="C335" s="8" t="s">
        <v>496</v>
      </c>
      <c r="D335" s="59">
        <v>46069.0</v>
      </c>
      <c r="E335" s="8">
        <v>0.0</v>
      </c>
      <c r="G335" s="8">
        <v>-1.245529362E7</v>
      </c>
      <c r="H335" s="8">
        <v>1.0824233E7</v>
      </c>
      <c r="I335" s="14">
        <f t="shared" si="1"/>
        <v>-1631060.62</v>
      </c>
    </row>
    <row r="336">
      <c r="A336" s="59">
        <v>46071.0</v>
      </c>
      <c r="B336" s="8" t="s">
        <v>495</v>
      </c>
      <c r="C336" s="8" t="s">
        <v>496</v>
      </c>
      <c r="D336" s="59">
        <v>46070.0</v>
      </c>
      <c r="E336" s="8">
        <v>0.0</v>
      </c>
      <c r="G336" s="8">
        <v>-1.245529362E7</v>
      </c>
      <c r="H336" s="8">
        <v>1.0881056E7</v>
      </c>
      <c r="I336" s="14">
        <f t="shared" si="1"/>
        <v>-1574237.62</v>
      </c>
    </row>
    <row r="337">
      <c r="A337" s="59">
        <v>46072.0</v>
      </c>
      <c r="B337" s="8" t="s">
        <v>495</v>
      </c>
      <c r="C337" s="8" t="s">
        <v>496</v>
      </c>
      <c r="D337" s="59">
        <v>46071.0</v>
      </c>
      <c r="E337" s="8">
        <v>0.0</v>
      </c>
      <c r="G337" s="8">
        <v>-1.245529362E7</v>
      </c>
      <c r="H337" s="8">
        <v>1.1135854E7</v>
      </c>
      <c r="I337" s="14">
        <f t="shared" si="1"/>
        <v>-1319439.62</v>
      </c>
    </row>
    <row r="338">
      <c r="A338" s="59">
        <v>46073.0</v>
      </c>
      <c r="B338" s="8" t="s">
        <v>495</v>
      </c>
      <c r="C338" s="8" t="s">
        <v>496</v>
      </c>
      <c r="D338" s="59">
        <v>46072.0</v>
      </c>
      <c r="E338" s="8">
        <v>0.0</v>
      </c>
      <c r="G338" s="8">
        <v>-1.245529362E7</v>
      </c>
      <c r="H338" s="8">
        <v>1.0891077E7</v>
      </c>
      <c r="I338" s="14">
        <f t="shared" si="1"/>
        <v>-1564216.62</v>
      </c>
    </row>
    <row r="339">
      <c r="A339" s="59">
        <v>46076.0</v>
      </c>
      <c r="B339" s="8" t="s">
        <v>495</v>
      </c>
      <c r="C339" s="8" t="s">
        <v>496</v>
      </c>
      <c r="D339" s="59">
        <v>46073.0</v>
      </c>
      <c r="E339" s="8">
        <v>0.0</v>
      </c>
      <c r="G339" s="8">
        <v>-1.245529362E7</v>
      </c>
      <c r="H339" s="8">
        <v>1.0928965E7</v>
      </c>
      <c r="I339" s="14">
        <f t="shared" si="1"/>
        <v>-1526328.62</v>
      </c>
    </row>
    <row r="340">
      <c r="A340" s="59">
        <v>46077.0</v>
      </c>
      <c r="B340" s="8" t="s">
        <v>495</v>
      </c>
      <c r="C340" s="8" t="s">
        <v>496</v>
      </c>
      <c r="D340" s="59">
        <v>46076.0</v>
      </c>
      <c r="E340" s="8">
        <v>0.0</v>
      </c>
      <c r="G340" s="8">
        <v>-1.245529362E7</v>
      </c>
      <c r="H340" s="8">
        <v>1.0872559E7</v>
      </c>
      <c r="I340" s="14">
        <f t="shared" si="1"/>
        <v>-1582734.62</v>
      </c>
    </row>
    <row r="341">
      <c r="A341" s="59">
        <v>46078.0</v>
      </c>
      <c r="B341" s="8" t="s">
        <v>495</v>
      </c>
      <c r="C341" s="8" t="s">
        <v>496</v>
      </c>
      <c r="D341" s="59">
        <v>46077.0</v>
      </c>
      <c r="E341" s="8">
        <v>0.0</v>
      </c>
      <c r="G341" s="8">
        <v>-1.245529362E7</v>
      </c>
      <c r="H341" s="8">
        <v>1.0842671E7</v>
      </c>
      <c r="I341" s="14">
        <f t="shared" si="1"/>
        <v>-1612622.62</v>
      </c>
    </row>
    <row r="342">
      <c r="A342" s="59">
        <v>46079.0</v>
      </c>
      <c r="B342" s="8" t="s">
        <v>495</v>
      </c>
      <c r="C342" s="8" t="s">
        <v>496</v>
      </c>
      <c r="D342" s="59">
        <v>46078.0</v>
      </c>
      <c r="E342" s="8">
        <v>0.0</v>
      </c>
      <c r="G342" s="8">
        <v>-1.245529362E7</v>
      </c>
      <c r="H342" s="8">
        <v>1.0925546E7</v>
      </c>
      <c r="I342" s="14">
        <f t="shared" si="1"/>
        <v>-1529747.62</v>
      </c>
    </row>
    <row r="343">
      <c r="A343" s="59">
        <v>46080.0</v>
      </c>
      <c r="B343" s="8" t="s">
        <v>495</v>
      </c>
      <c r="C343" s="8" t="s">
        <v>496</v>
      </c>
      <c r="D343" s="59">
        <v>46079.0</v>
      </c>
      <c r="E343" s="8">
        <v>0.0</v>
      </c>
      <c r="G343" s="8">
        <v>-1.245529362E7</v>
      </c>
      <c r="H343" s="8">
        <v>1.0954811E7</v>
      </c>
      <c r="I343" s="14">
        <f t="shared" si="1"/>
        <v>-1500482.62</v>
      </c>
    </row>
    <row r="344">
      <c r="A344" s="59">
        <v>46083.0</v>
      </c>
      <c r="B344" s="8" t="s">
        <v>495</v>
      </c>
      <c r="C344" s="8" t="s">
        <v>496</v>
      </c>
      <c r="D344" s="59">
        <v>46080.0</v>
      </c>
      <c r="E344" s="8">
        <v>0.0</v>
      </c>
      <c r="G344" s="8">
        <v>-1.245529362E7</v>
      </c>
      <c r="H344" s="8">
        <v>1.0833968E7</v>
      </c>
      <c r="I344" s="14">
        <f t="shared" si="1"/>
        <v>-1621325.62</v>
      </c>
    </row>
    <row r="345">
      <c r="A345" s="59">
        <v>46085.0</v>
      </c>
      <c r="B345" s="8" t="s">
        <v>495</v>
      </c>
      <c r="C345" s="8" t="s">
        <v>496</v>
      </c>
      <c r="D345" s="59">
        <v>46083.0</v>
      </c>
      <c r="E345" s="8">
        <v>0.0</v>
      </c>
      <c r="G345" s="8">
        <v>-1.245529362E7</v>
      </c>
      <c r="H345" s="8">
        <v>1.0642309E7</v>
      </c>
      <c r="I345" s="14">
        <f t="shared" si="1"/>
        <v>-1812984.62</v>
      </c>
    </row>
    <row r="346">
      <c r="A346" s="59">
        <v>46086.0</v>
      </c>
      <c r="B346" s="8" t="s">
        <v>495</v>
      </c>
      <c r="C346" s="8" t="s">
        <v>496</v>
      </c>
      <c r="D346" s="59">
        <v>46085.0</v>
      </c>
      <c r="E346" s="8">
        <v>0.0</v>
      </c>
      <c r="G346" s="8">
        <v>-1.245529362E7</v>
      </c>
      <c r="H346" s="8">
        <v>1.0428411E7</v>
      </c>
      <c r="I346" s="14">
        <f t="shared" si="1"/>
        <v>-2026882.62</v>
      </c>
    </row>
    <row r="347">
      <c r="A347" s="59">
        <v>46087.0</v>
      </c>
      <c r="B347" s="8" t="s">
        <v>495</v>
      </c>
      <c r="C347" s="8" t="s">
        <v>496</v>
      </c>
      <c r="D347" s="59">
        <v>46086.0</v>
      </c>
      <c r="E347" s="8">
        <v>0.0</v>
      </c>
      <c r="G347" s="8">
        <v>-1.245529362E7</v>
      </c>
      <c r="H347" s="8">
        <v>1.0679988E7</v>
      </c>
      <c r="I347" s="14">
        <f t="shared" si="1"/>
        <v>-1775305.62</v>
      </c>
    </row>
    <row r="348">
      <c r="A348" s="59">
        <v>46090.0</v>
      </c>
      <c r="B348" s="8" t="s">
        <v>495</v>
      </c>
      <c r="C348" s="8" t="s">
        <v>496</v>
      </c>
      <c r="D348" s="59">
        <v>46087.0</v>
      </c>
      <c r="E348" s="8">
        <v>0.0</v>
      </c>
      <c r="G348" s="8">
        <v>-1.245529362E7</v>
      </c>
      <c r="H348" s="8">
        <v>1.0741268E7</v>
      </c>
      <c r="I348" s="14">
        <f t="shared" si="1"/>
        <v>-1714025.62</v>
      </c>
    </row>
    <row r="349">
      <c r="A349" s="59">
        <v>46091.0</v>
      </c>
      <c r="B349" s="8" t="s">
        <v>521</v>
      </c>
      <c r="C349" s="8" t="s">
        <v>522</v>
      </c>
      <c r="D349" s="59">
        <v>46090.0</v>
      </c>
      <c r="E349" s="8">
        <v>514024.15</v>
      </c>
      <c r="F349" s="8">
        <v>0.0</v>
      </c>
      <c r="G349" s="8">
        <v>-1.296931806E7</v>
      </c>
      <c r="H349" s="8">
        <v>1.0961066E7</v>
      </c>
      <c r="I349" s="14">
        <f t="shared" si="1"/>
        <v>-2008252.06</v>
      </c>
    </row>
    <row r="350">
      <c r="A350" s="59">
        <v>46092.0</v>
      </c>
      <c r="B350" s="8" t="s">
        <v>521</v>
      </c>
      <c r="C350" s="8" t="s">
        <v>522</v>
      </c>
      <c r="D350" s="59">
        <v>46091.0</v>
      </c>
      <c r="F350" s="8">
        <v>0.0</v>
      </c>
      <c r="G350" s="8">
        <v>-1.296931806E7</v>
      </c>
      <c r="H350" s="8">
        <v>1.1175571E7</v>
      </c>
      <c r="I350" s="14">
        <f t="shared" si="1"/>
        <v>-1793747.06</v>
      </c>
    </row>
    <row r="351">
      <c r="A351" s="59">
        <v>46093.0</v>
      </c>
      <c r="B351" s="8" t="s">
        <v>521</v>
      </c>
      <c r="C351" s="8" t="s">
        <v>522</v>
      </c>
      <c r="D351" s="59">
        <v>46092.0</v>
      </c>
      <c r="F351" s="8">
        <v>0.0</v>
      </c>
      <c r="G351" s="8">
        <v>-1.296931806E7</v>
      </c>
      <c r="H351" s="8">
        <v>1.0993804E7</v>
      </c>
      <c r="I351" s="14">
        <f t="shared" si="1"/>
        <v>-1975514.06</v>
      </c>
    </row>
    <row r="352">
      <c r="A352" s="59">
        <v>46094.0</v>
      </c>
      <c r="B352" s="8" t="s">
        <v>521</v>
      </c>
      <c r="C352" s="8" t="s">
        <v>522</v>
      </c>
      <c r="D352" s="59">
        <v>46093.0</v>
      </c>
      <c r="F352" s="8">
        <v>0.0</v>
      </c>
      <c r="G352" s="8">
        <v>-1.296931806E7</v>
      </c>
      <c r="H352" s="8">
        <v>1.0946434E7</v>
      </c>
      <c r="I352" s="14">
        <f t="shared" si="1"/>
        <v>-2022884.06</v>
      </c>
    </row>
    <row r="353">
      <c r="A353" s="59">
        <v>46097.0</v>
      </c>
      <c r="B353" s="8" t="s">
        <v>521</v>
      </c>
      <c r="C353" s="8" t="s">
        <v>522</v>
      </c>
      <c r="D353" s="59">
        <v>46094.0</v>
      </c>
      <c r="F353" s="8">
        <v>0.0</v>
      </c>
      <c r="G353" s="8">
        <v>-1.296931806E7</v>
      </c>
      <c r="H353" s="8">
        <v>1.0518957E7</v>
      </c>
      <c r="I353" s="14">
        <f t="shared" si="1"/>
        <v>-2450361.06</v>
      </c>
    </row>
    <row r="354">
      <c r="A354" s="59">
        <v>46098.0</v>
      </c>
      <c r="B354" s="8" t="s">
        <v>521</v>
      </c>
      <c r="C354" s="8" t="s">
        <v>522</v>
      </c>
      <c r="D354" s="59">
        <v>46097.0</v>
      </c>
      <c r="F354" s="8">
        <v>0.0</v>
      </c>
      <c r="G354" s="8">
        <v>-1.296931806E7</v>
      </c>
      <c r="H354" s="8">
        <v>1.0613101E7</v>
      </c>
      <c r="I354" s="14">
        <f t="shared" si="1"/>
        <v>-2356217.06</v>
      </c>
    </row>
    <row r="355">
      <c r="A355" s="59">
        <v>46099.0</v>
      </c>
      <c r="B355" s="8" t="s">
        <v>521</v>
      </c>
      <c r="C355" s="8" t="s">
        <v>522</v>
      </c>
      <c r="D355" s="59">
        <v>46098.0</v>
      </c>
      <c r="F355" s="8">
        <v>0.0</v>
      </c>
      <c r="G355" s="8">
        <v>-1.296931806E7</v>
      </c>
      <c r="H355" s="8">
        <v>1.0861106E7</v>
      </c>
      <c r="I355" s="14">
        <f t="shared" si="1"/>
        <v>-2108212.06</v>
      </c>
    </row>
    <row r="356">
      <c r="A356" s="59">
        <v>46100.0</v>
      </c>
      <c r="B356" s="8" t="s">
        <v>521</v>
      </c>
      <c r="C356" s="8" t="s">
        <v>522</v>
      </c>
      <c r="D356" s="59">
        <v>46099.0</v>
      </c>
      <c r="F356" s="8">
        <v>0.0</v>
      </c>
      <c r="G356" s="8">
        <v>-1.296931806E7</v>
      </c>
      <c r="H356" s="8">
        <v>1.0942233E7</v>
      </c>
      <c r="I356" s="14">
        <f t="shared" si="1"/>
        <v>-2027085.06</v>
      </c>
    </row>
    <row r="357">
      <c r="A357" s="59">
        <v>46101.0</v>
      </c>
      <c r="B357" s="8" t="s">
        <v>521</v>
      </c>
      <c r="C357" s="8" t="s">
        <v>522</v>
      </c>
      <c r="D357" s="59">
        <v>46100.0</v>
      </c>
      <c r="F357" s="8">
        <v>0.0</v>
      </c>
      <c r="G357" s="8">
        <v>-1.296931806E7</v>
      </c>
      <c r="H357" s="8">
        <v>1.0621433E7</v>
      </c>
      <c r="I357" s="14">
        <f t="shared" si="1"/>
        <v>-2347885.06</v>
      </c>
    </row>
    <row r="358">
      <c r="A358" s="59">
        <v>46104.0</v>
      </c>
      <c r="B358" s="8" t="s">
        <v>521</v>
      </c>
      <c r="C358" s="8" t="s">
        <v>522</v>
      </c>
      <c r="D358" s="59">
        <v>46101.0</v>
      </c>
      <c r="F358" s="8">
        <v>0.0</v>
      </c>
      <c r="G358" s="8">
        <v>-1.296931806E7</v>
      </c>
      <c r="H358" s="8">
        <v>1.0719437E7</v>
      </c>
      <c r="I358" s="14">
        <f t="shared" si="1"/>
        <v>-2249881.06</v>
      </c>
    </row>
    <row r="359">
      <c r="A359" s="59">
        <v>46105.0</v>
      </c>
      <c r="B359" s="8" t="s">
        <v>521</v>
      </c>
      <c r="C359" s="8" t="s">
        <v>522</v>
      </c>
      <c r="D359" s="59">
        <v>46104.0</v>
      </c>
      <c r="F359" s="8">
        <v>0.0</v>
      </c>
      <c r="G359" s="8">
        <v>-1.296931806E7</v>
      </c>
      <c r="H359" s="8">
        <v>1.023506E7</v>
      </c>
      <c r="I359" s="14">
        <f t="shared" si="1"/>
        <v>-2734258.06</v>
      </c>
    </row>
    <row r="360">
      <c r="A360" s="59">
        <v>46106.0</v>
      </c>
      <c r="B360" s="8" t="s">
        <v>521</v>
      </c>
      <c r="C360" s="8" t="s">
        <v>522</v>
      </c>
      <c r="D360" s="59">
        <v>46105.0</v>
      </c>
      <c r="F360" s="8">
        <v>0.0</v>
      </c>
      <c r="G360" s="8">
        <v>-1.296931806E7</v>
      </c>
      <c r="H360" s="8">
        <v>1.0512843E7</v>
      </c>
      <c r="I360" s="14">
        <f t="shared" si="1"/>
        <v>-2456475.06</v>
      </c>
    </row>
    <row r="361">
      <c r="A361" s="59">
        <v>46108.0</v>
      </c>
      <c r="B361" s="8" t="s">
        <v>521</v>
      </c>
      <c r="C361" s="8" t="s">
        <v>522</v>
      </c>
      <c r="D361" s="59">
        <v>46106.0</v>
      </c>
      <c r="F361" s="8">
        <v>0.0</v>
      </c>
      <c r="G361" s="8">
        <v>-1.296931806E7</v>
      </c>
      <c r="H361" s="8">
        <v>1.0799366E7</v>
      </c>
      <c r="I361" s="14">
        <f t="shared" si="1"/>
        <v>-2169952.06</v>
      </c>
    </row>
    <row r="362">
      <c r="A362" s="59">
        <v>46111.0</v>
      </c>
      <c r="B362" s="8" t="s">
        <v>521</v>
      </c>
      <c r="C362" s="8" t="s">
        <v>522</v>
      </c>
      <c r="D362" s="59">
        <v>46108.0</v>
      </c>
      <c r="F362" s="8">
        <v>0.0</v>
      </c>
      <c r="G362" s="8">
        <v>-1.296931806E7</v>
      </c>
      <c r="H362" s="8">
        <v>1.060362E7</v>
      </c>
      <c r="I362" s="14">
        <f t="shared" si="1"/>
        <v>-2365698.06</v>
      </c>
    </row>
    <row r="363">
      <c r="A363" s="59">
        <v>46113.0</v>
      </c>
      <c r="B363" s="8" t="s">
        <v>521</v>
      </c>
      <c r="C363" s="8" t="s">
        <v>522</v>
      </c>
      <c r="D363" s="59">
        <v>46111.0</v>
      </c>
      <c r="F363" s="8">
        <v>0.0</v>
      </c>
      <c r="G363" s="8">
        <v>-1.296931806E7</v>
      </c>
      <c r="H363" s="8">
        <v>1.0297025E7</v>
      </c>
      <c r="I363" s="14">
        <f t="shared" si="1"/>
        <v>-2672293.06</v>
      </c>
      <c r="L363" s="14">
        <f>H388/H363</f>
        <v>1.226127061</v>
      </c>
    </row>
    <row r="364">
      <c r="A364" s="59">
        <v>46114.0</v>
      </c>
      <c r="B364" s="8" t="s">
        <v>521</v>
      </c>
      <c r="C364" s="8" t="s">
        <v>522</v>
      </c>
      <c r="D364" s="59">
        <v>46113.0</v>
      </c>
      <c r="F364" s="8">
        <v>0.0</v>
      </c>
      <c r="G364" s="8">
        <v>-1.296931806E7</v>
      </c>
      <c r="H364" s="8">
        <v>1.0297025E7</v>
      </c>
      <c r="I364" s="14">
        <f t="shared" si="1"/>
        <v>-2672293.06</v>
      </c>
    </row>
    <row r="365">
      <c r="A365" s="59">
        <v>46118.0</v>
      </c>
      <c r="B365" s="8" t="s">
        <v>521</v>
      </c>
      <c r="C365" s="8" t="s">
        <v>522</v>
      </c>
      <c r="D365" s="59">
        <v>46114.0</v>
      </c>
      <c r="F365" s="8">
        <v>0.0</v>
      </c>
      <c r="G365" s="8">
        <v>-1.296931806E7</v>
      </c>
      <c r="H365" s="8">
        <v>1.0607132E7</v>
      </c>
      <c r="I365" s="14">
        <f t="shared" si="1"/>
        <v>-2362186.06</v>
      </c>
    </row>
    <row r="366">
      <c r="A366" s="59">
        <v>46119.0</v>
      </c>
      <c r="B366" s="8" t="s">
        <v>521</v>
      </c>
      <c r="C366" s="8" t="s">
        <v>522</v>
      </c>
      <c r="D366" s="59">
        <v>46118.0</v>
      </c>
      <c r="F366" s="8">
        <v>0.0</v>
      </c>
      <c r="G366" s="8">
        <v>-1.296931806E7</v>
      </c>
      <c r="H366" s="8">
        <v>1.07757E7</v>
      </c>
      <c r="I366" s="14">
        <f t="shared" si="1"/>
        <v>-2193618.06</v>
      </c>
    </row>
    <row r="367">
      <c r="A367" s="59">
        <v>46120.0</v>
      </c>
      <c r="B367" s="8" t="s">
        <v>521</v>
      </c>
      <c r="C367" s="8" t="s">
        <v>522</v>
      </c>
      <c r="D367" s="59">
        <v>46119.0</v>
      </c>
      <c r="F367" s="8">
        <v>0.0</v>
      </c>
      <c r="G367" s="8">
        <v>-1.296931806E7</v>
      </c>
      <c r="H367" s="8">
        <v>1.0727617E7</v>
      </c>
      <c r="I367" s="14">
        <f t="shared" si="1"/>
        <v>-2241701.06</v>
      </c>
    </row>
    <row r="368">
      <c r="A368" s="59">
        <v>46121.0</v>
      </c>
      <c r="B368" s="8" t="s">
        <v>521</v>
      </c>
      <c r="C368" s="8" t="s">
        <v>522</v>
      </c>
      <c r="D368" s="59">
        <v>46120.0</v>
      </c>
      <c r="F368" s="8">
        <v>0.0</v>
      </c>
      <c r="G368" s="8">
        <v>-1.296931806E7</v>
      </c>
      <c r="H368" s="8">
        <v>1.1211599E7</v>
      </c>
      <c r="I368" s="14">
        <f t="shared" si="1"/>
        <v>-1757719.06</v>
      </c>
    </row>
    <row r="369">
      <c r="A369" s="59">
        <v>46122.0</v>
      </c>
      <c r="B369" s="8" t="s">
        <v>521</v>
      </c>
      <c r="C369" s="8" t="s">
        <v>522</v>
      </c>
      <c r="D369" s="59">
        <v>46121.0</v>
      </c>
      <c r="F369" s="8">
        <v>0.0</v>
      </c>
      <c r="G369" s="8">
        <v>-1.296931806E7</v>
      </c>
      <c r="H369" s="8">
        <v>1.1250881E7</v>
      </c>
      <c r="I369" s="14">
        <f t="shared" si="1"/>
        <v>-1718437.06</v>
      </c>
    </row>
    <row r="370">
      <c r="A370" s="59">
        <v>46125.0</v>
      </c>
      <c r="B370" s="8" t="s">
        <v>521</v>
      </c>
      <c r="C370" s="8" t="s">
        <v>522</v>
      </c>
      <c r="D370" s="59">
        <v>46122.0</v>
      </c>
      <c r="F370" s="8">
        <v>0.0</v>
      </c>
      <c r="G370" s="8">
        <v>-1.296931806E7</v>
      </c>
      <c r="H370" s="8">
        <v>1.1436859E7</v>
      </c>
      <c r="I370" s="14">
        <f t="shared" si="1"/>
        <v>-1532459.06</v>
      </c>
    </row>
    <row r="371">
      <c r="A371" s="59">
        <v>46127.0</v>
      </c>
      <c r="B371" s="8" t="s">
        <v>521</v>
      </c>
      <c r="C371" s="8" t="s">
        <v>522</v>
      </c>
      <c r="D371" s="59">
        <v>46125.0</v>
      </c>
      <c r="F371" s="8">
        <v>0.0</v>
      </c>
      <c r="G371" s="8">
        <v>-1.296931806E7</v>
      </c>
      <c r="H371" s="8">
        <v>1.1382153E7</v>
      </c>
      <c r="I371" s="14">
        <f t="shared" si="1"/>
        <v>-1587165.06</v>
      </c>
    </row>
    <row r="372">
      <c r="A372" s="59">
        <v>46128.0</v>
      </c>
      <c r="B372" s="8" t="s">
        <v>521</v>
      </c>
      <c r="C372" s="8" t="s">
        <v>522</v>
      </c>
      <c r="D372" s="59">
        <v>46127.0</v>
      </c>
      <c r="F372" s="8">
        <v>0.0</v>
      </c>
      <c r="G372" s="8">
        <v>-1.296931806E7</v>
      </c>
      <c r="H372" s="8">
        <v>1.1651417E7</v>
      </c>
      <c r="I372" s="14">
        <f t="shared" si="1"/>
        <v>-1317901.06</v>
      </c>
    </row>
    <row r="373">
      <c r="A373" s="59">
        <v>46129.0</v>
      </c>
      <c r="B373" s="8" t="s">
        <v>521</v>
      </c>
      <c r="C373" s="8" t="s">
        <v>522</v>
      </c>
      <c r="D373" s="59">
        <v>46128.0</v>
      </c>
      <c r="F373" s="8">
        <v>0.0</v>
      </c>
      <c r="G373" s="8">
        <v>-1.296931806E7</v>
      </c>
      <c r="H373" s="8">
        <v>1.1848232E7</v>
      </c>
      <c r="I373" s="14">
        <f t="shared" si="1"/>
        <v>-1121086.06</v>
      </c>
    </row>
    <row r="374">
      <c r="A374" s="59">
        <v>46132.0</v>
      </c>
      <c r="B374" s="8" t="s">
        <v>521</v>
      </c>
      <c r="C374" s="8" t="s">
        <v>522</v>
      </c>
      <c r="D374" s="59">
        <v>46129.0</v>
      </c>
      <c r="F374" s="8">
        <v>0.0</v>
      </c>
      <c r="G374" s="8">
        <v>-1.296931806E7</v>
      </c>
      <c r="H374" s="8">
        <v>1.1989121E7</v>
      </c>
      <c r="I374" s="14">
        <f t="shared" si="1"/>
        <v>-980197.06</v>
      </c>
    </row>
    <row r="375">
      <c r="A375" s="59">
        <v>46133.0</v>
      </c>
      <c r="B375" s="8" t="s">
        <v>521</v>
      </c>
      <c r="C375" s="8" t="s">
        <v>522</v>
      </c>
      <c r="D375" s="59">
        <v>46132.0</v>
      </c>
      <c r="F375" s="8">
        <v>0.0</v>
      </c>
      <c r="G375" s="8">
        <v>-1.296931806E7</v>
      </c>
      <c r="H375" s="8">
        <v>1.194928E7</v>
      </c>
      <c r="I375" s="14">
        <f t="shared" si="1"/>
        <v>-1020038.06</v>
      </c>
    </row>
    <row r="376">
      <c r="A376" s="59">
        <v>46134.0</v>
      </c>
      <c r="B376" s="8" t="s">
        <v>521</v>
      </c>
      <c r="C376" s="8" t="s">
        <v>522</v>
      </c>
      <c r="D376" s="59">
        <v>46133.0</v>
      </c>
      <c r="F376" s="8">
        <v>0.0</v>
      </c>
      <c r="G376" s="8">
        <v>-1.296931806E7</v>
      </c>
      <c r="H376" s="8">
        <v>1.2037203E7</v>
      </c>
      <c r="I376" s="14">
        <f t="shared" si="1"/>
        <v>-932115.06</v>
      </c>
    </row>
    <row r="377">
      <c r="A377" s="59">
        <v>46135.0</v>
      </c>
      <c r="B377" s="8" t="s">
        <v>521</v>
      </c>
      <c r="C377" s="8" t="s">
        <v>522</v>
      </c>
      <c r="D377" s="59">
        <v>46134.0</v>
      </c>
      <c r="F377" s="8">
        <v>0.0</v>
      </c>
      <c r="G377" s="8">
        <v>-1.296931806E7</v>
      </c>
      <c r="H377" s="8">
        <v>1.217415E7</v>
      </c>
      <c r="I377" s="14">
        <f t="shared" si="1"/>
        <v>-795168.06</v>
      </c>
    </row>
    <row r="378">
      <c r="A378" s="59">
        <v>46136.0</v>
      </c>
      <c r="B378" s="8" t="s">
        <v>521</v>
      </c>
      <c r="C378" s="8" t="s">
        <v>522</v>
      </c>
      <c r="D378" s="59">
        <v>46135.0</v>
      </c>
      <c r="F378" s="8">
        <v>0.0</v>
      </c>
      <c r="G378" s="8">
        <v>-1.296931806E7</v>
      </c>
      <c r="H378" s="8">
        <v>1.2155616E7</v>
      </c>
      <c r="I378" s="14">
        <f t="shared" si="1"/>
        <v>-813702.06</v>
      </c>
    </row>
    <row r="379">
      <c r="A379" s="59">
        <v>46139.0</v>
      </c>
      <c r="B379" s="8" t="s">
        <v>521</v>
      </c>
      <c r="C379" s="8" t="s">
        <v>522</v>
      </c>
      <c r="D379" s="59">
        <v>46136.0</v>
      </c>
      <c r="F379" s="8">
        <v>0.0</v>
      </c>
      <c r="G379" s="8">
        <v>-1.296931806E7</v>
      </c>
      <c r="H379" s="8">
        <v>1.2060146E7</v>
      </c>
      <c r="I379" s="14">
        <f t="shared" si="1"/>
        <v>-909172.06</v>
      </c>
    </row>
    <row r="380">
      <c r="A380" s="59">
        <v>46140.0</v>
      </c>
      <c r="B380" s="8" t="s">
        <v>521</v>
      </c>
      <c r="C380" s="8" t="s">
        <v>522</v>
      </c>
      <c r="D380" s="59">
        <v>46139.0</v>
      </c>
      <c r="F380" s="8">
        <v>0.0</v>
      </c>
      <c r="G380" s="8">
        <v>-1.296931806E7</v>
      </c>
      <c r="H380" s="8">
        <v>1.2158371E7</v>
      </c>
      <c r="I380" s="14">
        <f t="shared" si="1"/>
        <v>-810947.06</v>
      </c>
    </row>
    <row r="381">
      <c r="A381" s="59">
        <v>46141.0</v>
      </c>
      <c r="B381" s="8" t="s">
        <v>521</v>
      </c>
      <c r="C381" s="8" t="s">
        <v>522</v>
      </c>
      <c r="D381" s="59">
        <v>46140.0</v>
      </c>
      <c r="F381" s="8">
        <v>0.0</v>
      </c>
      <c r="G381" s="8">
        <v>-1.296931806E7</v>
      </c>
      <c r="H381" s="8">
        <v>1.2244806E7</v>
      </c>
      <c r="I381" s="14">
        <f t="shared" si="1"/>
        <v>-724512.06</v>
      </c>
    </row>
    <row r="382">
      <c r="A382" s="59">
        <v>46142.0</v>
      </c>
      <c r="B382" s="8" t="s">
        <v>521</v>
      </c>
      <c r="C382" s="8" t="s">
        <v>522</v>
      </c>
      <c r="D382" s="59">
        <v>46141.0</v>
      </c>
      <c r="F382" s="8">
        <v>0.0</v>
      </c>
      <c r="G382" s="8">
        <v>-1.296931806E7</v>
      </c>
      <c r="H382" s="8">
        <v>1.2372554E7</v>
      </c>
      <c r="I382" s="14">
        <f t="shared" si="1"/>
        <v>-596764.06</v>
      </c>
    </row>
    <row r="383">
      <c r="A383" s="59">
        <v>46146.0</v>
      </c>
      <c r="B383" s="8" t="s">
        <v>521</v>
      </c>
      <c r="C383" s="8" t="s">
        <v>522</v>
      </c>
      <c r="D383" s="59">
        <v>46142.0</v>
      </c>
      <c r="F383" s="8">
        <v>0.0</v>
      </c>
      <c r="G383" s="8">
        <v>-1.296931806E7</v>
      </c>
      <c r="H383" s="8">
        <v>1.2186393E7</v>
      </c>
      <c r="I383" s="14">
        <f t="shared" si="1"/>
        <v>-782925.06</v>
      </c>
    </row>
    <row r="384">
      <c r="A384" s="59">
        <v>46147.0</v>
      </c>
      <c r="B384" s="8" t="s">
        <v>521</v>
      </c>
      <c r="C384" s="8" t="s">
        <v>522</v>
      </c>
      <c r="D384" s="59">
        <v>46146.0</v>
      </c>
      <c r="F384" s="8">
        <v>0.0</v>
      </c>
      <c r="G384" s="8">
        <v>-1.296931806E7</v>
      </c>
      <c r="H384" s="8">
        <v>1.2175089E7</v>
      </c>
      <c r="I384" s="14">
        <f t="shared" si="1"/>
        <v>-794229.06</v>
      </c>
    </row>
    <row r="385">
      <c r="A385" s="59">
        <v>46148.0</v>
      </c>
      <c r="B385" s="8" t="s">
        <v>521</v>
      </c>
      <c r="C385" s="8" t="s">
        <v>522</v>
      </c>
      <c r="D385" s="59">
        <v>46147.0</v>
      </c>
      <c r="F385" s="8">
        <v>0.0</v>
      </c>
      <c r="G385" s="8">
        <v>-1.296931806E7</v>
      </c>
      <c r="H385" s="8">
        <v>1.2298442E7</v>
      </c>
      <c r="I385" s="14">
        <f t="shared" si="1"/>
        <v>-670876.06</v>
      </c>
    </row>
    <row r="386">
      <c r="A386" s="59">
        <v>46149.0</v>
      </c>
      <c r="B386" s="8" t="s">
        <v>521</v>
      </c>
      <c r="C386" s="8" t="s">
        <v>522</v>
      </c>
      <c r="D386" s="59">
        <v>46148.0</v>
      </c>
      <c r="F386" s="8">
        <v>0.0</v>
      </c>
      <c r="G386" s="8">
        <v>-1.296931806E7</v>
      </c>
      <c r="H386" s="8">
        <v>1.2472513E7</v>
      </c>
      <c r="I386" s="14">
        <f t="shared" si="1"/>
        <v>-496805.06</v>
      </c>
    </row>
    <row r="387">
      <c r="A387" s="59">
        <v>46150.0</v>
      </c>
      <c r="B387" s="8" t="s">
        <v>521</v>
      </c>
      <c r="C387" s="8" t="s">
        <v>522</v>
      </c>
      <c r="D387" s="59">
        <v>46149.0</v>
      </c>
      <c r="F387" s="8">
        <v>0.0</v>
      </c>
      <c r="G387" s="8">
        <v>-1.296931806E7</v>
      </c>
      <c r="H387" s="8">
        <v>1.2690682E7</v>
      </c>
      <c r="I387" s="14">
        <f t="shared" si="1"/>
        <v>-278636.06</v>
      </c>
    </row>
    <row r="388">
      <c r="A388" s="59">
        <v>46153.0</v>
      </c>
      <c r="B388" s="8" t="s">
        <v>521</v>
      </c>
      <c r="C388" s="8" t="s">
        <v>522</v>
      </c>
      <c r="D388" s="59">
        <v>46150.0</v>
      </c>
      <c r="F388" s="8">
        <v>0.0</v>
      </c>
      <c r="G388" s="8">
        <v>-1.296931806E7</v>
      </c>
      <c r="H388" s="8">
        <v>1.2625461E7</v>
      </c>
      <c r="I388" s="14">
        <f t="shared" si="1"/>
        <v>-343857.06</v>
      </c>
    </row>
    <row r="389">
      <c r="A389" s="59">
        <v>46154.0</v>
      </c>
      <c r="B389" s="8" t="s">
        <v>521</v>
      </c>
      <c r="C389" s="8" t="s">
        <v>522</v>
      </c>
      <c r="D389" s="59">
        <v>46153.0</v>
      </c>
      <c r="F389" s="8">
        <v>0.0</v>
      </c>
      <c r="G389" s="8">
        <v>-1.296931806E7</v>
      </c>
      <c r="H389" s="8">
        <v>1.2412798E7</v>
      </c>
      <c r="I389" s="14">
        <f t="shared" si="1"/>
        <v>-556520.06</v>
      </c>
    </row>
    <row r="390">
      <c r="A390" s="59">
        <v>46155.0</v>
      </c>
      <c r="B390" s="8" t="s">
        <v>521</v>
      </c>
      <c r="C390" s="8" t="s">
        <v>522</v>
      </c>
      <c r="D390" s="59">
        <v>46154.0</v>
      </c>
      <c r="F390" s="8">
        <v>0.0</v>
      </c>
      <c r="G390" s="8">
        <v>-1.296931806E7</v>
      </c>
      <c r="H390" s="8">
        <v>1.2038107E7</v>
      </c>
      <c r="I390" s="14">
        <f t="shared" si="1"/>
        <v>-931211.06</v>
      </c>
    </row>
    <row r="391">
      <c r="A391" s="59">
        <v>46156.0</v>
      </c>
      <c r="B391" s="8" t="s">
        <v>521</v>
      </c>
      <c r="C391" s="8" t="s">
        <v>522</v>
      </c>
      <c r="D391" s="59">
        <v>46155.0</v>
      </c>
      <c r="F391" s="8">
        <v>0.0</v>
      </c>
      <c r="G391" s="8">
        <v>-1.296931806E7</v>
      </c>
      <c r="H391" s="8">
        <v>1.2163547E7</v>
      </c>
      <c r="I391" s="14">
        <f t="shared" si="1"/>
        <v>-805771.06</v>
      </c>
    </row>
    <row r="392">
      <c r="A392" s="59">
        <v>46157.0</v>
      </c>
      <c r="B392" s="8" t="s">
        <v>521</v>
      </c>
      <c r="C392" s="8" t="s">
        <v>522</v>
      </c>
      <c r="D392" s="59">
        <v>46156.0</v>
      </c>
      <c r="F392" s="8">
        <v>0.0</v>
      </c>
      <c r="G392" s="8">
        <v>-1.296931806E7</v>
      </c>
      <c r="H392" s="8">
        <v>1.2252845E7</v>
      </c>
      <c r="I392" s="14">
        <f t="shared" si="1"/>
        <v>-716473.06</v>
      </c>
    </row>
    <row r="393">
      <c r="A393" s="59">
        <v>46160.0</v>
      </c>
      <c r="B393" s="8" t="s">
        <v>521</v>
      </c>
      <c r="C393" s="8" t="s">
        <v>522</v>
      </c>
      <c r="D393" s="59">
        <v>46157.0</v>
      </c>
      <c r="F393" s="8">
        <v>0.0</v>
      </c>
      <c r="G393" s="8">
        <v>-1.296931806E7</v>
      </c>
      <c r="H393" s="8">
        <v>1.2234408E7</v>
      </c>
      <c r="I393" s="14">
        <f t="shared" si="1"/>
        <v>-734910.06</v>
      </c>
    </row>
    <row r="394">
      <c r="A394" s="59">
        <v>46161.0</v>
      </c>
      <c r="B394" s="8" t="s">
        <v>521</v>
      </c>
      <c r="C394" s="8" t="s">
        <v>522</v>
      </c>
      <c r="D394" s="59">
        <v>46160.0</v>
      </c>
      <c r="F394" s="8">
        <v>0.0</v>
      </c>
      <c r="G394" s="8">
        <v>-1.296931806E7</v>
      </c>
      <c r="H394" s="8">
        <v>1.1962042E7</v>
      </c>
      <c r="I394" s="14">
        <f t="shared" si="1"/>
        <v>-1007276.06</v>
      </c>
    </row>
    <row r="395">
      <c r="A395" s="59">
        <v>46162.0</v>
      </c>
      <c r="B395" s="8" t="s">
        <v>521</v>
      </c>
      <c r="C395" s="8" t="s">
        <v>522</v>
      </c>
      <c r="D395" s="59">
        <v>46161.0</v>
      </c>
      <c r="F395" s="8">
        <v>0.0</v>
      </c>
      <c r="G395" s="8">
        <v>-1.296931806E7</v>
      </c>
      <c r="H395" s="8">
        <v>1.1948807E7</v>
      </c>
      <c r="I395" s="14">
        <f t="shared" si="1"/>
        <v>-1020511.06</v>
      </c>
    </row>
    <row r="396">
      <c r="A396" s="59">
        <v>46163.0</v>
      </c>
      <c r="B396" s="8" t="s">
        <v>521</v>
      </c>
      <c r="C396" s="8" t="s">
        <v>522</v>
      </c>
      <c r="D396" s="59">
        <v>46162.0</v>
      </c>
      <c r="F396" s="8">
        <v>0.0</v>
      </c>
      <c r="G396" s="8">
        <v>-1.296931806E7</v>
      </c>
      <c r="H396" s="8">
        <v>1.208724E7</v>
      </c>
      <c r="I396" s="14">
        <f t="shared" si="1"/>
        <v>-882078.06</v>
      </c>
    </row>
    <row r="397">
      <c r="A397" s="59">
        <v>46164.0</v>
      </c>
      <c r="B397" s="8" t="s">
        <v>521</v>
      </c>
      <c r="C397" s="8" t="s">
        <v>522</v>
      </c>
      <c r="D397" s="59">
        <v>46163.0</v>
      </c>
      <c r="F397" s="8">
        <v>0.0</v>
      </c>
      <c r="G397" s="8">
        <v>-1.296931806E7</v>
      </c>
      <c r="H397" s="8">
        <v>1.2174903E7</v>
      </c>
      <c r="I397" s="14">
        <f t="shared" si="1"/>
        <v>-794415.06</v>
      </c>
    </row>
    <row r="398">
      <c r="A398" s="59">
        <v>46167.0</v>
      </c>
      <c r="B398" s="8" t="s">
        <v>521</v>
      </c>
      <c r="C398" s="8" t="s">
        <v>522</v>
      </c>
      <c r="D398" s="59">
        <v>46164.0</v>
      </c>
      <c r="F398" s="8">
        <v>0.0</v>
      </c>
      <c r="G398" s="8">
        <v>-1.296931806E7</v>
      </c>
      <c r="H398" s="8">
        <v>1.2180934E7</v>
      </c>
      <c r="I398" s="14">
        <f t="shared" si="1"/>
        <v>-788384.06</v>
      </c>
    </row>
    <row r="399">
      <c r="A399" s="59">
        <v>46168.0</v>
      </c>
      <c r="B399" s="8" t="s">
        <v>521</v>
      </c>
      <c r="C399" s="8" t="s">
        <v>522</v>
      </c>
      <c r="D399" s="59">
        <v>46167.0</v>
      </c>
      <c r="F399" s="8">
        <v>0.0</v>
      </c>
      <c r="G399" s="8">
        <v>-1.296931806E7</v>
      </c>
      <c r="H399" s="8">
        <v>1.2318146E7</v>
      </c>
      <c r="I399" s="14">
        <f t="shared" si="1"/>
        <v>-651172.06</v>
      </c>
    </row>
    <row r="400">
      <c r="A400" s="59">
        <v>46169.0</v>
      </c>
      <c r="B400" s="8" t="s">
        <v>521</v>
      </c>
      <c r="C400" s="8" t="s">
        <v>522</v>
      </c>
      <c r="D400" s="59">
        <v>46168.0</v>
      </c>
      <c r="F400" s="8">
        <v>0.0</v>
      </c>
      <c r="G400" s="8">
        <v>-1.296931806E7</v>
      </c>
      <c r="H400" s="8">
        <v>1.2397099E7</v>
      </c>
      <c r="I400" s="14">
        <f t="shared" si="1"/>
        <v>-572219.06</v>
      </c>
    </row>
    <row r="401">
      <c r="A401" s="59">
        <v>46171.0</v>
      </c>
      <c r="B401" s="8" t="s">
        <v>521</v>
      </c>
      <c r="C401" s="8" t="s">
        <v>522</v>
      </c>
      <c r="D401" s="59">
        <v>46169.0</v>
      </c>
      <c r="F401" s="8">
        <v>0.0</v>
      </c>
      <c r="G401" s="8">
        <v>-1.296931806E7</v>
      </c>
      <c r="H401" s="8">
        <v>1.2551803E7</v>
      </c>
      <c r="I401" s="14">
        <f t="shared" si="1"/>
        <v>-417515.06</v>
      </c>
    </row>
    <row r="402">
      <c r="A402" s="59">
        <v>46174.0</v>
      </c>
      <c r="B402" s="8" t="s">
        <v>521</v>
      </c>
      <c r="C402" s="8" t="s">
        <v>522</v>
      </c>
      <c r="D402" s="59">
        <v>46171.0</v>
      </c>
      <c r="F402" s="8">
        <v>0.0</v>
      </c>
      <c r="G402" s="8">
        <v>-1.296931806E7</v>
      </c>
      <c r="H402" s="8">
        <v>1.2511977E7</v>
      </c>
      <c r="I402" s="14">
        <f t="shared" si="1"/>
        <v>-457341.06</v>
      </c>
    </row>
    <row r="403">
      <c r="A403" s="59">
        <v>46175.0</v>
      </c>
      <c r="B403" s="8" t="s">
        <v>521</v>
      </c>
      <c r="C403" s="8" t="s">
        <v>522</v>
      </c>
      <c r="D403" s="59">
        <v>46174.0</v>
      </c>
      <c r="F403" s="8">
        <v>0.0</v>
      </c>
      <c r="G403" s="8">
        <v>-1.296931806E7</v>
      </c>
      <c r="H403" s="8">
        <v>1.2303229E7</v>
      </c>
      <c r="I403" s="14">
        <f t="shared" si="1"/>
        <v>-666089.06</v>
      </c>
    </row>
    <row r="404">
      <c r="A404" s="59">
        <v>46176.0</v>
      </c>
      <c r="B404" s="8" t="s">
        <v>521</v>
      </c>
      <c r="C404" s="8" t="s">
        <v>522</v>
      </c>
      <c r="D404" s="59">
        <v>46175.0</v>
      </c>
      <c r="F404" s="8">
        <v>0.0</v>
      </c>
      <c r="G404" s="8">
        <v>-1.296931806E7</v>
      </c>
      <c r="H404" s="8">
        <v>1.2342184E7</v>
      </c>
      <c r="I404" s="14">
        <f t="shared" si="1"/>
        <v>-627134.06</v>
      </c>
    </row>
    <row r="405">
      <c r="A405" s="59">
        <v>46177.0</v>
      </c>
      <c r="B405" s="8" t="s">
        <v>526</v>
      </c>
      <c r="C405" s="8" t="s">
        <v>527</v>
      </c>
      <c r="D405" s="59">
        <v>46176.0</v>
      </c>
      <c r="E405" s="8">
        <v>0.0</v>
      </c>
      <c r="F405" s="8">
        <v>204651.16</v>
      </c>
      <c r="G405" s="8">
        <v>-1.27646669E7</v>
      </c>
      <c r="H405" s="8">
        <v>1.2223007E7</v>
      </c>
      <c r="I405" s="14">
        <f t="shared" si="1"/>
        <v>-541659.9</v>
      </c>
    </row>
    <row r="406">
      <c r="A406" s="59">
        <v>46178.0</v>
      </c>
      <c r="B406" s="8" t="s">
        <v>526</v>
      </c>
      <c r="C406" s="8" t="s">
        <v>527</v>
      </c>
      <c r="D406" s="59">
        <v>46177.0</v>
      </c>
      <c r="E406" s="8">
        <v>0.0</v>
      </c>
      <c r="G406" s="8">
        <v>-1.27646669E7</v>
      </c>
      <c r="H406" s="8">
        <v>1.2313727E7</v>
      </c>
      <c r="I406" s="14">
        <f t="shared" si="1"/>
        <v>-450939.9</v>
      </c>
    </row>
    <row r="407">
      <c r="A407" s="59">
        <v>46181.0</v>
      </c>
      <c r="B407" s="8" t="s">
        <v>526</v>
      </c>
      <c r="C407" s="8" t="s">
        <v>527</v>
      </c>
      <c r="D407" s="59">
        <v>46178.0</v>
      </c>
      <c r="E407" s="8">
        <v>0.0</v>
      </c>
      <c r="G407" s="8">
        <v>-1.27646669E7</v>
      </c>
      <c r="H407" s="8">
        <v>1.2257299E7</v>
      </c>
      <c r="I407" s="14">
        <f t="shared" si="1"/>
        <v>-507367.9</v>
      </c>
    </row>
    <row r="408">
      <c r="A408" s="59">
        <v>46182.0</v>
      </c>
      <c r="B408" s="8" t="s">
        <v>526</v>
      </c>
      <c r="C408" s="8" t="s">
        <v>527</v>
      </c>
      <c r="D408" s="59">
        <v>46181.0</v>
      </c>
      <c r="E408" s="8">
        <v>0.0</v>
      </c>
      <c r="G408" s="8">
        <v>-1.27646669E7</v>
      </c>
      <c r="H408" s="8">
        <v>1.1868776E7</v>
      </c>
      <c r="I408" s="14">
        <f t="shared" si="1"/>
        <v>-895890.9</v>
      </c>
    </row>
    <row r="409">
      <c r="A409" s="59">
        <v>46183.0</v>
      </c>
      <c r="B409" s="8" t="s">
        <v>526</v>
      </c>
      <c r="C409" s="8" t="s">
        <v>527</v>
      </c>
      <c r="D409" s="59">
        <v>46182.0</v>
      </c>
      <c r="E409" s="8">
        <v>0.0</v>
      </c>
      <c r="G409" s="8">
        <v>-1.27646669E7</v>
      </c>
      <c r="H409" s="8">
        <v>1.206284E7</v>
      </c>
      <c r="I409" s="14">
        <f t="shared" si="1"/>
        <v>-701826.9</v>
      </c>
    </row>
    <row r="410">
      <c r="A410" s="59">
        <v>46184.0</v>
      </c>
      <c r="B410" s="8" t="s">
        <v>526</v>
      </c>
      <c r="C410" s="8" t="s">
        <v>527</v>
      </c>
      <c r="D410" s="59">
        <v>46183.0</v>
      </c>
      <c r="E410" s="8">
        <v>0.0</v>
      </c>
      <c r="G410" s="8">
        <v>-1.27646669E7</v>
      </c>
      <c r="H410" s="8">
        <v>1.1817939E7</v>
      </c>
      <c r="I410" s="14">
        <f t="shared" si="1"/>
        <v>-946727.9</v>
      </c>
    </row>
    <row r="411">
      <c r="A411" s="59">
        <v>46185.0</v>
      </c>
      <c r="B411" s="8" t="s">
        <v>526</v>
      </c>
      <c r="C411" s="8" t="s">
        <v>527</v>
      </c>
      <c r="D411" s="59">
        <v>46184.0</v>
      </c>
      <c r="E411" s="8">
        <v>0.0</v>
      </c>
      <c r="G411" s="8">
        <v>-1.27646669E7</v>
      </c>
      <c r="H411" s="8">
        <v>1.1672729E7</v>
      </c>
      <c r="I411" s="14">
        <f t="shared" si="1"/>
        <v>-1091937.9</v>
      </c>
    </row>
    <row r="412">
      <c r="A412" s="59">
        <v>46188.0</v>
      </c>
      <c r="B412" s="8" t="s">
        <v>526</v>
      </c>
      <c r="C412" s="8" t="s">
        <v>527</v>
      </c>
      <c r="D412" s="59">
        <v>46185.0</v>
      </c>
      <c r="E412" s="8">
        <v>0.0</v>
      </c>
      <c r="G412" s="8">
        <v>-1.27646669E7</v>
      </c>
      <c r="H412" s="8">
        <v>1.2036311E7</v>
      </c>
      <c r="I412" s="14">
        <f t="shared" si="1"/>
        <v>-728355.9</v>
      </c>
    </row>
    <row r="413">
      <c r="A413" s="59">
        <v>46189.0</v>
      </c>
      <c r="B413" s="8" t="s">
        <v>526</v>
      </c>
      <c r="C413" s="8" t="s">
        <v>527</v>
      </c>
      <c r="D413" s="59">
        <v>46188.0</v>
      </c>
      <c r="E413" s="8">
        <v>0.0</v>
      </c>
      <c r="G413" s="8">
        <v>-1.27646669E7</v>
      </c>
      <c r="H413" s="8">
        <v>1.2281109E7</v>
      </c>
      <c r="I413" s="14">
        <f t="shared" si="1"/>
        <v>-483557.9</v>
      </c>
    </row>
    <row r="414">
      <c r="A414" s="59">
        <v>46190.0</v>
      </c>
      <c r="B414" s="8" t="s">
        <v>526</v>
      </c>
      <c r="C414" s="8" t="s">
        <v>527</v>
      </c>
      <c r="D414" s="59">
        <v>46189.0</v>
      </c>
      <c r="E414" s="8">
        <v>0.0</v>
      </c>
      <c r="G414" s="8">
        <v>-1.27646669E7</v>
      </c>
      <c r="H414" s="8">
        <v>1.2249261E7</v>
      </c>
      <c r="I414" s="14">
        <f t="shared" si="1"/>
        <v>-515405.9</v>
      </c>
    </row>
    <row r="415">
      <c r="A415" s="59">
        <v>46191.0</v>
      </c>
      <c r="B415" s="8" t="s">
        <v>526</v>
      </c>
      <c r="C415" s="8" t="s">
        <v>527</v>
      </c>
      <c r="D415" s="59">
        <v>46190.0</v>
      </c>
      <c r="E415" s="8">
        <v>0.0</v>
      </c>
      <c r="G415" s="8">
        <v>-1.27646669E7</v>
      </c>
      <c r="H415" s="8">
        <v>1.2335795E7</v>
      </c>
      <c r="I415" s="14">
        <f t="shared" si="1"/>
        <v>-428871.9</v>
      </c>
    </row>
    <row r="416">
      <c r="A416" s="59">
        <v>46192.0</v>
      </c>
      <c r="B416" s="8" t="s">
        <v>526</v>
      </c>
      <c r="C416" s="8" t="s">
        <v>527</v>
      </c>
      <c r="D416" s="59">
        <v>46191.0</v>
      </c>
      <c r="E416" s="8">
        <v>0.0</v>
      </c>
      <c r="G416" s="8">
        <v>-1.27646669E7</v>
      </c>
      <c r="H416" s="8">
        <v>1.2424534E7</v>
      </c>
      <c r="I416" s="14">
        <f t="shared" si="1"/>
        <v>-340132.9</v>
      </c>
    </row>
    <row r="417">
      <c r="A417" s="59">
        <v>46195.0</v>
      </c>
      <c r="B417" s="8" t="s">
        <v>526</v>
      </c>
      <c r="C417" s="8" t="s">
        <v>527</v>
      </c>
      <c r="D417" s="59">
        <v>46192.0</v>
      </c>
      <c r="E417" s="8">
        <v>0.0</v>
      </c>
      <c r="G417" s="8">
        <v>-1.27646669E7</v>
      </c>
      <c r="H417" s="8">
        <v>1.2556245E7</v>
      </c>
      <c r="I417" s="14">
        <f t="shared" si="1"/>
        <v>-208421.9</v>
      </c>
    </row>
    <row r="418">
      <c r="A418" s="59">
        <v>46196.0</v>
      </c>
      <c r="B418" s="8" t="s">
        <v>526</v>
      </c>
      <c r="C418" s="8" t="s">
        <v>527</v>
      </c>
      <c r="D418" s="59">
        <v>46195.0</v>
      </c>
      <c r="E418" s="8">
        <v>0.0</v>
      </c>
      <c r="G418" s="8">
        <v>-1.27646669E7</v>
      </c>
      <c r="H418" s="8">
        <v>1.2747984E7</v>
      </c>
      <c r="I418" s="14">
        <f t="shared" si="1"/>
        <v>-16682.9</v>
      </c>
    </row>
    <row r="419">
      <c r="A419" s="59">
        <v>46197.0</v>
      </c>
      <c r="B419" s="8" t="s">
        <v>526</v>
      </c>
      <c r="C419" s="8" t="s">
        <v>527</v>
      </c>
      <c r="D419" s="59">
        <v>46196.0</v>
      </c>
      <c r="E419" s="8">
        <v>0.0</v>
      </c>
      <c r="G419" s="8">
        <v>-1.27646669E7</v>
      </c>
      <c r="H419" s="8">
        <v>1.2662327E7</v>
      </c>
      <c r="I419" s="14">
        <f t="shared" si="1"/>
        <v>-102339.9</v>
      </c>
    </row>
    <row r="420">
      <c r="A420" s="59">
        <v>46198.0</v>
      </c>
      <c r="B420" s="8" t="s">
        <v>526</v>
      </c>
      <c r="C420" s="8" t="s">
        <v>527</v>
      </c>
      <c r="D420" s="59">
        <v>46197.0</v>
      </c>
      <c r="E420" s="8">
        <v>0.0</v>
      </c>
      <c r="G420" s="8">
        <v>-1.27646669E7</v>
      </c>
      <c r="H420" s="8">
        <v>1.2623108E7</v>
      </c>
      <c r="I420" s="14">
        <f t="shared" si="1"/>
        <v>-141558.9</v>
      </c>
    </row>
    <row r="421">
      <c r="A421" s="59">
        <v>46202.0</v>
      </c>
      <c r="B421" s="8" t="s">
        <v>526</v>
      </c>
      <c r="C421" s="8" t="s">
        <v>527</v>
      </c>
      <c r="D421" s="59">
        <v>46198.0</v>
      </c>
      <c r="E421" s="8">
        <v>0.0</v>
      </c>
      <c r="G421" s="8">
        <v>-1.27646669E7</v>
      </c>
      <c r="H421" s="8">
        <v>1.2556219E7</v>
      </c>
      <c r="I421" s="14">
        <f t="shared" si="1"/>
        <v>-208447.9</v>
      </c>
    </row>
    <row r="422">
      <c r="A422" s="59">
        <v>46203.0</v>
      </c>
      <c r="B422" s="8" t="s">
        <v>526</v>
      </c>
      <c r="C422" s="8" t="s">
        <v>527</v>
      </c>
      <c r="D422" s="59">
        <v>46202.0</v>
      </c>
      <c r="E422" s="8">
        <v>0.0</v>
      </c>
      <c r="G422" s="8">
        <v>-1.27646669E7</v>
      </c>
      <c r="H422" s="8">
        <v>1.265968E7</v>
      </c>
      <c r="I422" s="14">
        <f t="shared" si="1"/>
        <v>-104986.9</v>
      </c>
    </row>
    <row r="423">
      <c r="A423" s="59">
        <v>46204.0</v>
      </c>
      <c r="B423" s="8" t="s">
        <v>526</v>
      </c>
      <c r="C423" s="8" t="s">
        <v>527</v>
      </c>
      <c r="D423" s="59">
        <v>46203.0</v>
      </c>
      <c r="E423" s="8">
        <v>0.0</v>
      </c>
      <c r="G423" s="8">
        <v>-1.27646669E7</v>
      </c>
      <c r="H423" s="8">
        <v>1.2677297E7</v>
      </c>
      <c r="I423" s="14">
        <f t="shared" si="1"/>
        <v>-87369.9</v>
      </c>
    </row>
    <row r="424">
      <c r="A424" s="59">
        <v>46205.0</v>
      </c>
      <c r="B424" s="8" t="s">
        <v>526</v>
      </c>
      <c r="C424" s="8" t="s">
        <v>527</v>
      </c>
      <c r="D424" s="59">
        <v>46204.0</v>
      </c>
      <c r="E424" s="8">
        <v>0.0</v>
      </c>
      <c r="G424" s="8">
        <v>-1.27646669E7</v>
      </c>
      <c r="H424" s="8">
        <v>1.2675486E7</v>
      </c>
      <c r="I424" s="14">
        <f t="shared" si="1"/>
        <v>-89180.9</v>
      </c>
    </row>
    <row r="425">
      <c r="A425" s="59">
        <v>46206.0</v>
      </c>
      <c r="B425" s="8" t="s">
        <v>526</v>
      </c>
      <c r="C425" s="8" t="s">
        <v>527</v>
      </c>
      <c r="D425" s="59">
        <v>46205.0</v>
      </c>
      <c r="E425" s="8">
        <v>0.0</v>
      </c>
      <c r="G425" s="8">
        <v>-1.27646669E7</v>
      </c>
      <c r="H425" s="8">
        <v>1.2717835E7</v>
      </c>
      <c r="I425" s="14">
        <f t="shared" si="1"/>
        <v>-46831.9</v>
      </c>
    </row>
    <row r="426">
      <c r="A426" s="59">
        <v>46209.0</v>
      </c>
      <c r="B426" s="8" t="s">
        <v>526</v>
      </c>
      <c r="C426" s="8" t="s">
        <v>527</v>
      </c>
      <c r="D426" s="59">
        <v>46206.0</v>
      </c>
      <c r="E426" s="8">
        <v>0.0</v>
      </c>
      <c r="G426" s="8">
        <v>-1.27646669E7</v>
      </c>
      <c r="H426" s="8">
        <v>1.2609004E7</v>
      </c>
      <c r="I426" s="14">
        <f t="shared" si="1"/>
        <v>-155662.9</v>
      </c>
    </row>
    <row r="427">
      <c r="A427" s="59">
        <v>46210.0</v>
      </c>
      <c r="B427" s="8" t="s">
        <v>526</v>
      </c>
      <c r="C427" s="8" t="s">
        <v>527</v>
      </c>
      <c r="D427" s="59">
        <v>46209.0</v>
      </c>
      <c r="E427" s="8">
        <v>0.0</v>
      </c>
      <c r="G427" s="8">
        <v>-1.27646669E7</v>
      </c>
      <c r="H427" s="8">
        <v>1.265306E7</v>
      </c>
      <c r="I427" s="14">
        <f t="shared" si="1"/>
        <v>-111606.9</v>
      </c>
    </row>
    <row r="428">
      <c r="A428" s="59">
        <v>46211.0</v>
      </c>
      <c r="B428" s="8" t="s">
        <v>526</v>
      </c>
      <c r="C428" s="8" t="s">
        <v>527</v>
      </c>
      <c r="D428" s="59">
        <v>46210.0</v>
      </c>
      <c r="E428" s="8">
        <v>0.0</v>
      </c>
      <c r="G428" s="8">
        <v>-1.27646669E7</v>
      </c>
      <c r="H428" s="8">
        <v>1.2506811E7</v>
      </c>
      <c r="I428" s="14">
        <f t="shared" si="1"/>
        <v>-257855.9</v>
      </c>
    </row>
    <row r="429">
      <c r="A429" s="59">
        <v>46212.0</v>
      </c>
      <c r="B429" s="8" t="s">
        <v>526</v>
      </c>
      <c r="C429" s="8" t="s">
        <v>527</v>
      </c>
      <c r="D429" s="59">
        <v>46211.0</v>
      </c>
      <c r="E429" s="8">
        <v>0.0</v>
      </c>
      <c r="G429" s="8">
        <v>-1.27646669E7</v>
      </c>
      <c r="H429" s="8">
        <v>1.2440505E7</v>
      </c>
      <c r="I429" s="14">
        <f t="shared" si="1"/>
        <v>-324161.9</v>
      </c>
    </row>
    <row r="430">
      <c r="A430" s="59">
        <v>46213.0</v>
      </c>
      <c r="B430" s="8" t="s">
        <v>526</v>
      </c>
      <c r="C430" s="8" t="s">
        <v>527</v>
      </c>
      <c r="D430" s="59">
        <v>46212.0</v>
      </c>
      <c r="E430" s="8">
        <v>0.0</v>
      </c>
      <c r="G430" s="8">
        <v>-1.27646669E7</v>
      </c>
      <c r="H430" s="8">
        <v>1.2656952E7</v>
      </c>
      <c r="I430" s="14">
        <f t="shared" si="1"/>
        <v>-107714.9</v>
      </c>
    </row>
    <row r="431">
      <c r="A431" s="59">
        <v>46216.0</v>
      </c>
      <c r="B431" s="8" t="s">
        <v>526</v>
      </c>
      <c r="C431" s="8" t="s">
        <v>527</v>
      </c>
      <c r="D431" s="59">
        <v>46213.0</v>
      </c>
      <c r="E431" s="8">
        <v>0.0</v>
      </c>
      <c r="G431" s="8">
        <v>-1.27646669E7</v>
      </c>
      <c r="H431" s="8">
        <v>1.2754299E7</v>
      </c>
      <c r="I431" s="14">
        <f t="shared" si="1"/>
        <v>-10367.9</v>
      </c>
    </row>
    <row r="432">
      <c r="A432" s="59">
        <v>46217.0</v>
      </c>
      <c r="B432" s="8" t="s">
        <v>526</v>
      </c>
      <c r="C432" s="8" t="s">
        <v>527</v>
      </c>
      <c r="D432" s="59">
        <v>46216.0</v>
      </c>
      <c r="E432" s="8">
        <v>0.0</v>
      </c>
      <c r="G432" s="8">
        <v>-1.27646669E7</v>
      </c>
      <c r="H432" s="8">
        <v>1.2686145E7</v>
      </c>
      <c r="I432" s="14">
        <f t="shared" si="1"/>
        <v>-78521.9</v>
      </c>
    </row>
    <row r="433">
      <c r="A433" s="59">
        <v>46218.0</v>
      </c>
      <c r="B433" s="8" t="s">
        <v>526</v>
      </c>
      <c r="C433" s="8" t="s">
        <v>527</v>
      </c>
      <c r="D433" s="59">
        <v>46217.0</v>
      </c>
      <c r="E433" s="8">
        <v>0.0</v>
      </c>
      <c r="G433" s="8">
        <v>-1.27646669E7</v>
      </c>
      <c r="H433" s="8">
        <v>1.2626376E7</v>
      </c>
      <c r="I433" s="14">
        <f t="shared" si="1"/>
        <v>-138290.9</v>
      </c>
    </row>
    <row r="434">
      <c r="A434" s="59">
        <v>46219.0</v>
      </c>
      <c r="B434" s="8" t="s">
        <v>526</v>
      </c>
      <c r="C434" s="8" t="s">
        <v>527</v>
      </c>
      <c r="D434" s="59">
        <v>46218.0</v>
      </c>
      <c r="E434" s="8">
        <v>0.0</v>
      </c>
      <c r="G434" s="8">
        <v>-1.27646669E7</v>
      </c>
      <c r="H434" s="8">
        <v>1.2831818E7</v>
      </c>
      <c r="I434" s="14">
        <f t="shared" si="1"/>
        <v>67151.1</v>
      </c>
    </row>
    <row r="435">
      <c r="A435" s="59">
        <v>46220.0</v>
      </c>
      <c r="B435" s="8" t="s">
        <v>526</v>
      </c>
      <c r="C435" s="8" t="s">
        <v>527</v>
      </c>
      <c r="D435" s="59">
        <v>46219.0</v>
      </c>
      <c r="E435" s="8">
        <v>0.0</v>
      </c>
      <c r="G435" s="8">
        <v>-1.27646669E7</v>
      </c>
      <c r="H435" s="8">
        <v>1.2766759E7</v>
      </c>
      <c r="I435" s="14">
        <f t="shared" si="1"/>
        <v>2092.1</v>
      </c>
    </row>
    <row r="436">
      <c r="A436" s="59">
        <v>46223.0</v>
      </c>
      <c r="B436" s="8" t="s">
        <v>526</v>
      </c>
      <c r="C436" s="8" t="s">
        <v>527</v>
      </c>
      <c r="D436" s="59">
        <v>46220.0</v>
      </c>
      <c r="E436" s="8">
        <v>0.0</v>
      </c>
      <c r="G436" s="8">
        <v>-1.27646669E7</v>
      </c>
      <c r="H436" s="8">
        <v>1.2545297E7</v>
      </c>
      <c r="I436" s="14">
        <f t="shared" si="1"/>
        <v>-219369.9</v>
      </c>
    </row>
    <row r="437">
      <c r="A437" s="59">
        <v>46224.0</v>
      </c>
      <c r="B437" s="8" t="s">
        <v>526</v>
      </c>
      <c r="C437" s="8" t="s">
        <v>527</v>
      </c>
      <c r="D437" s="59">
        <v>46223.0</v>
      </c>
      <c r="E437" s="8">
        <v>0.0</v>
      </c>
      <c r="G437" s="8">
        <v>-1.27646669E7</v>
      </c>
      <c r="H437" s="8">
        <v>1.2622276E7</v>
      </c>
      <c r="I437" s="14">
        <f t="shared" si="1"/>
        <v>-142390.9</v>
      </c>
    </row>
    <row r="438">
      <c r="A438" s="59">
        <v>46225.0</v>
      </c>
      <c r="B438" s="8" t="s">
        <v>526</v>
      </c>
      <c r="C438" s="8" t="s">
        <v>527</v>
      </c>
      <c r="D438" s="59">
        <v>46224.0</v>
      </c>
      <c r="E438" s="8">
        <v>0.0</v>
      </c>
      <c r="G438" s="8">
        <v>-1.27646669E7</v>
      </c>
      <c r="H438" s="8">
        <v>1.274495E7</v>
      </c>
      <c r="I438" s="14">
        <f t="shared" si="1"/>
        <v>-19716.9</v>
      </c>
    </row>
    <row r="439">
      <c r="A439" s="59">
        <v>46226.0</v>
      </c>
      <c r="B439" s="8" t="s">
        <v>526</v>
      </c>
      <c r="C439" s="8" t="s">
        <v>527</v>
      </c>
      <c r="D439" s="59">
        <v>46225.0</v>
      </c>
      <c r="E439" s="8">
        <v>0.0</v>
      </c>
      <c r="G439" s="8">
        <v>-1.27646669E7</v>
      </c>
      <c r="H439" s="8">
        <v>1.2634547E7</v>
      </c>
      <c r="I439" s="14">
        <f t="shared" si="1"/>
        <v>-130119.9</v>
      </c>
    </row>
    <row r="440">
      <c r="A440" s="59">
        <v>46227.0</v>
      </c>
      <c r="B440" s="8" t="s">
        <v>526</v>
      </c>
      <c r="C440" s="8" t="s">
        <v>527</v>
      </c>
      <c r="D440" s="59">
        <v>46226.0</v>
      </c>
      <c r="E440" s="8">
        <v>0.0</v>
      </c>
      <c r="G440" s="8">
        <v>-1.27646669E7</v>
      </c>
      <c r="H440" s="8">
        <v>1.2438779E7</v>
      </c>
      <c r="I440" s="14">
        <f t="shared" si="1"/>
        <v>-325887.9</v>
      </c>
    </row>
    <row r="441">
      <c r="A441" s="59">
        <v>46230.0</v>
      </c>
      <c r="B441" s="8" t="s">
        <v>526</v>
      </c>
      <c r="C441" s="8" t="s">
        <v>527</v>
      </c>
      <c r="D441" s="59">
        <v>46227.0</v>
      </c>
      <c r="E441" s="8">
        <v>0.0</v>
      </c>
      <c r="G441" s="8">
        <v>-1.27646669E7</v>
      </c>
      <c r="H441" s="8">
        <v>1.2282772E7</v>
      </c>
      <c r="I441" s="14">
        <f t="shared" si="1"/>
        <v>-481894.9</v>
      </c>
    </row>
    <row r="442">
      <c r="A442" s="59">
        <v>46231.0</v>
      </c>
      <c r="B442" s="8" t="s">
        <v>526</v>
      </c>
      <c r="C442" s="8" t="s">
        <v>527</v>
      </c>
      <c r="D442" s="59">
        <v>46230.0</v>
      </c>
      <c r="E442" s="8">
        <v>0.0</v>
      </c>
      <c r="G442" s="8">
        <v>-1.27646669E7</v>
      </c>
      <c r="H442" s="8">
        <v>1.245139E7</v>
      </c>
      <c r="I442" s="14">
        <f t="shared" si="1"/>
        <v>-313276.9</v>
      </c>
    </row>
    <row r="443">
      <c r="A443" s="59">
        <v>46232.0</v>
      </c>
      <c r="B443" s="8" t="s">
        <v>526</v>
      </c>
      <c r="C443" s="8" t="s">
        <v>527</v>
      </c>
      <c r="D443" s="59">
        <v>46231.0</v>
      </c>
      <c r="E443" s="8">
        <v>0.0</v>
      </c>
      <c r="G443" s="8">
        <v>-1.27646669E7</v>
      </c>
      <c r="H443" s="8">
        <v>1.228703E7</v>
      </c>
      <c r="I443" s="14">
        <f t="shared" si="1"/>
        <v>-477636.9</v>
      </c>
    </row>
    <row r="444">
      <c r="A444" s="59">
        <v>46233.0</v>
      </c>
      <c r="B444" s="8" t="s">
        <v>526</v>
      </c>
      <c r="C444" s="8" t="s">
        <v>527</v>
      </c>
      <c r="D444" s="59">
        <v>46232.0</v>
      </c>
      <c r="E444" s="8">
        <v>0.0</v>
      </c>
      <c r="G444" s="8">
        <v>-1.27646669E7</v>
      </c>
      <c r="H444" s="8">
        <v>1.2424696E7</v>
      </c>
      <c r="I444" s="14">
        <f t="shared" si="1"/>
        <v>-339970.9</v>
      </c>
    </row>
    <row r="445">
      <c r="A445" s="59">
        <v>46234.0</v>
      </c>
      <c r="B445" s="8" t="s">
        <v>526</v>
      </c>
      <c r="C445" s="8" t="s">
        <v>527</v>
      </c>
      <c r="D445" s="59">
        <v>46233.0</v>
      </c>
      <c r="E445" s="8">
        <v>0.0</v>
      </c>
      <c r="G445" s="8">
        <v>-1.27646669E7</v>
      </c>
      <c r="H445" s="8">
        <v>1.2347546E7</v>
      </c>
      <c r="I445" s="14">
        <f t="shared" si="1"/>
        <v>-417120.9</v>
      </c>
    </row>
    <row r="446">
      <c r="A446" s="59">
        <v>46237.0</v>
      </c>
      <c r="B446" s="8" t="s">
        <v>526</v>
      </c>
      <c r="C446" s="8" t="s">
        <v>527</v>
      </c>
      <c r="D446" s="59">
        <v>46234.0</v>
      </c>
      <c r="E446" s="8">
        <v>0.0</v>
      </c>
      <c r="G446" s="8">
        <v>-1.27646669E7</v>
      </c>
      <c r="H446" s="8">
        <v>1.2567157E7</v>
      </c>
      <c r="I446" s="14">
        <f t="shared" si="1"/>
        <v>-197509.9</v>
      </c>
    </row>
    <row r="447">
      <c r="A447" s="59">
        <v>46238.0</v>
      </c>
      <c r="B447" s="8" t="s">
        <v>526</v>
      </c>
      <c r="C447" s="8" t="s">
        <v>527</v>
      </c>
      <c r="D447" s="59">
        <v>46237.0</v>
      </c>
      <c r="E447" s="8">
        <v>0.0</v>
      </c>
      <c r="G447" s="8">
        <v>-1.27646669E7</v>
      </c>
      <c r="H447" s="8">
        <v>1.2738029E7</v>
      </c>
      <c r="I447" s="14">
        <f t="shared" si="1"/>
        <v>-26637.9</v>
      </c>
    </row>
    <row r="448">
      <c r="A448" s="59">
        <v>46239.0</v>
      </c>
      <c r="B448" s="8" t="s">
        <v>526</v>
      </c>
      <c r="C448" s="8" t="s">
        <v>527</v>
      </c>
      <c r="D448" s="59">
        <v>46238.0</v>
      </c>
      <c r="E448" s="8">
        <v>0.0</v>
      </c>
      <c r="G448" s="8">
        <v>-1.27646669E7</v>
      </c>
      <c r="H448" s="8">
        <v>1.2965856E7</v>
      </c>
      <c r="I448" s="14">
        <f t="shared" si="1"/>
        <v>201189.1</v>
      </c>
    </row>
    <row r="449">
      <c r="A449" s="59">
        <v>46240.0</v>
      </c>
      <c r="B449" s="8" t="s">
        <v>526</v>
      </c>
      <c r="C449" s="8" t="s">
        <v>527</v>
      </c>
      <c r="D449" s="59">
        <v>46239.0</v>
      </c>
      <c r="E449" s="8">
        <v>0.0</v>
      </c>
      <c r="G449" s="8">
        <v>-1.27646669E7</v>
      </c>
      <c r="H449" s="8">
        <v>1.311287E7</v>
      </c>
      <c r="I449" s="14">
        <f t="shared" si="1"/>
        <v>348203.1</v>
      </c>
    </row>
    <row r="450">
      <c r="A450" s="59">
        <v>46241.0</v>
      </c>
      <c r="B450" s="8" t="s">
        <v>526</v>
      </c>
      <c r="C450" s="8" t="s">
        <v>527</v>
      </c>
      <c r="D450" s="59">
        <v>46240.0</v>
      </c>
      <c r="E450" s="8">
        <v>0.0</v>
      </c>
      <c r="G450" s="8">
        <v>-1.27646669E7</v>
      </c>
      <c r="H450" s="8">
        <v>1.3042072E7</v>
      </c>
      <c r="I450" s="14">
        <f t="shared" si="1"/>
        <v>277405.1</v>
      </c>
    </row>
    <row r="451">
      <c r="A451" s="59">
        <v>46244.0</v>
      </c>
      <c r="B451" s="8" t="s">
        <v>526</v>
      </c>
      <c r="C451" s="8" t="s">
        <v>527</v>
      </c>
      <c r="D451" s="59">
        <v>46241.0</v>
      </c>
      <c r="E451" s="8">
        <v>0.0</v>
      </c>
      <c r="G451" s="8">
        <v>-1.27646669E7</v>
      </c>
      <c r="H451" s="8">
        <v>1.3060611E7</v>
      </c>
      <c r="I451" s="14">
        <f t="shared" si="1"/>
        <v>295944.1</v>
      </c>
    </row>
    <row r="452">
      <c r="A452" s="59">
        <v>46245.0</v>
      </c>
      <c r="B452" s="8" t="s">
        <v>526</v>
      </c>
      <c r="C452" s="8" t="s">
        <v>527</v>
      </c>
      <c r="D452" s="59">
        <v>46244.0</v>
      </c>
      <c r="E452" s="8">
        <v>0.0</v>
      </c>
      <c r="G452" s="8">
        <v>-1.27646669E7</v>
      </c>
      <c r="H452" s="8">
        <v>1.3183221E7</v>
      </c>
      <c r="I452" s="14">
        <f t="shared" si="1"/>
        <v>418554.1</v>
      </c>
    </row>
    <row r="453">
      <c r="A453" s="59">
        <v>46246.0</v>
      </c>
      <c r="B453" s="8" t="s">
        <v>526</v>
      </c>
      <c r="C453" s="8" t="s">
        <v>527</v>
      </c>
      <c r="D453" s="59">
        <v>46245.0</v>
      </c>
      <c r="E453" s="8">
        <v>0.0</v>
      </c>
      <c r="G453" s="8">
        <v>-1.27646669E7</v>
      </c>
      <c r="H453" s="8">
        <v>1.3286299E7</v>
      </c>
      <c r="I453" s="14">
        <f t="shared" si="1"/>
        <v>521632.1</v>
      </c>
    </row>
    <row r="454">
      <c r="A454" s="59">
        <v>46247.0</v>
      </c>
      <c r="B454" s="8" t="s">
        <v>526</v>
      </c>
      <c r="C454" s="8" t="s">
        <v>527</v>
      </c>
      <c r="D454" s="59">
        <v>46246.0</v>
      </c>
      <c r="E454" s="8">
        <v>0.0</v>
      </c>
      <c r="G454" s="8">
        <v>-1.27646669E7</v>
      </c>
      <c r="H454" s="8">
        <v>1.3436217E7</v>
      </c>
      <c r="I454" s="14">
        <f t="shared" si="1"/>
        <v>671550.1</v>
      </c>
    </row>
    <row r="455">
      <c r="A455" s="59">
        <v>46248.0</v>
      </c>
      <c r="B455" s="8" t="s">
        <v>526</v>
      </c>
      <c r="C455" s="8" t="s">
        <v>527</v>
      </c>
      <c r="D455" s="59">
        <v>46247.0</v>
      </c>
      <c r="E455" s="8">
        <v>0.0</v>
      </c>
      <c r="G455" s="8">
        <v>-1.27646669E7</v>
      </c>
      <c r="H455" s="8">
        <v>1.3292374E7</v>
      </c>
      <c r="I455" s="14">
        <f t="shared" si="1"/>
        <v>527707.1</v>
      </c>
    </row>
    <row r="456">
      <c r="A456" s="59">
        <v>46251.0</v>
      </c>
      <c r="B456" s="8" t="s">
        <v>526</v>
      </c>
      <c r="C456" s="8" t="s">
        <v>527</v>
      </c>
      <c r="D456" s="59">
        <v>46248.0</v>
      </c>
      <c r="E456" s="8">
        <v>0.0</v>
      </c>
      <c r="G456" s="8">
        <v>-1.27646669E7</v>
      </c>
      <c r="H456" s="8">
        <v>1.3184856E7</v>
      </c>
      <c r="I456" s="14">
        <f t="shared" si="1"/>
        <v>420189.1</v>
      </c>
    </row>
    <row r="457">
      <c r="A457" s="59">
        <v>46252.0</v>
      </c>
      <c r="B457" s="8" t="s">
        <v>526</v>
      </c>
      <c r="C457" s="8" t="s">
        <v>527</v>
      </c>
      <c r="D457" s="59">
        <v>46251.0</v>
      </c>
      <c r="E457" s="8">
        <v>0.0</v>
      </c>
      <c r="G457" s="8">
        <v>-1.27646669E7</v>
      </c>
      <c r="H457" s="8">
        <v>1.3156431E7</v>
      </c>
      <c r="I457" s="14">
        <f t="shared" si="1"/>
        <v>391764.1</v>
      </c>
    </row>
    <row r="458">
      <c r="A458" s="59">
        <v>46253.0</v>
      </c>
      <c r="B458" s="8" t="s">
        <v>526</v>
      </c>
      <c r="C458" s="8" t="s">
        <v>527</v>
      </c>
      <c r="D458" s="59">
        <v>46252.0</v>
      </c>
      <c r="E458" s="8">
        <v>0.0</v>
      </c>
      <c r="G458" s="8">
        <v>-1.27646669E7</v>
      </c>
      <c r="H458" s="8">
        <v>1.3298994E7</v>
      </c>
      <c r="I458" s="14">
        <f t="shared" si="1"/>
        <v>534327.1</v>
      </c>
    </row>
    <row r="459">
      <c r="A459" s="59">
        <v>46254.0</v>
      </c>
      <c r="B459" s="8" t="s">
        <v>526</v>
      </c>
      <c r="C459" s="8" t="s">
        <v>527</v>
      </c>
      <c r="D459" s="59">
        <v>46253.0</v>
      </c>
      <c r="E459" s="8">
        <v>0.0</v>
      </c>
      <c r="G459" s="8">
        <v>-1.27646669E7</v>
      </c>
      <c r="H459" s="8">
        <v>1.3074338E7</v>
      </c>
      <c r="I459" s="14">
        <f t="shared" si="1"/>
        <v>309671.1</v>
      </c>
    </row>
    <row r="460">
      <c r="A460" s="59">
        <v>46255.0</v>
      </c>
      <c r="B460" s="8" t="s">
        <v>526</v>
      </c>
      <c r="C460" s="8" t="s">
        <v>527</v>
      </c>
      <c r="D460" s="59">
        <v>46254.0</v>
      </c>
      <c r="E460" s="8">
        <v>0.0</v>
      </c>
      <c r="G460" s="8">
        <v>-1.27646669E7</v>
      </c>
      <c r="H460" s="8">
        <v>1.3132867E7</v>
      </c>
      <c r="I460" s="14">
        <f t="shared" si="1"/>
        <v>368200.1</v>
      </c>
    </row>
    <row r="461">
      <c r="A461" s="59">
        <v>46258.0</v>
      </c>
      <c r="B461" s="8" t="s">
        <v>526</v>
      </c>
      <c r="C461" s="8" t="s">
        <v>527</v>
      </c>
      <c r="D461" s="59">
        <v>46255.0</v>
      </c>
      <c r="E461" s="8">
        <v>0.0</v>
      </c>
      <c r="G461" s="8">
        <v>-1.27646669E7</v>
      </c>
      <c r="H461" s="8">
        <v>1.3170627E7</v>
      </c>
      <c r="I461" s="14">
        <f t="shared" si="1"/>
        <v>405960.1</v>
      </c>
    </row>
    <row r="462">
      <c r="A462" s="59">
        <v>46259.0</v>
      </c>
      <c r="B462" s="8" t="s">
        <v>526</v>
      </c>
      <c r="C462" s="8" t="s">
        <v>527</v>
      </c>
      <c r="D462" s="59">
        <v>46258.0</v>
      </c>
      <c r="E462" s="8">
        <v>0.0</v>
      </c>
      <c r="G462" s="8">
        <v>-1.27646669E7</v>
      </c>
      <c r="H462" s="8">
        <v>1.3178376E7</v>
      </c>
      <c r="I462" s="14">
        <f t="shared" si="1"/>
        <v>413709.1</v>
      </c>
    </row>
    <row r="463">
      <c r="A463" s="59">
        <v>46260.0</v>
      </c>
      <c r="B463" s="8" t="s">
        <v>526</v>
      </c>
      <c r="C463" s="8" t="s">
        <v>527</v>
      </c>
      <c r="D463" s="59">
        <v>46259.0</v>
      </c>
      <c r="E463" s="8">
        <v>0.0</v>
      </c>
      <c r="G463" s="8">
        <v>-1.27646669E7</v>
      </c>
      <c r="H463" s="8">
        <v>1.3167673E7</v>
      </c>
      <c r="I463" s="14">
        <f t="shared" si="1"/>
        <v>403006.1</v>
      </c>
    </row>
    <row r="464">
      <c r="A464" s="59">
        <v>46261.0</v>
      </c>
      <c r="B464" s="8" t="s">
        <v>526</v>
      </c>
      <c r="C464" s="8" t="s">
        <v>527</v>
      </c>
      <c r="D464" s="59">
        <v>46260.0</v>
      </c>
      <c r="E464" s="8">
        <v>0.0</v>
      </c>
      <c r="G464" s="8">
        <v>-1.27646669E7</v>
      </c>
      <c r="H464" s="8">
        <v>1.3264053E7</v>
      </c>
      <c r="I464" s="14">
        <f t="shared" si="1"/>
        <v>499386.1</v>
      </c>
    </row>
    <row r="465">
      <c r="A465" s="59">
        <v>46262.0</v>
      </c>
      <c r="B465" s="8" t="s">
        <v>526</v>
      </c>
      <c r="C465" s="8" t="s">
        <v>527</v>
      </c>
      <c r="D465" s="59">
        <v>46261.0</v>
      </c>
      <c r="E465" s="8">
        <v>0.0</v>
      </c>
      <c r="G465" s="8">
        <v>-1.27646669E7</v>
      </c>
      <c r="H465" s="8">
        <v>1.3332813E7</v>
      </c>
      <c r="I465" s="14">
        <f t="shared" si="1"/>
        <v>568146.1</v>
      </c>
    </row>
    <row r="466">
      <c r="A466" s="59">
        <v>46265.0</v>
      </c>
      <c r="B466" s="8" t="s">
        <v>526</v>
      </c>
      <c r="C466" s="8" t="s">
        <v>527</v>
      </c>
      <c r="D466" s="59">
        <v>46262.0</v>
      </c>
      <c r="E466" s="8">
        <v>0.0</v>
      </c>
      <c r="G466" s="8">
        <v>-1.27646669E7</v>
      </c>
      <c r="H466" s="8">
        <v>1.3399893E7</v>
      </c>
      <c r="I466" s="14">
        <f t="shared" si="1"/>
        <v>635226.1</v>
      </c>
    </row>
    <row r="467">
      <c r="A467" s="59">
        <v>46266.0</v>
      </c>
      <c r="B467" s="8" t="s">
        <v>526</v>
      </c>
      <c r="C467" s="8" t="s">
        <v>527</v>
      </c>
      <c r="D467" s="59">
        <v>46265.0</v>
      </c>
      <c r="E467" s="8">
        <v>0.0</v>
      </c>
      <c r="G467" s="8">
        <v>-1.27646669E7</v>
      </c>
      <c r="H467" s="8">
        <v>1.3344653E7</v>
      </c>
      <c r="I467" s="14">
        <f t="shared" si="1"/>
        <v>579986.1</v>
      </c>
    </row>
    <row r="468">
      <c r="A468" s="59">
        <v>46267.0</v>
      </c>
      <c r="B468" s="8" t="s">
        <v>526</v>
      </c>
      <c r="C468" s="8" t="s">
        <v>527</v>
      </c>
      <c r="D468" s="59">
        <v>46266.0</v>
      </c>
      <c r="E468" s="8">
        <v>0.0</v>
      </c>
      <c r="G468" s="8">
        <v>-1.27646669E7</v>
      </c>
      <c r="H468" s="8">
        <v>1.3214995E7</v>
      </c>
      <c r="I468" s="14">
        <f t="shared" si="1"/>
        <v>450328.1</v>
      </c>
    </row>
    <row r="469">
      <c r="A469" s="59">
        <v>46268.0</v>
      </c>
      <c r="B469" s="8" t="s">
        <v>526</v>
      </c>
      <c r="C469" s="8" t="s">
        <v>527</v>
      </c>
      <c r="D469" s="59">
        <v>46267.0</v>
      </c>
      <c r="E469" s="8">
        <v>0.0</v>
      </c>
      <c r="G469" s="8">
        <v>-1.27646669E7</v>
      </c>
      <c r="H469" s="8">
        <v>1.3131664E7</v>
      </c>
      <c r="I469" s="14">
        <f t="shared" si="1"/>
        <v>366997.1</v>
      </c>
    </row>
    <row r="470">
      <c r="A470" s="59">
        <v>46269.0</v>
      </c>
      <c r="B470" s="8" t="s">
        <v>530</v>
      </c>
      <c r="C470" s="8" t="s">
        <v>531</v>
      </c>
      <c r="D470" s="59">
        <v>46268.0</v>
      </c>
      <c r="E470" s="8">
        <v>37173.6</v>
      </c>
      <c r="F470" s="8">
        <v>0.0</v>
      </c>
      <c r="G470" s="8">
        <v>-1.28018405E7</v>
      </c>
      <c r="H470" s="8">
        <v>1.3387637E7</v>
      </c>
      <c r="I470" s="14">
        <f t="shared" si="1"/>
        <v>585796.5</v>
      </c>
    </row>
    <row r="471">
      <c r="A471" s="59">
        <v>46269.0</v>
      </c>
      <c r="B471" s="8" t="s">
        <v>532</v>
      </c>
      <c r="C471" s="8" t="s">
        <v>533</v>
      </c>
      <c r="D471" s="59">
        <v>46268.0</v>
      </c>
      <c r="E471" s="8">
        <v>131007.46</v>
      </c>
      <c r="F471" s="8">
        <v>0.0</v>
      </c>
      <c r="G471" s="8">
        <v>-1.293284796E7</v>
      </c>
      <c r="H471" s="8">
        <v>1.3387637E7</v>
      </c>
      <c r="I471" s="14">
        <f t="shared" si="1"/>
        <v>454789.04</v>
      </c>
    </row>
    <row r="472">
      <c r="A472" s="59">
        <v>46272.0</v>
      </c>
      <c r="B472" s="8" t="s">
        <v>532</v>
      </c>
      <c r="C472" s="8" t="s">
        <v>533</v>
      </c>
      <c r="D472" s="59">
        <v>46269.0</v>
      </c>
      <c r="F472" s="8">
        <v>0.0</v>
      </c>
      <c r="G472" s="8">
        <v>-1.293284796E7</v>
      </c>
      <c r="H472" s="8">
        <v>1.3367592E7</v>
      </c>
      <c r="I472" s="14">
        <f t="shared" si="1"/>
        <v>434744.04</v>
      </c>
    </row>
    <row r="473">
      <c r="A473" s="59">
        <v>46273.0</v>
      </c>
      <c r="B473" s="8" t="s">
        <v>532</v>
      </c>
      <c r="C473" s="8" t="s">
        <v>533</v>
      </c>
      <c r="D473" s="59">
        <v>46272.0</v>
      </c>
      <c r="F473" s="8">
        <v>0.0</v>
      </c>
      <c r="G473" s="8">
        <v>-1.293284796E7</v>
      </c>
      <c r="H473" s="8">
        <v>1.3463103E7</v>
      </c>
      <c r="I473" s="14">
        <f t="shared" si="1"/>
        <v>530255.04</v>
      </c>
    </row>
    <row r="474">
      <c r="A474" s="59">
        <v>46274.0</v>
      </c>
      <c r="B474" s="8" t="s">
        <v>532</v>
      </c>
      <c r="C474" s="8" t="s">
        <v>533</v>
      </c>
      <c r="D474" s="59">
        <v>46273.0</v>
      </c>
      <c r="F474" s="8">
        <v>0.0</v>
      </c>
      <c r="G474" s="8">
        <v>-1.293284796E7</v>
      </c>
      <c r="H474" s="8">
        <v>1.3611581E7</v>
      </c>
      <c r="I474" s="14">
        <f t="shared" si="1"/>
        <v>678733.04</v>
      </c>
    </row>
    <row r="475">
      <c r="A475" s="59">
        <v>46275.0</v>
      </c>
      <c r="B475" s="8" t="s">
        <v>532</v>
      </c>
      <c r="C475" s="8" t="s">
        <v>533</v>
      </c>
      <c r="D475" s="59">
        <v>46274.0</v>
      </c>
      <c r="F475" s="8">
        <v>0.0</v>
      </c>
      <c r="G475" s="8">
        <v>-1.293284796E7</v>
      </c>
      <c r="H475" s="8">
        <v>1.3652437E7</v>
      </c>
      <c r="I475" s="14">
        <f t="shared" si="1"/>
        <v>719589.04</v>
      </c>
    </row>
    <row r="476">
      <c r="A476" s="59">
        <v>46276.0</v>
      </c>
      <c r="B476" s="8" t="s">
        <v>532</v>
      </c>
      <c r="C476" s="8" t="s">
        <v>533</v>
      </c>
      <c r="D476" s="59">
        <v>46275.0</v>
      </c>
      <c r="F476" s="8">
        <v>0.0</v>
      </c>
      <c r="G476" s="8">
        <v>-1.293284796E7</v>
      </c>
      <c r="H476" s="8">
        <v>1.3647896E7</v>
      </c>
      <c r="I476" s="14">
        <f t="shared" si="1"/>
        <v>715048.04</v>
      </c>
    </row>
    <row r="477">
      <c r="A477" s="59">
        <v>46280.0</v>
      </c>
      <c r="B477" s="8" t="s">
        <v>532</v>
      </c>
      <c r="C477" s="8" t="s">
        <v>533</v>
      </c>
      <c r="D477" s="59">
        <v>46276.0</v>
      </c>
      <c r="F477" s="8">
        <v>0.0</v>
      </c>
      <c r="G477" s="8">
        <v>-1.293284796E7</v>
      </c>
      <c r="H477" s="8">
        <v>1.3552136E7</v>
      </c>
      <c r="I477" s="14">
        <f t="shared" si="1"/>
        <v>619288.04</v>
      </c>
    </row>
    <row r="478">
      <c r="A478" s="59">
        <v>46281.0</v>
      </c>
      <c r="B478" s="8" t="s">
        <v>532</v>
      </c>
      <c r="C478" s="8" t="s">
        <v>533</v>
      </c>
      <c r="D478" s="59">
        <v>46280.0</v>
      </c>
      <c r="F478" s="8">
        <v>0.0</v>
      </c>
      <c r="G478" s="8">
        <v>-1.293284796E7</v>
      </c>
      <c r="H478" s="8">
        <v>1.2986672E7</v>
      </c>
      <c r="I478" s="14">
        <f t="shared" si="1"/>
        <v>53824.04</v>
      </c>
    </row>
    <row r="479">
      <c r="A479" s="59">
        <v>46282.0</v>
      </c>
      <c r="B479" s="8" t="s">
        <v>532</v>
      </c>
      <c r="C479" s="8" t="s">
        <v>533</v>
      </c>
      <c r="D479" s="59">
        <v>46281.0</v>
      </c>
      <c r="F479" s="8">
        <v>0.0</v>
      </c>
      <c r="G479" s="8">
        <v>-1.293284796E7</v>
      </c>
      <c r="H479" s="8">
        <v>1.2962861E7</v>
      </c>
      <c r="I479" s="14">
        <f t="shared" si="1"/>
        <v>30013.04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2" max="2" width="25.43"/>
    <col customWidth="1" min="3" max="3" width="30.71"/>
    <col customWidth="1" min="4" max="4" width="10.57"/>
    <col customWidth="1" min="5" max="5" width="11.57"/>
  </cols>
  <sheetData>
    <row r="1">
      <c r="E1" s="8" t="s">
        <v>353</v>
      </c>
      <c r="F1" s="8" t="s">
        <v>354</v>
      </c>
      <c r="G1" s="8" t="s">
        <v>355</v>
      </c>
      <c r="H1" s="8" t="s">
        <v>356</v>
      </c>
      <c r="I1" s="8" t="s">
        <v>357</v>
      </c>
      <c r="J1" s="1"/>
      <c r="K1" s="1"/>
    </row>
    <row r="2">
      <c r="A2" s="8" t="s">
        <v>377</v>
      </c>
      <c r="B2" s="8" t="s">
        <v>510</v>
      </c>
      <c r="C2" s="8" t="s">
        <v>511</v>
      </c>
      <c r="D2" s="8" t="s">
        <v>376</v>
      </c>
      <c r="E2" s="8">
        <v>2.006824797E7</v>
      </c>
      <c r="F2" s="8">
        <v>0.0</v>
      </c>
      <c r="G2" s="8">
        <v>-2.006824797E7</v>
      </c>
      <c r="H2" s="8">
        <v>1.9929592E7</v>
      </c>
      <c r="I2" s="14">
        <f t="shared" ref="I2:I458" si="1">G2+H2</f>
        <v>-138655.97</v>
      </c>
      <c r="J2" s="131"/>
      <c r="K2" s="17"/>
    </row>
    <row r="3">
      <c r="A3" s="8" t="s">
        <v>378</v>
      </c>
      <c r="B3" s="8" t="s">
        <v>510</v>
      </c>
      <c r="C3" s="8" t="s">
        <v>511</v>
      </c>
      <c r="D3" s="8" t="s">
        <v>377</v>
      </c>
      <c r="F3" s="8">
        <v>0.0</v>
      </c>
      <c r="G3" s="8">
        <v>-2.006824797E7</v>
      </c>
      <c r="H3" s="8">
        <v>1.9887263E7</v>
      </c>
      <c r="I3" s="14">
        <f t="shared" si="1"/>
        <v>-180984.97</v>
      </c>
      <c r="J3" s="131"/>
      <c r="K3" s="17"/>
    </row>
    <row r="4">
      <c r="A4" s="8" t="s">
        <v>380</v>
      </c>
      <c r="B4" s="8" t="s">
        <v>510</v>
      </c>
      <c r="C4" s="8" t="s">
        <v>511</v>
      </c>
      <c r="D4" s="8" t="s">
        <v>378</v>
      </c>
      <c r="F4" s="8">
        <v>0.0</v>
      </c>
      <c r="G4" s="8">
        <v>-2.006824797E7</v>
      </c>
      <c r="H4" s="8">
        <v>1.9979067E7</v>
      </c>
      <c r="I4" s="14">
        <f t="shared" si="1"/>
        <v>-89180.97</v>
      </c>
      <c r="J4" s="131"/>
      <c r="K4" s="17"/>
    </row>
    <row r="5">
      <c r="A5" s="8" t="s">
        <v>381</v>
      </c>
      <c r="B5" s="8" t="s">
        <v>510</v>
      </c>
      <c r="C5" s="8" t="s">
        <v>511</v>
      </c>
      <c r="D5" s="8" t="s">
        <v>380</v>
      </c>
      <c r="F5" s="8">
        <v>0.0</v>
      </c>
      <c r="G5" s="8">
        <v>-2.006824797E7</v>
      </c>
      <c r="H5" s="8">
        <v>1.9967609E7</v>
      </c>
      <c r="I5" s="14">
        <f t="shared" si="1"/>
        <v>-100638.97</v>
      </c>
      <c r="J5" s="131"/>
      <c r="K5" s="17"/>
    </row>
    <row r="6">
      <c r="A6" s="8" t="s">
        <v>382</v>
      </c>
      <c r="B6" s="8" t="s">
        <v>510</v>
      </c>
      <c r="C6" s="8" t="s">
        <v>511</v>
      </c>
      <c r="D6" s="8" t="s">
        <v>381</v>
      </c>
      <c r="F6" s="8">
        <v>0.0</v>
      </c>
      <c r="G6" s="8">
        <v>-2.006824797E7</v>
      </c>
      <c r="H6" s="8">
        <v>2.0301562E7</v>
      </c>
      <c r="I6" s="14">
        <f t="shared" si="1"/>
        <v>233314.03</v>
      </c>
      <c r="J6" s="131"/>
      <c r="K6" s="17"/>
    </row>
    <row r="7">
      <c r="A7" s="8" t="s">
        <v>383</v>
      </c>
      <c r="B7" s="8" t="s">
        <v>510</v>
      </c>
      <c r="C7" s="8" t="s">
        <v>511</v>
      </c>
      <c r="D7" s="8" t="s">
        <v>382</v>
      </c>
      <c r="F7" s="8">
        <v>0.0</v>
      </c>
      <c r="G7" s="8">
        <v>-2.006824797E7</v>
      </c>
      <c r="H7" s="8">
        <v>2.0693123E7</v>
      </c>
      <c r="I7" s="14">
        <f t="shared" si="1"/>
        <v>624875.03</v>
      </c>
      <c r="J7" s="131"/>
      <c r="K7" s="17"/>
    </row>
    <row r="8">
      <c r="A8" s="8" t="s">
        <v>384</v>
      </c>
      <c r="B8" s="8" t="s">
        <v>510</v>
      </c>
      <c r="C8" s="8" t="s">
        <v>511</v>
      </c>
      <c r="D8" s="8" t="s">
        <v>383</v>
      </c>
      <c r="F8" s="8">
        <v>0.0</v>
      </c>
      <c r="G8" s="8">
        <v>-2.006824797E7</v>
      </c>
      <c r="H8" s="8">
        <v>2.0578829E7</v>
      </c>
      <c r="I8" s="14">
        <f t="shared" si="1"/>
        <v>510581.03</v>
      </c>
      <c r="J8" s="131"/>
      <c r="K8" s="17"/>
    </row>
    <row r="9">
      <c r="A9" s="8" t="s">
        <v>385</v>
      </c>
      <c r="B9" s="8" t="s">
        <v>510</v>
      </c>
      <c r="C9" s="8" t="s">
        <v>511</v>
      </c>
      <c r="D9" s="8" t="s">
        <v>384</v>
      </c>
      <c r="F9" s="8">
        <v>0.0</v>
      </c>
      <c r="G9" s="8">
        <v>-2.006824797E7</v>
      </c>
      <c r="H9" s="8">
        <v>2.068518E7</v>
      </c>
      <c r="I9" s="14">
        <f t="shared" si="1"/>
        <v>616932.03</v>
      </c>
      <c r="J9" s="131"/>
      <c r="K9" s="17"/>
    </row>
    <row r="10">
      <c r="A10" s="8" t="s">
        <v>387</v>
      </c>
      <c r="B10" s="8" t="s">
        <v>510</v>
      </c>
      <c r="C10" s="8" t="s">
        <v>511</v>
      </c>
      <c r="D10" s="8" t="s">
        <v>385</v>
      </c>
      <c r="F10" s="8">
        <v>0.0</v>
      </c>
      <c r="G10" s="8">
        <v>-2.006824797E7</v>
      </c>
      <c r="H10" s="8">
        <v>2.0529503E7</v>
      </c>
      <c r="I10" s="14">
        <f t="shared" si="1"/>
        <v>461255.03</v>
      </c>
      <c r="J10" s="131"/>
      <c r="K10" s="17"/>
    </row>
    <row r="11">
      <c r="A11" s="96">
        <v>45334.0</v>
      </c>
      <c r="B11" s="8" t="s">
        <v>510</v>
      </c>
      <c r="C11" s="8" t="s">
        <v>511</v>
      </c>
      <c r="D11" s="8" t="s">
        <v>387</v>
      </c>
      <c r="F11" s="8">
        <v>0.0</v>
      </c>
      <c r="G11" s="8">
        <v>-2.006824797E7</v>
      </c>
      <c r="H11" s="8">
        <v>2.0710214E7</v>
      </c>
      <c r="I11" s="14">
        <f t="shared" si="1"/>
        <v>641966.03</v>
      </c>
      <c r="J11" s="132"/>
      <c r="K11" s="17"/>
    </row>
    <row r="12">
      <c r="A12" s="96">
        <v>45363.0</v>
      </c>
      <c r="B12" s="8" t="s">
        <v>510</v>
      </c>
      <c r="C12" s="8" t="s">
        <v>511</v>
      </c>
      <c r="D12" s="96">
        <v>45334.0</v>
      </c>
      <c r="F12" s="8">
        <v>0.0</v>
      </c>
      <c r="G12" s="8">
        <v>-2.006824797E7</v>
      </c>
      <c r="H12" s="8">
        <v>2.1040888E7</v>
      </c>
      <c r="I12" s="14">
        <f t="shared" si="1"/>
        <v>972640.03</v>
      </c>
      <c r="J12" s="132"/>
      <c r="K12" s="17"/>
    </row>
    <row r="13">
      <c r="A13" s="96">
        <v>45394.0</v>
      </c>
      <c r="B13" s="8" t="s">
        <v>510</v>
      </c>
      <c r="C13" s="8" t="s">
        <v>511</v>
      </c>
      <c r="D13" s="96">
        <v>45363.0</v>
      </c>
      <c r="F13" s="8">
        <v>0.0</v>
      </c>
      <c r="G13" s="8">
        <v>-2.006824797E7</v>
      </c>
      <c r="H13" s="8">
        <v>2.1196013E7</v>
      </c>
      <c r="I13" s="14">
        <f t="shared" si="1"/>
        <v>1127765.03</v>
      </c>
      <c r="J13" s="132"/>
      <c r="K13" s="17"/>
    </row>
    <row r="14">
      <c r="A14" s="96">
        <v>45424.0</v>
      </c>
      <c r="B14" s="8" t="s">
        <v>510</v>
      </c>
      <c r="C14" s="8" t="s">
        <v>511</v>
      </c>
      <c r="D14" s="96">
        <v>45394.0</v>
      </c>
      <c r="F14" s="8">
        <v>0.0</v>
      </c>
      <c r="G14" s="8">
        <v>-2.006824797E7</v>
      </c>
      <c r="H14" s="8">
        <v>2.1236088E7</v>
      </c>
      <c r="I14" s="14">
        <f t="shared" si="1"/>
        <v>1167840.03</v>
      </c>
      <c r="J14" s="132"/>
      <c r="K14" s="17"/>
    </row>
    <row r="15">
      <c r="A15" s="96">
        <v>45455.0</v>
      </c>
      <c r="B15" s="8" t="s">
        <v>510</v>
      </c>
      <c r="C15" s="8" t="s">
        <v>511</v>
      </c>
      <c r="D15" s="96">
        <v>45424.0</v>
      </c>
      <c r="F15" s="8">
        <v>0.0</v>
      </c>
      <c r="G15" s="8">
        <v>-2.006824797E7</v>
      </c>
      <c r="H15" s="8">
        <v>2.1236088E7</v>
      </c>
      <c r="I15" s="14">
        <f t="shared" si="1"/>
        <v>1167840.03</v>
      </c>
      <c r="J15" s="132"/>
      <c r="K15" s="17"/>
    </row>
    <row r="16">
      <c r="A16" s="96">
        <v>45547.0</v>
      </c>
      <c r="B16" s="8" t="s">
        <v>510</v>
      </c>
      <c r="C16" s="8" t="s">
        <v>511</v>
      </c>
      <c r="D16" s="96">
        <v>45455.0</v>
      </c>
      <c r="F16" s="8">
        <v>0.0</v>
      </c>
      <c r="G16" s="8">
        <v>-2.006824797E7</v>
      </c>
      <c r="H16" s="8">
        <v>2.1619032E7</v>
      </c>
      <c r="I16" s="14">
        <f t="shared" si="1"/>
        <v>1550784.03</v>
      </c>
      <c r="J16" s="132"/>
      <c r="K16" s="17"/>
    </row>
    <row r="17">
      <c r="A17" s="133">
        <v>45636.0</v>
      </c>
      <c r="B17" s="134" t="s">
        <v>515</v>
      </c>
      <c r="C17" s="134" t="s">
        <v>516</v>
      </c>
      <c r="D17" s="133">
        <v>45635.0</v>
      </c>
      <c r="F17" s="8">
        <v>0.0</v>
      </c>
      <c r="G17" s="8">
        <v>-2.006824797E7</v>
      </c>
      <c r="H17" s="8">
        <v>2.159042E7</v>
      </c>
      <c r="I17" s="14">
        <f t="shared" si="1"/>
        <v>1522172.03</v>
      </c>
      <c r="J17" s="131"/>
      <c r="K17" s="17"/>
    </row>
    <row r="18">
      <c r="A18" s="133">
        <v>45637.0</v>
      </c>
      <c r="B18" s="134" t="s">
        <v>515</v>
      </c>
      <c r="C18" s="134" t="s">
        <v>516</v>
      </c>
      <c r="D18" s="133">
        <v>45636.0</v>
      </c>
      <c r="F18" s="8">
        <v>0.0</v>
      </c>
      <c r="G18" s="8">
        <v>-2.006824797E7</v>
      </c>
      <c r="H18" s="8">
        <v>2.158944E7</v>
      </c>
      <c r="I18" s="14">
        <f t="shared" si="1"/>
        <v>1521192.03</v>
      </c>
      <c r="J18" s="131"/>
      <c r="K18" s="17"/>
    </row>
    <row r="19">
      <c r="A19" s="133">
        <v>45638.0</v>
      </c>
      <c r="B19" s="134" t="s">
        <v>515</v>
      </c>
      <c r="C19" s="134" t="s">
        <v>516</v>
      </c>
      <c r="D19" s="133">
        <v>45637.0</v>
      </c>
      <c r="F19" s="8">
        <v>0.0</v>
      </c>
      <c r="G19" s="8">
        <v>-2.006824797E7</v>
      </c>
      <c r="H19" s="8">
        <v>2.17225E7</v>
      </c>
      <c r="I19" s="14">
        <f t="shared" si="1"/>
        <v>1654252.03</v>
      </c>
      <c r="J19" s="131"/>
      <c r="K19" s="17"/>
    </row>
    <row r="20">
      <c r="A20" s="133">
        <v>45639.0</v>
      </c>
      <c r="B20" s="134" t="s">
        <v>515</v>
      </c>
      <c r="C20" s="134" t="s">
        <v>516</v>
      </c>
      <c r="D20" s="133">
        <v>45638.0</v>
      </c>
      <c r="F20" s="8">
        <v>0.0</v>
      </c>
      <c r="G20" s="8">
        <v>-2.006824797E7</v>
      </c>
      <c r="H20" s="8">
        <v>2.1612737E7</v>
      </c>
      <c r="I20" s="14">
        <f t="shared" si="1"/>
        <v>1544489.03</v>
      </c>
      <c r="J20" s="131"/>
      <c r="K20" s="17"/>
    </row>
    <row r="21">
      <c r="A21" s="133">
        <v>45642.0</v>
      </c>
      <c r="B21" s="134" t="s">
        <v>515</v>
      </c>
      <c r="C21" s="134" t="s">
        <v>516</v>
      </c>
      <c r="D21" s="133">
        <v>45639.0</v>
      </c>
      <c r="F21" s="8">
        <v>0.0</v>
      </c>
      <c r="G21" s="8">
        <v>-2.006824797E7</v>
      </c>
      <c r="H21" s="8">
        <v>2.1616955E7</v>
      </c>
      <c r="I21" s="14">
        <f t="shared" si="1"/>
        <v>1548707.03</v>
      </c>
      <c r="J21" s="131"/>
      <c r="K21" s="17"/>
    </row>
    <row r="22">
      <c r="A22" s="135">
        <v>45643.0</v>
      </c>
      <c r="B22" s="134" t="s">
        <v>515</v>
      </c>
      <c r="C22" s="134" t="s">
        <v>516</v>
      </c>
      <c r="D22" s="135">
        <v>45642.0</v>
      </c>
      <c r="F22" s="8">
        <v>0.0</v>
      </c>
      <c r="G22" s="8">
        <v>-2.006824797E7</v>
      </c>
      <c r="H22" s="8">
        <v>2.1769226E7</v>
      </c>
      <c r="I22" s="14">
        <f t="shared" si="1"/>
        <v>1700978.03</v>
      </c>
      <c r="J22" s="131"/>
      <c r="K22" s="17"/>
    </row>
    <row r="23">
      <c r="A23" s="135">
        <v>45644.0</v>
      </c>
      <c r="B23" s="134" t="s">
        <v>515</v>
      </c>
      <c r="C23" s="134" t="s">
        <v>516</v>
      </c>
      <c r="D23" s="135">
        <v>45643.0</v>
      </c>
      <c r="F23" s="8">
        <v>0.0</v>
      </c>
      <c r="G23" s="8">
        <v>-2.006824797E7</v>
      </c>
      <c r="H23" s="8">
        <v>2.1587112E7</v>
      </c>
      <c r="I23" s="14">
        <f t="shared" si="1"/>
        <v>1518864.03</v>
      </c>
      <c r="J23" s="131"/>
      <c r="K23" s="17"/>
    </row>
    <row r="24">
      <c r="A24" s="135">
        <v>45645.0</v>
      </c>
      <c r="B24" s="134" t="s">
        <v>515</v>
      </c>
      <c r="C24" s="134" t="s">
        <v>516</v>
      </c>
      <c r="D24" s="135">
        <v>45644.0</v>
      </c>
      <c r="F24" s="8">
        <v>0.0</v>
      </c>
      <c r="G24" s="8">
        <v>-2.006824797E7</v>
      </c>
      <c r="H24" s="8">
        <v>2.1509952E7</v>
      </c>
      <c r="I24" s="14">
        <f t="shared" si="1"/>
        <v>1441704.03</v>
      </c>
      <c r="J24" s="131"/>
      <c r="K24" s="17"/>
    </row>
    <row r="25">
      <c r="A25" s="135">
        <v>45646.0</v>
      </c>
      <c r="B25" s="134" t="s">
        <v>515</v>
      </c>
      <c r="C25" s="134" t="s">
        <v>516</v>
      </c>
      <c r="D25" s="135">
        <v>45645.0</v>
      </c>
      <c r="F25" s="8">
        <v>0.0</v>
      </c>
      <c r="G25" s="8">
        <v>-2.006824797E7</v>
      </c>
      <c r="H25" s="8">
        <v>2.1434987E7</v>
      </c>
      <c r="I25" s="14">
        <f t="shared" si="1"/>
        <v>1366739.03</v>
      </c>
      <c r="J25" s="131"/>
      <c r="K25" s="17"/>
    </row>
    <row r="26">
      <c r="A26" s="135">
        <v>45649.0</v>
      </c>
      <c r="B26" s="134" t="s">
        <v>515</v>
      </c>
      <c r="C26" s="134" t="s">
        <v>516</v>
      </c>
      <c r="D26" s="135">
        <v>45646.0</v>
      </c>
      <c r="F26" s="8">
        <v>0.0</v>
      </c>
      <c r="G26" s="8">
        <v>-2.006824797E7</v>
      </c>
      <c r="H26" s="8">
        <v>2.0781112E7</v>
      </c>
      <c r="I26" s="14">
        <f t="shared" si="1"/>
        <v>712864.03</v>
      </c>
      <c r="J26" s="131"/>
      <c r="K26" s="17"/>
    </row>
    <row r="27">
      <c r="A27" s="135">
        <v>45650.0</v>
      </c>
      <c r="B27" s="134" t="s">
        <v>515</v>
      </c>
      <c r="C27" s="134" t="s">
        <v>516</v>
      </c>
      <c r="D27" s="135">
        <v>45649.0</v>
      </c>
      <c r="F27" s="8">
        <v>0.0</v>
      </c>
      <c r="G27" s="8">
        <v>-2.006824797E7</v>
      </c>
      <c r="H27" s="8">
        <v>2.0868048E7</v>
      </c>
      <c r="I27" s="14">
        <f t="shared" si="1"/>
        <v>799800.03</v>
      </c>
      <c r="J27" s="131"/>
      <c r="K27" s="17"/>
    </row>
    <row r="28">
      <c r="A28" s="135">
        <v>45652.0</v>
      </c>
      <c r="B28" s="134" t="s">
        <v>515</v>
      </c>
      <c r="C28" s="134" t="s">
        <v>516</v>
      </c>
      <c r="D28" s="135">
        <v>45650.0</v>
      </c>
      <c r="F28" s="8">
        <v>0.0</v>
      </c>
      <c r="G28" s="8">
        <v>-2.006824797E7</v>
      </c>
      <c r="H28" s="8">
        <v>2.0791374E7</v>
      </c>
      <c r="I28" s="14">
        <f t="shared" si="1"/>
        <v>723126.03</v>
      </c>
      <c r="J28" s="131"/>
      <c r="K28" s="17"/>
    </row>
    <row r="29">
      <c r="A29" s="135">
        <v>45653.0</v>
      </c>
      <c r="B29" s="134" t="s">
        <v>515</v>
      </c>
      <c r="C29" s="134" t="s">
        <v>516</v>
      </c>
      <c r="D29" s="135">
        <v>45652.0</v>
      </c>
      <c r="F29" s="8">
        <v>0.0</v>
      </c>
      <c r="G29" s="8">
        <v>-2.006824797E7</v>
      </c>
      <c r="H29" s="8">
        <v>2.0926756E7</v>
      </c>
      <c r="I29" s="14">
        <f t="shared" si="1"/>
        <v>858508.03</v>
      </c>
      <c r="J29" s="131"/>
      <c r="K29" s="17"/>
    </row>
    <row r="30">
      <c r="A30" s="135">
        <v>45656.0</v>
      </c>
      <c r="B30" s="134" t="s">
        <v>515</v>
      </c>
      <c r="C30" s="134" t="s">
        <v>516</v>
      </c>
      <c r="D30" s="135">
        <v>45653.0</v>
      </c>
      <c r="F30" s="8">
        <v>0.0</v>
      </c>
      <c r="G30" s="8">
        <v>-2.006824797E7</v>
      </c>
      <c r="H30" s="8">
        <v>2.0957145E7</v>
      </c>
      <c r="I30" s="14">
        <f t="shared" si="1"/>
        <v>888897.03</v>
      </c>
      <c r="J30" s="131"/>
      <c r="K30" s="17"/>
    </row>
    <row r="31">
      <c r="A31" s="135">
        <v>45657.0</v>
      </c>
      <c r="B31" s="134" t="s">
        <v>515</v>
      </c>
      <c r="C31" s="134" t="s">
        <v>516</v>
      </c>
      <c r="D31" s="135">
        <v>45656.0</v>
      </c>
      <c r="F31" s="8">
        <v>0.0</v>
      </c>
      <c r="G31" s="8">
        <v>-2.006824797E7</v>
      </c>
      <c r="H31" s="8">
        <v>2.0925222E7</v>
      </c>
      <c r="I31" s="14">
        <f t="shared" si="1"/>
        <v>856974.03</v>
      </c>
      <c r="J31" s="131"/>
      <c r="K31" s="17"/>
    </row>
    <row r="32">
      <c r="A32" s="135">
        <v>45658.0</v>
      </c>
      <c r="B32" s="134" t="s">
        <v>515</v>
      </c>
      <c r="C32" s="134" t="s">
        <v>516</v>
      </c>
      <c r="D32" s="135">
        <v>45657.0</v>
      </c>
      <c r="F32" s="8">
        <v>0.0</v>
      </c>
      <c r="G32" s="8">
        <v>-2.006824797E7</v>
      </c>
      <c r="H32" s="8">
        <v>2.1049316E7</v>
      </c>
      <c r="I32" s="14">
        <f t="shared" si="1"/>
        <v>981068.03</v>
      </c>
      <c r="J32" s="132"/>
      <c r="K32" s="17"/>
    </row>
    <row r="33">
      <c r="A33" s="135">
        <v>45659.0</v>
      </c>
      <c r="B33" s="134" t="s">
        <v>515</v>
      </c>
      <c r="C33" s="134" t="s">
        <v>516</v>
      </c>
      <c r="D33" s="135">
        <v>45658.0</v>
      </c>
      <c r="F33" s="8">
        <v>0.0</v>
      </c>
      <c r="G33" s="8">
        <v>-2.006824797E7</v>
      </c>
      <c r="H33" s="8">
        <v>2.1085781E7</v>
      </c>
      <c r="I33" s="14">
        <f t="shared" si="1"/>
        <v>1017533.03</v>
      </c>
      <c r="J33" s="132"/>
      <c r="K33" s="17"/>
    </row>
    <row r="34">
      <c r="A34" s="135">
        <v>45660.0</v>
      </c>
      <c r="B34" s="134" t="s">
        <v>515</v>
      </c>
      <c r="C34" s="134" t="s">
        <v>516</v>
      </c>
      <c r="D34" s="135">
        <v>45659.0</v>
      </c>
      <c r="F34" s="8">
        <v>0.0</v>
      </c>
      <c r="G34" s="8">
        <v>-2.006824797E7</v>
      </c>
      <c r="H34" s="8">
        <v>2.1401709E7</v>
      </c>
      <c r="I34" s="14">
        <f t="shared" si="1"/>
        <v>1333461.03</v>
      </c>
      <c r="J34" s="132"/>
      <c r="K34" s="17"/>
    </row>
    <row r="35">
      <c r="A35" s="135">
        <v>45663.0</v>
      </c>
      <c r="B35" s="134" t="s">
        <v>515</v>
      </c>
      <c r="C35" s="134" t="s">
        <v>516</v>
      </c>
      <c r="D35" s="135">
        <v>45660.0</v>
      </c>
      <c r="F35" s="8">
        <v>0.0</v>
      </c>
      <c r="G35" s="8">
        <v>-2.006824797E7</v>
      </c>
      <c r="H35" s="8">
        <v>2.1223091E7</v>
      </c>
      <c r="I35" s="14">
        <f t="shared" si="1"/>
        <v>1154843.03</v>
      </c>
      <c r="J35" s="132"/>
      <c r="K35" s="17"/>
    </row>
    <row r="36">
      <c r="A36" s="135">
        <v>45664.0</v>
      </c>
      <c r="B36" s="134" t="s">
        <v>515</v>
      </c>
      <c r="C36" s="134" t="s">
        <v>516</v>
      </c>
      <c r="D36" s="135">
        <v>45663.0</v>
      </c>
      <c r="F36" s="8">
        <v>0.0</v>
      </c>
      <c r="G36" s="8">
        <v>-2.006824797E7</v>
      </c>
      <c r="H36" s="8">
        <v>2.0612897E7</v>
      </c>
      <c r="I36" s="14">
        <f t="shared" si="1"/>
        <v>544649.03</v>
      </c>
      <c r="J36" s="132"/>
      <c r="K36" s="17"/>
    </row>
    <row r="37">
      <c r="A37" s="135">
        <v>45665.0</v>
      </c>
      <c r="B37" s="134" t="s">
        <v>515</v>
      </c>
      <c r="C37" s="134" t="s">
        <v>516</v>
      </c>
      <c r="D37" s="135">
        <v>45664.0</v>
      </c>
      <c r="F37" s="8">
        <v>0.0</v>
      </c>
      <c r="G37" s="8">
        <v>-2.006824797E7</v>
      </c>
      <c r="H37" s="8">
        <v>2.0753023E7</v>
      </c>
      <c r="I37" s="14">
        <f t="shared" si="1"/>
        <v>684775.03</v>
      </c>
      <c r="J37" s="132"/>
      <c r="K37" s="17"/>
    </row>
    <row r="38">
      <c r="A38" s="135">
        <v>45666.0</v>
      </c>
      <c r="B38" s="134" t="s">
        <v>515</v>
      </c>
      <c r="C38" s="134" t="s">
        <v>516</v>
      </c>
      <c r="D38" s="135">
        <v>45665.0</v>
      </c>
      <c r="F38" s="8">
        <v>0.0</v>
      </c>
      <c r="G38" s="8">
        <v>-2.006824797E7</v>
      </c>
      <c r="H38" s="8">
        <v>2.0346572E7</v>
      </c>
      <c r="I38" s="14">
        <f t="shared" si="1"/>
        <v>278324.03</v>
      </c>
      <c r="J38" s="132"/>
      <c r="K38" s="17"/>
    </row>
    <row r="39">
      <c r="A39" s="135">
        <v>45667.0</v>
      </c>
      <c r="B39" s="134" t="s">
        <v>515</v>
      </c>
      <c r="C39" s="134" t="s">
        <v>516</v>
      </c>
      <c r="D39" s="135">
        <v>45666.0</v>
      </c>
      <c r="F39" s="8">
        <v>0.0</v>
      </c>
      <c r="G39" s="8">
        <v>-2.006824797E7</v>
      </c>
      <c r="H39" s="8">
        <v>2.0138703E7</v>
      </c>
      <c r="I39" s="14">
        <f t="shared" si="1"/>
        <v>70455.03</v>
      </c>
      <c r="J39" s="132"/>
      <c r="K39" s="17"/>
    </row>
    <row r="40">
      <c r="A40" s="135">
        <v>45670.0</v>
      </c>
      <c r="B40" s="134" t="s">
        <v>515</v>
      </c>
      <c r="C40" s="134" t="s">
        <v>516</v>
      </c>
      <c r="D40" s="135">
        <v>45667.0</v>
      </c>
      <c r="F40" s="8">
        <v>0.0</v>
      </c>
      <c r="G40" s="8">
        <v>-2.006824797E7</v>
      </c>
      <c r="H40" s="8">
        <v>1.9796424E7</v>
      </c>
      <c r="I40" s="14">
        <f t="shared" si="1"/>
        <v>-271823.97</v>
      </c>
      <c r="J40" s="132"/>
      <c r="K40" s="17"/>
    </row>
    <row r="41">
      <c r="A41" s="135">
        <v>45671.0</v>
      </c>
      <c r="B41" s="134" t="s">
        <v>515</v>
      </c>
      <c r="C41" s="134" t="s">
        <v>516</v>
      </c>
      <c r="D41" s="135">
        <v>45670.0</v>
      </c>
      <c r="F41" s="8">
        <v>0.0</v>
      </c>
      <c r="G41" s="8">
        <v>-2.006824797E7</v>
      </c>
      <c r="H41" s="8">
        <v>1.8997324E7</v>
      </c>
      <c r="I41" s="14">
        <f t="shared" si="1"/>
        <v>-1070923.97</v>
      </c>
      <c r="J41" s="132"/>
      <c r="K41" s="17"/>
    </row>
    <row r="42">
      <c r="A42" s="135">
        <v>45672.0</v>
      </c>
      <c r="B42" s="134" t="s">
        <v>515</v>
      </c>
      <c r="C42" s="134" t="s">
        <v>516</v>
      </c>
      <c r="D42" s="135">
        <v>45671.0</v>
      </c>
      <c r="F42" s="8">
        <v>0.0</v>
      </c>
      <c r="G42" s="8">
        <v>-2.006824797E7</v>
      </c>
      <c r="H42" s="8">
        <v>1.9309575E7</v>
      </c>
      <c r="I42" s="14">
        <f t="shared" si="1"/>
        <v>-758672.97</v>
      </c>
      <c r="J42" s="132"/>
      <c r="K42" s="17"/>
    </row>
    <row r="43">
      <c r="A43" s="135">
        <v>45673.0</v>
      </c>
      <c r="B43" s="134" t="s">
        <v>515</v>
      </c>
      <c r="C43" s="134" t="s">
        <v>516</v>
      </c>
      <c r="D43" s="135">
        <v>45672.0</v>
      </c>
      <c r="F43" s="8">
        <v>0.0</v>
      </c>
      <c r="G43" s="8">
        <v>-2.006824797E7</v>
      </c>
      <c r="H43" s="8">
        <v>1.934073E7</v>
      </c>
      <c r="I43" s="14">
        <f t="shared" si="1"/>
        <v>-727517.97</v>
      </c>
      <c r="J43" s="132"/>
      <c r="K43" s="17"/>
    </row>
    <row r="44">
      <c r="A44" s="135">
        <v>45674.0</v>
      </c>
      <c r="B44" s="134" t="s">
        <v>515</v>
      </c>
      <c r="C44" s="134" t="s">
        <v>516</v>
      </c>
      <c r="D44" s="135">
        <v>45673.0</v>
      </c>
      <c r="F44" s="8">
        <v>0.0</v>
      </c>
      <c r="G44" s="8">
        <v>-2.006824797E7</v>
      </c>
      <c r="H44" s="8">
        <v>1.9345472E7</v>
      </c>
      <c r="I44" s="14">
        <f t="shared" si="1"/>
        <v>-722775.97</v>
      </c>
      <c r="J44" s="132"/>
      <c r="K44" s="17"/>
    </row>
    <row r="45">
      <c r="A45" s="135">
        <v>45677.0</v>
      </c>
      <c r="B45" s="134" t="s">
        <v>515</v>
      </c>
      <c r="C45" s="134" t="s">
        <v>516</v>
      </c>
      <c r="D45" s="135">
        <v>45674.0</v>
      </c>
      <c r="F45" s="8">
        <v>0.0</v>
      </c>
      <c r="G45" s="8">
        <v>-2.006824797E7</v>
      </c>
      <c r="H45" s="8">
        <v>1.9466386E7</v>
      </c>
      <c r="I45" s="14">
        <f t="shared" si="1"/>
        <v>-601861.97</v>
      </c>
      <c r="J45" s="132"/>
      <c r="K45" s="17"/>
    </row>
    <row r="46">
      <c r="A46" s="135">
        <v>45678.0</v>
      </c>
      <c r="B46" s="134" t="s">
        <v>515</v>
      </c>
      <c r="C46" s="134" t="s">
        <v>516</v>
      </c>
      <c r="D46" s="135">
        <v>45677.0</v>
      </c>
      <c r="F46" s="8">
        <v>0.0</v>
      </c>
      <c r="G46" s="8">
        <v>-2.006824797E7</v>
      </c>
      <c r="H46" s="8">
        <v>1.9546701E7</v>
      </c>
      <c r="I46" s="14">
        <f t="shared" si="1"/>
        <v>-521546.97</v>
      </c>
      <c r="J46" s="132"/>
      <c r="K46" s="17"/>
    </row>
    <row r="47">
      <c r="A47" s="135">
        <v>45679.0</v>
      </c>
      <c r="B47" s="134" t="s">
        <v>515</v>
      </c>
      <c r="C47" s="134" t="s">
        <v>516</v>
      </c>
      <c r="D47" s="135">
        <v>45678.0</v>
      </c>
      <c r="F47" s="8">
        <v>0.0</v>
      </c>
      <c r="G47" s="8">
        <v>-2.006824797E7</v>
      </c>
      <c r="H47" s="8">
        <v>1.8832632E7</v>
      </c>
      <c r="I47" s="14">
        <f t="shared" si="1"/>
        <v>-1235615.97</v>
      </c>
      <c r="J47" s="132"/>
      <c r="K47" s="17"/>
    </row>
    <row r="48">
      <c r="A48" s="135">
        <v>45680.0</v>
      </c>
      <c r="B48" s="134" t="s">
        <v>515</v>
      </c>
      <c r="C48" s="134" t="s">
        <v>516</v>
      </c>
      <c r="D48" s="135">
        <v>45679.0</v>
      </c>
      <c r="F48" s="8">
        <v>0.0</v>
      </c>
      <c r="G48" s="8">
        <v>-2.006824797E7</v>
      </c>
      <c r="H48" s="8">
        <v>1.8645379E7</v>
      </c>
      <c r="I48" s="14">
        <f t="shared" si="1"/>
        <v>-1422868.97</v>
      </c>
      <c r="J48" s="132"/>
      <c r="K48" s="17"/>
    </row>
    <row r="49">
      <c r="A49" s="135">
        <v>45681.0</v>
      </c>
      <c r="B49" s="134" t="s">
        <v>515</v>
      </c>
      <c r="C49" s="134" t="s">
        <v>516</v>
      </c>
      <c r="D49" s="135">
        <v>45680.0</v>
      </c>
      <c r="F49" s="8">
        <v>0.0</v>
      </c>
      <c r="G49" s="8">
        <v>-2.006824797E7</v>
      </c>
      <c r="H49" s="8">
        <v>1.9012265E7</v>
      </c>
      <c r="I49" s="14">
        <f t="shared" si="1"/>
        <v>-1055982.97</v>
      </c>
      <c r="J49" s="132"/>
      <c r="K49" s="17"/>
    </row>
    <row r="50">
      <c r="A50" s="135">
        <v>45684.0</v>
      </c>
      <c r="B50" s="134" t="s">
        <v>515</v>
      </c>
      <c r="C50" s="134" t="s">
        <v>516</v>
      </c>
      <c r="D50" s="135">
        <v>45681.0</v>
      </c>
      <c r="F50" s="8">
        <v>0.0</v>
      </c>
      <c r="G50" s="8">
        <v>-2.006824797E7</v>
      </c>
      <c r="H50" s="8">
        <v>1.8669521E7</v>
      </c>
      <c r="I50" s="14">
        <f t="shared" si="1"/>
        <v>-1398726.97</v>
      </c>
      <c r="J50" s="132"/>
      <c r="K50" s="17"/>
    </row>
    <row r="51">
      <c r="A51" s="135">
        <v>45685.0</v>
      </c>
      <c r="B51" s="134" t="s">
        <v>515</v>
      </c>
      <c r="C51" s="134" t="s">
        <v>516</v>
      </c>
      <c r="D51" s="135">
        <v>45684.0</v>
      </c>
      <c r="F51" s="8">
        <v>0.0</v>
      </c>
      <c r="G51" s="8">
        <v>-2.006824797E7</v>
      </c>
      <c r="H51" s="8">
        <v>1.8183148E7</v>
      </c>
      <c r="I51" s="14">
        <f t="shared" si="1"/>
        <v>-1885099.97</v>
      </c>
      <c r="J51" s="132"/>
      <c r="K51" s="17"/>
    </row>
    <row r="52">
      <c r="A52" s="135">
        <v>45686.0</v>
      </c>
      <c r="B52" s="134" t="s">
        <v>515</v>
      </c>
      <c r="C52" s="134" t="s">
        <v>516</v>
      </c>
      <c r="D52" s="135">
        <v>45685.0</v>
      </c>
      <c r="F52" s="8">
        <v>0.0</v>
      </c>
      <c r="G52" s="8">
        <v>-2.006824797E7</v>
      </c>
      <c r="H52" s="8">
        <v>1.7962437E7</v>
      </c>
      <c r="I52" s="14">
        <f t="shared" si="1"/>
        <v>-2105810.97</v>
      </c>
      <c r="J52" s="132"/>
      <c r="K52" s="17"/>
    </row>
    <row r="53">
      <c r="A53" s="135">
        <v>45687.0</v>
      </c>
      <c r="B53" s="134" t="s">
        <v>515</v>
      </c>
      <c r="C53" s="134" t="s">
        <v>516</v>
      </c>
      <c r="D53" s="135">
        <v>45686.0</v>
      </c>
      <c r="F53" s="8">
        <v>0.0</v>
      </c>
      <c r="G53" s="8">
        <v>-2.006824797E7</v>
      </c>
      <c r="H53" s="8">
        <v>1.8362801E7</v>
      </c>
      <c r="I53" s="14">
        <f t="shared" si="1"/>
        <v>-1705446.97</v>
      </c>
      <c r="J53" s="132"/>
      <c r="K53" s="17"/>
    </row>
    <row r="54">
      <c r="A54" s="135">
        <v>45688.0</v>
      </c>
      <c r="B54" s="134" t="s">
        <v>515</v>
      </c>
      <c r="C54" s="134" t="s">
        <v>516</v>
      </c>
      <c r="D54" s="135">
        <v>45687.0</v>
      </c>
      <c r="F54" s="8">
        <v>0.0</v>
      </c>
      <c r="G54" s="8">
        <v>-2.006824797E7</v>
      </c>
      <c r="H54" s="8">
        <v>1.8199545E7</v>
      </c>
      <c r="I54" s="14">
        <f t="shared" si="1"/>
        <v>-1868702.97</v>
      </c>
      <c r="J54" s="132"/>
      <c r="K54" s="17"/>
    </row>
    <row r="55">
      <c r="A55" s="135">
        <v>45689.0</v>
      </c>
      <c r="B55" s="134" t="s">
        <v>515</v>
      </c>
      <c r="C55" s="134" t="s">
        <v>516</v>
      </c>
      <c r="D55" s="135">
        <v>45688.0</v>
      </c>
      <c r="F55" s="8">
        <v>0.0</v>
      </c>
      <c r="G55" s="8">
        <v>-2.006824797E7</v>
      </c>
      <c r="H55" s="8">
        <v>1.8537984E7</v>
      </c>
      <c r="I55" s="14">
        <f t="shared" si="1"/>
        <v>-1530263.97</v>
      </c>
      <c r="J55" s="132"/>
      <c r="K55" s="17"/>
    </row>
    <row r="56">
      <c r="A56" s="135">
        <v>45691.0</v>
      </c>
      <c r="B56" s="134" t="s">
        <v>515</v>
      </c>
      <c r="C56" s="134" t="s">
        <v>516</v>
      </c>
      <c r="D56" s="135">
        <v>45689.0</v>
      </c>
      <c r="F56" s="8">
        <v>0.0</v>
      </c>
      <c r="G56" s="8">
        <v>-2.006824797E7</v>
      </c>
      <c r="H56" s="8">
        <v>1.8449602E7</v>
      </c>
      <c r="I56" s="14">
        <f t="shared" si="1"/>
        <v>-1618645.97</v>
      </c>
      <c r="J56" s="132"/>
      <c r="K56" s="17"/>
    </row>
    <row r="57">
      <c r="A57" s="135">
        <v>45692.0</v>
      </c>
      <c r="B57" s="134" t="s">
        <v>515</v>
      </c>
      <c r="C57" s="134" t="s">
        <v>516</v>
      </c>
      <c r="D57" s="135">
        <v>45691.0</v>
      </c>
      <c r="F57" s="8">
        <v>0.0</v>
      </c>
      <c r="G57" s="8">
        <v>-2.006824797E7</v>
      </c>
      <c r="H57" s="8">
        <v>1.8170004E7</v>
      </c>
      <c r="I57" s="14">
        <f t="shared" si="1"/>
        <v>-1898243.97</v>
      </c>
      <c r="J57" s="132"/>
      <c r="K57" s="17"/>
    </row>
    <row r="58">
      <c r="A58" s="135">
        <v>45693.0</v>
      </c>
      <c r="B58" s="134" t="s">
        <v>515</v>
      </c>
      <c r="C58" s="134" t="s">
        <v>516</v>
      </c>
      <c r="D58" s="135">
        <v>45692.0</v>
      </c>
      <c r="F58" s="8">
        <v>0.0</v>
      </c>
      <c r="G58" s="8">
        <v>-2.006824797E7</v>
      </c>
      <c r="H58" s="8">
        <v>1.8523999E7</v>
      </c>
      <c r="I58" s="14">
        <f t="shared" si="1"/>
        <v>-1544248.97</v>
      </c>
      <c r="J58" s="132"/>
      <c r="K58" s="17"/>
    </row>
    <row r="59">
      <c r="A59" s="135">
        <v>45694.0</v>
      </c>
      <c r="B59" s="134" t="s">
        <v>515</v>
      </c>
      <c r="C59" s="134" t="s">
        <v>516</v>
      </c>
      <c r="D59" s="135">
        <v>45693.0</v>
      </c>
      <c r="F59" s="8">
        <v>0.0</v>
      </c>
      <c r="G59" s="8">
        <v>-2.006824797E7</v>
      </c>
      <c r="H59" s="8">
        <v>1.8782863E7</v>
      </c>
      <c r="I59" s="14">
        <f t="shared" si="1"/>
        <v>-1285384.97</v>
      </c>
      <c r="J59" s="132"/>
      <c r="K59" s="17"/>
    </row>
    <row r="60">
      <c r="A60" s="135">
        <v>45695.0</v>
      </c>
      <c r="B60" s="134" t="s">
        <v>515</v>
      </c>
      <c r="C60" s="134" t="s">
        <v>516</v>
      </c>
      <c r="D60" s="135">
        <v>45694.0</v>
      </c>
      <c r="F60" s="8">
        <v>0.0</v>
      </c>
      <c r="G60" s="8">
        <v>-2.006824797E7</v>
      </c>
      <c r="H60" s="8">
        <v>1.8540811E7</v>
      </c>
      <c r="I60" s="14">
        <f t="shared" si="1"/>
        <v>-1527436.97</v>
      </c>
      <c r="J60" s="132"/>
      <c r="K60" s="17"/>
    </row>
    <row r="61">
      <c r="A61" s="135">
        <v>45698.0</v>
      </c>
      <c r="B61" s="134" t="s">
        <v>515</v>
      </c>
      <c r="C61" s="134" t="s">
        <v>516</v>
      </c>
      <c r="D61" s="135">
        <v>45695.0</v>
      </c>
      <c r="F61" s="8">
        <v>0.0</v>
      </c>
      <c r="G61" s="8">
        <v>-2.006824797E7</v>
      </c>
      <c r="H61" s="8">
        <v>1.8754639E7</v>
      </c>
      <c r="I61" s="14">
        <f t="shared" si="1"/>
        <v>-1313608.97</v>
      </c>
      <c r="J61" s="132"/>
      <c r="K61" s="17"/>
    </row>
    <row r="62">
      <c r="A62" s="135">
        <v>45699.0</v>
      </c>
      <c r="B62" s="134" t="s">
        <v>515</v>
      </c>
      <c r="C62" s="134" t="s">
        <v>516</v>
      </c>
      <c r="D62" s="135">
        <v>45698.0</v>
      </c>
      <c r="F62" s="8">
        <v>0.0</v>
      </c>
      <c r="G62" s="8">
        <v>-2.006824797E7</v>
      </c>
      <c r="H62" s="8">
        <v>1.8308548E7</v>
      </c>
      <c r="I62" s="14">
        <f t="shared" si="1"/>
        <v>-1759699.97</v>
      </c>
      <c r="J62" s="132"/>
      <c r="K62" s="17"/>
    </row>
    <row r="63">
      <c r="A63" s="135">
        <v>45700.0</v>
      </c>
      <c r="B63" s="134" t="s">
        <v>515</v>
      </c>
      <c r="C63" s="134" t="s">
        <v>516</v>
      </c>
      <c r="D63" s="135">
        <v>45699.0</v>
      </c>
      <c r="F63" s="8">
        <v>0.0</v>
      </c>
      <c r="G63" s="8">
        <v>-2.006824797E7</v>
      </c>
      <c r="H63" s="8">
        <v>1.7825146E7</v>
      </c>
      <c r="I63" s="14">
        <f t="shared" si="1"/>
        <v>-2243101.97</v>
      </c>
      <c r="J63" s="132"/>
      <c r="K63" s="17"/>
    </row>
    <row r="64">
      <c r="A64" s="135">
        <v>45701.0</v>
      </c>
      <c r="B64" s="134" t="s">
        <v>515</v>
      </c>
      <c r="C64" s="134" t="s">
        <v>516</v>
      </c>
      <c r="D64" s="135">
        <v>45700.0</v>
      </c>
      <c r="F64" s="8">
        <v>0.0</v>
      </c>
      <c r="G64" s="8">
        <v>-2.006824797E7</v>
      </c>
      <c r="H64" s="8">
        <v>1.7724606E7</v>
      </c>
      <c r="I64" s="14">
        <f t="shared" si="1"/>
        <v>-2343641.97</v>
      </c>
      <c r="J64" s="132"/>
      <c r="K64" s="17"/>
    </row>
    <row r="65">
      <c r="A65" s="135">
        <v>45702.0</v>
      </c>
      <c r="B65" s="134" t="s">
        <v>515</v>
      </c>
      <c r="C65" s="134" t="s">
        <v>516</v>
      </c>
      <c r="D65" s="135">
        <v>45701.0</v>
      </c>
      <c r="F65" s="8">
        <v>0.0</v>
      </c>
      <c r="G65" s="8">
        <v>-2.006824797E7</v>
      </c>
      <c r="H65" s="8">
        <v>1.7726377E7</v>
      </c>
      <c r="I65" s="14">
        <f t="shared" si="1"/>
        <v>-2341870.97</v>
      </c>
      <c r="J65" s="132"/>
      <c r="K65" s="17"/>
    </row>
    <row r="66">
      <c r="A66" s="135">
        <v>45705.0</v>
      </c>
      <c r="B66" s="134" t="s">
        <v>515</v>
      </c>
      <c r="C66" s="134" t="s">
        <v>516</v>
      </c>
      <c r="D66" s="135">
        <v>45702.0</v>
      </c>
      <c r="F66" s="8">
        <v>0.0</v>
      </c>
      <c r="G66" s="8">
        <v>-2.006824797E7</v>
      </c>
      <c r="H66" s="8">
        <v>1.7188394E7</v>
      </c>
      <c r="I66" s="14">
        <f t="shared" si="1"/>
        <v>-2879853.97</v>
      </c>
    </row>
    <row r="67">
      <c r="A67" s="135">
        <v>45706.0</v>
      </c>
      <c r="B67" s="134" t="s">
        <v>515</v>
      </c>
      <c r="C67" s="134" t="s">
        <v>516</v>
      </c>
      <c r="D67" s="135">
        <v>45705.0</v>
      </c>
      <c r="F67" s="8">
        <v>0.0</v>
      </c>
      <c r="G67" s="8">
        <v>-2.006824797E7</v>
      </c>
      <c r="H67" s="8">
        <v>1.7222319E7</v>
      </c>
      <c r="I67" s="14">
        <f t="shared" si="1"/>
        <v>-2845928.97</v>
      </c>
    </row>
    <row r="68">
      <c r="A68" s="136">
        <v>45708.0</v>
      </c>
      <c r="B68" s="134" t="s">
        <v>391</v>
      </c>
      <c r="C68" s="134" t="s">
        <v>393</v>
      </c>
      <c r="D68" s="136">
        <v>45706.0</v>
      </c>
      <c r="E68" s="101">
        <v>708760.19</v>
      </c>
      <c r="F68" s="109">
        <v>0.0</v>
      </c>
      <c r="G68" s="137">
        <v>-2.077700816E7</v>
      </c>
      <c r="H68" s="137">
        <v>1.77216E7</v>
      </c>
      <c r="I68" s="109">
        <f t="shared" si="1"/>
        <v>-3055408.16</v>
      </c>
    </row>
    <row r="69">
      <c r="A69" s="136">
        <v>45708.0</v>
      </c>
      <c r="B69" s="134" t="s">
        <v>391</v>
      </c>
      <c r="C69" s="134" t="s">
        <v>393</v>
      </c>
      <c r="D69" s="136">
        <v>45707.0</v>
      </c>
      <c r="E69" s="138"/>
      <c r="F69" s="109">
        <v>0.0</v>
      </c>
      <c r="G69" s="137">
        <v>-2.077700816E7</v>
      </c>
      <c r="H69" s="137">
        <v>1.8181092E7</v>
      </c>
      <c r="I69" s="109">
        <f t="shared" si="1"/>
        <v>-2595916.16</v>
      </c>
    </row>
    <row r="70">
      <c r="A70" s="136">
        <v>45709.0</v>
      </c>
      <c r="B70" s="134" t="s">
        <v>391</v>
      </c>
      <c r="C70" s="134" t="s">
        <v>393</v>
      </c>
      <c r="D70" s="136">
        <v>45708.0</v>
      </c>
      <c r="E70" s="138"/>
      <c r="F70" s="109">
        <v>0.0</v>
      </c>
      <c r="G70" s="137">
        <v>-2.077700816E7</v>
      </c>
      <c r="H70" s="137">
        <v>1.8419E7</v>
      </c>
      <c r="I70" s="109">
        <f t="shared" si="1"/>
        <v>-2358008.16</v>
      </c>
    </row>
    <row r="71">
      <c r="A71" s="136">
        <v>45712.0</v>
      </c>
      <c r="B71" s="134" t="s">
        <v>391</v>
      </c>
      <c r="C71" s="134" t="s">
        <v>393</v>
      </c>
      <c r="D71" s="136">
        <v>45709.0</v>
      </c>
      <c r="E71" s="138"/>
      <c r="F71" s="109">
        <v>0.0</v>
      </c>
      <c r="G71" s="137">
        <v>-2.077700816E7</v>
      </c>
      <c r="H71" s="137">
        <v>1.8322508E7</v>
      </c>
      <c r="I71" s="109">
        <f t="shared" si="1"/>
        <v>-2454500.16</v>
      </c>
    </row>
    <row r="72">
      <c r="A72" s="136">
        <v>45713.0</v>
      </c>
      <c r="B72" s="134" t="s">
        <v>391</v>
      </c>
      <c r="C72" s="134" t="s">
        <v>393</v>
      </c>
      <c r="D72" s="136">
        <v>45712.0</v>
      </c>
      <c r="E72" s="138"/>
      <c r="F72" s="109">
        <v>0.0</v>
      </c>
      <c r="G72" s="137">
        <v>-2.077700816E7</v>
      </c>
      <c r="H72" s="137">
        <v>1.8108057E7</v>
      </c>
      <c r="I72" s="109">
        <f t="shared" si="1"/>
        <v>-2668951.16</v>
      </c>
    </row>
    <row r="73">
      <c r="A73" s="136">
        <v>45715.0</v>
      </c>
      <c r="B73" s="134" t="s">
        <v>391</v>
      </c>
      <c r="C73" s="134" t="s">
        <v>393</v>
      </c>
      <c r="D73" s="136">
        <v>45713.0</v>
      </c>
      <c r="E73" s="138"/>
      <c r="F73" s="109">
        <v>0.0</v>
      </c>
      <c r="G73" s="137">
        <v>-2.077700816E7</v>
      </c>
      <c r="H73" s="137">
        <v>1.7986699E7</v>
      </c>
      <c r="I73" s="109">
        <f t="shared" si="1"/>
        <v>-2790309.16</v>
      </c>
    </row>
    <row r="74">
      <c r="A74" s="136">
        <v>45716.0</v>
      </c>
      <c r="B74" s="134" t="s">
        <v>391</v>
      </c>
      <c r="C74" s="134" t="s">
        <v>393</v>
      </c>
      <c r="D74" s="136">
        <v>45715.0</v>
      </c>
      <c r="E74" s="138"/>
      <c r="F74" s="109">
        <v>0.0</v>
      </c>
      <c r="G74" s="137">
        <v>-2.077700816E7</v>
      </c>
      <c r="H74" s="137">
        <v>1.7563122E7</v>
      </c>
      <c r="I74" s="109">
        <f t="shared" si="1"/>
        <v>-3213886.16</v>
      </c>
    </row>
    <row r="75">
      <c r="A75" s="136">
        <v>45719.0</v>
      </c>
      <c r="B75" s="134" t="s">
        <v>391</v>
      </c>
      <c r="C75" s="134" t="s">
        <v>393</v>
      </c>
      <c r="D75" s="136">
        <v>45716.0</v>
      </c>
      <c r="E75" s="138"/>
      <c r="F75" s="109">
        <v>0.0</v>
      </c>
      <c r="G75" s="137">
        <v>-2.077700816E7</v>
      </c>
      <c r="H75" s="137">
        <v>1.6987294E7</v>
      </c>
      <c r="I75" s="109">
        <f t="shared" si="1"/>
        <v>-3789714.16</v>
      </c>
    </row>
    <row r="76">
      <c r="A76" s="136">
        <v>45720.0</v>
      </c>
      <c r="B76" s="134" t="s">
        <v>391</v>
      </c>
      <c r="C76" s="134" t="s">
        <v>393</v>
      </c>
      <c r="D76" s="136">
        <v>45719.0</v>
      </c>
      <c r="E76" s="138"/>
      <c r="F76" s="109">
        <v>0.0</v>
      </c>
      <c r="G76" s="137">
        <v>-2.077700816E7</v>
      </c>
      <c r="H76" s="137">
        <v>1.6744867E7</v>
      </c>
      <c r="I76" s="109">
        <f t="shared" si="1"/>
        <v>-4032141.16</v>
      </c>
    </row>
    <row r="77">
      <c r="A77" s="136">
        <v>45721.0</v>
      </c>
      <c r="B77" s="134" t="s">
        <v>391</v>
      </c>
      <c r="C77" s="134" t="s">
        <v>393</v>
      </c>
      <c r="D77" s="136">
        <v>45720.0</v>
      </c>
      <c r="E77" s="138"/>
      <c r="F77" s="109">
        <v>0.0</v>
      </c>
      <c r="G77" s="137">
        <v>-2.077700816E7</v>
      </c>
      <c r="H77" s="137">
        <v>1.7162033E7</v>
      </c>
      <c r="I77" s="109">
        <f t="shared" si="1"/>
        <v>-3614975.16</v>
      </c>
    </row>
    <row r="78">
      <c r="A78" s="136">
        <v>45722.0</v>
      </c>
      <c r="B78" s="134" t="s">
        <v>391</v>
      </c>
      <c r="C78" s="134" t="s">
        <v>393</v>
      </c>
      <c r="D78" s="136">
        <v>45721.0</v>
      </c>
      <c r="E78" s="138"/>
      <c r="F78" s="109">
        <v>0.0</v>
      </c>
      <c r="G78" s="137">
        <v>-2.077700816E7</v>
      </c>
      <c r="H78" s="137">
        <v>1.7551333E7</v>
      </c>
      <c r="I78" s="109">
        <f t="shared" si="1"/>
        <v>-3225675.16</v>
      </c>
    </row>
    <row r="79">
      <c r="A79" s="136">
        <v>45723.0</v>
      </c>
      <c r="B79" s="134" t="s">
        <v>391</v>
      </c>
      <c r="C79" s="134" t="s">
        <v>393</v>
      </c>
      <c r="D79" s="136">
        <v>45722.0</v>
      </c>
      <c r="E79" s="138"/>
      <c r="F79" s="109">
        <v>0.0</v>
      </c>
      <c r="G79" s="137">
        <v>-2.077700816E7</v>
      </c>
      <c r="H79" s="137">
        <v>1.7938499E7</v>
      </c>
      <c r="I79" s="109">
        <f t="shared" si="1"/>
        <v>-2838509.16</v>
      </c>
    </row>
    <row r="80">
      <c r="A80" s="136">
        <v>45726.0</v>
      </c>
      <c r="B80" s="134" t="s">
        <v>391</v>
      </c>
      <c r="C80" s="134" t="s">
        <v>393</v>
      </c>
      <c r="D80" s="136">
        <v>45723.0</v>
      </c>
      <c r="E80" s="138"/>
      <c r="F80" s="109">
        <v>0.0</v>
      </c>
      <c r="G80" s="137">
        <v>-2.077700816E7</v>
      </c>
      <c r="H80" s="137">
        <v>1.8170151E7</v>
      </c>
      <c r="I80" s="109">
        <f t="shared" si="1"/>
        <v>-2606857.16</v>
      </c>
    </row>
    <row r="81">
      <c r="A81" s="136">
        <v>45727.0</v>
      </c>
      <c r="B81" s="134" t="s">
        <v>391</v>
      </c>
      <c r="C81" s="134" t="s">
        <v>393</v>
      </c>
      <c r="D81" s="136">
        <v>45726.0</v>
      </c>
      <c r="E81" s="138"/>
      <c r="F81" s="109">
        <v>0.0</v>
      </c>
      <c r="G81" s="137">
        <v>-2.077700816E7</v>
      </c>
      <c r="H81" s="137">
        <v>1.7880238E7</v>
      </c>
      <c r="I81" s="109">
        <f t="shared" si="1"/>
        <v>-2896770.16</v>
      </c>
    </row>
    <row r="82">
      <c r="A82" s="136">
        <v>45728.0</v>
      </c>
      <c r="B82" s="134" t="s">
        <v>391</v>
      </c>
      <c r="C82" s="134" t="s">
        <v>393</v>
      </c>
      <c r="D82" s="136">
        <v>45727.0</v>
      </c>
      <c r="E82" s="138"/>
      <c r="F82" s="109">
        <v>0.0</v>
      </c>
      <c r="G82" s="137">
        <v>-2.077700816E7</v>
      </c>
      <c r="H82" s="137">
        <v>1.7765985E7</v>
      </c>
      <c r="I82" s="109">
        <f t="shared" si="1"/>
        <v>-3011023.16</v>
      </c>
    </row>
    <row r="83">
      <c r="A83" s="136">
        <v>45729.0</v>
      </c>
      <c r="B83" s="134" t="s">
        <v>391</v>
      </c>
      <c r="C83" s="134" t="s">
        <v>393</v>
      </c>
      <c r="D83" s="136">
        <v>45728.0</v>
      </c>
      <c r="E83" s="138"/>
      <c r="F83" s="109">
        <v>0.0</v>
      </c>
      <c r="G83" s="137">
        <v>-2.077700816E7</v>
      </c>
      <c r="H83" s="137">
        <v>1.7706787E7</v>
      </c>
      <c r="I83" s="109">
        <f t="shared" si="1"/>
        <v>-3070221.16</v>
      </c>
    </row>
    <row r="84">
      <c r="A84" s="136">
        <v>45733.0</v>
      </c>
      <c r="B84" s="134" t="s">
        <v>391</v>
      </c>
      <c r="C84" s="134" t="s">
        <v>393</v>
      </c>
      <c r="D84" s="136">
        <v>45729.0</v>
      </c>
      <c r="E84" s="138"/>
      <c r="F84" s="109">
        <v>0.0</v>
      </c>
      <c r="G84" s="137">
        <v>-2.077700816E7</v>
      </c>
      <c r="H84" s="137">
        <v>1.7693947E7</v>
      </c>
      <c r="I84" s="109">
        <f t="shared" si="1"/>
        <v>-3083061.16</v>
      </c>
    </row>
    <row r="85">
      <c r="A85" s="136">
        <v>45734.0</v>
      </c>
      <c r="B85" s="134" t="s">
        <v>391</v>
      </c>
      <c r="C85" s="134" t="s">
        <v>393</v>
      </c>
      <c r="D85" s="136">
        <v>45733.0</v>
      </c>
      <c r="E85" s="138"/>
      <c r="F85" s="109">
        <v>0.0</v>
      </c>
      <c r="G85" s="137">
        <v>-2.077700816E7</v>
      </c>
      <c r="H85" s="137">
        <v>1.7852758E7</v>
      </c>
      <c r="I85" s="109">
        <f t="shared" si="1"/>
        <v>-2924250.16</v>
      </c>
    </row>
    <row r="86">
      <c r="A86" s="136">
        <v>45735.0</v>
      </c>
      <c r="B86" s="134" t="s">
        <v>391</v>
      </c>
      <c r="C86" s="134" t="s">
        <v>393</v>
      </c>
      <c r="D86" s="136">
        <v>45734.0</v>
      </c>
      <c r="E86" s="138"/>
      <c r="F86" s="109">
        <v>0.0</v>
      </c>
      <c r="G86" s="137">
        <v>-2.077700816E7</v>
      </c>
      <c r="H86" s="137">
        <v>1.8337563E7</v>
      </c>
      <c r="I86" s="109">
        <f t="shared" si="1"/>
        <v>-2439445.16</v>
      </c>
    </row>
    <row r="87">
      <c r="A87" s="136">
        <v>45736.0</v>
      </c>
      <c r="B87" s="134" t="s">
        <v>391</v>
      </c>
      <c r="C87" s="134" t="s">
        <v>393</v>
      </c>
      <c r="D87" s="136">
        <v>45735.0</v>
      </c>
      <c r="E87" s="138"/>
      <c r="F87" s="109">
        <v>0.0</v>
      </c>
      <c r="G87" s="137">
        <v>-2.077700816E7</v>
      </c>
      <c r="H87" s="137">
        <v>1.9045078E7</v>
      </c>
      <c r="I87" s="109">
        <f t="shared" si="1"/>
        <v>-1731930.16</v>
      </c>
    </row>
    <row r="88">
      <c r="A88" s="136">
        <v>45737.0</v>
      </c>
      <c r="B88" s="134" t="s">
        <v>391</v>
      </c>
      <c r="C88" s="134" t="s">
        <v>393</v>
      </c>
      <c r="D88" s="136">
        <v>45736.0</v>
      </c>
      <c r="E88" s="138"/>
      <c r="F88" s="109">
        <v>0.0</v>
      </c>
      <c r="G88" s="137">
        <v>-2.077700816E7</v>
      </c>
      <c r="H88" s="137">
        <v>1.9206735E7</v>
      </c>
      <c r="I88" s="109">
        <f t="shared" si="1"/>
        <v>-1570273.16</v>
      </c>
    </row>
    <row r="89">
      <c r="A89" s="136">
        <v>45740.0</v>
      </c>
      <c r="B89" s="134" t="s">
        <v>391</v>
      </c>
      <c r="C89" s="134" t="s">
        <v>393</v>
      </c>
      <c r="D89" s="136">
        <v>45737.0</v>
      </c>
      <c r="E89" s="138"/>
      <c r="F89" s="109">
        <v>0.0</v>
      </c>
      <c r="G89" s="137">
        <v>-2.077700816E7</v>
      </c>
      <c r="H89" s="137">
        <v>1.9601503E7</v>
      </c>
      <c r="I89" s="109">
        <f t="shared" si="1"/>
        <v>-1175505.16</v>
      </c>
    </row>
    <row r="90">
      <c r="A90" s="136">
        <v>45741.0</v>
      </c>
      <c r="B90" s="134" t="s">
        <v>391</v>
      </c>
      <c r="C90" s="134" t="s">
        <v>393</v>
      </c>
      <c r="D90" s="136">
        <v>45740.0</v>
      </c>
      <c r="E90" s="138"/>
      <c r="F90" s="109">
        <v>0.0</v>
      </c>
      <c r="G90" s="137">
        <v>-2.077700816E7</v>
      </c>
      <c r="H90" s="137">
        <v>1.9788351E7</v>
      </c>
      <c r="I90" s="109">
        <f t="shared" si="1"/>
        <v>-988657.16</v>
      </c>
    </row>
    <row r="91">
      <c r="A91" s="136">
        <v>45742.0</v>
      </c>
      <c r="B91" s="134" t="s">
        <v>391</v>
      </c>
      <c r="C91" s="134" t="s">
        <v>393</v>
      </c>
      <c r="D91" s="136">
        <v>45741.0</v>
      </c>
      <c r="E91" s="138"/>
      <c r="F91" s="109">
        <v>0.0</v>
      </c>
      <c r="G91" s="137">
        <v>-2.077700816E7</v>
      </c>
      <c r="H91" s="137">
        <v>1.9632091E7</v>
      </c>
      <c r="I91" s="109">
        <f t="shared" si="1"/>
        <v>-1144917.16</v>
      </c>
    </row>
    <row r="92">
      <c r="A92" s="136">
        <v>45743.0</v>
      </c>
      <c r="B92" s="134" t="s">
        <v>391</v>
      </c>
      <c r="C92" s="134" t="s">
        <v>393</v>
      </c>
      <c r="D92" s="136">
        <v>45742.0</v>
      </c>
      <c r="E92" s="138"/>
      <c r="F92" s="109">
        <v>0.0</v>
      </c>
      <c r="G92" s="137">
        <v>-2.077700816E7</v>
      </c>
      <c r="H92" s="137">
        <v>1.9355347E7</v>
      </c>
      <c r="I92" s="109">
        <f t="shared" si="1"/>
        <v>-1421661.16</v>
      </c>
    </row>
    <row r="93">
      <c r="A93" s="136">
        <v>45744.0</v>
      </c>
      <c r="B93" s="134" t="s">
        <v>391</v>
      </c>
      <c r="C93" s="134" t="s">
        <v>393</v>
      </c>
      <c r="D93" s="136">
        <v>45743.0</v>
      </c>
      <c r="E93" s="138"/>
      <c r="F93" s="109">
        <v>0.0</v>
      </c>
      <c r="G93" s="137">
        <v>-2.077700816E7</v>
      </c>
      <c r="H93" s="137">
        <v>1.9844339E7</v>
      </c>
      <c r="I93" s="109">
        <f t="shared" si="1"/>
        <v>-932669.16</v>
      </c>
    </row>
    <row r="94">
      <c r="A94" s="136">
        <v>45749.0</v>
      </c>
      <c r="B94" s="134" t="s">
        <v>391</v>
      </c>
      <c r="C94" s="134" t="s">
        <v>393</v>
      </c>
      <c r="D94" s="136">
        <v>45744.0</v>
      </c>
      <c r="E94" s="138"/>
      <c r="F94" s="109">
        <v>0.0</v>
      </c>
      <c r="G94" s="137">
        <v>-2.077700816E7</v>
      </c>
      <c r="H94" s="137">
        <v>1.9824023E7</v>
      </c>
      <c r="I94" s="109">
        <f t="shared" si="1"/>
        <v>-952985.16</v>
      </c>
    </row>
    <row r="95">
      <c r="A95" s="136">
        <v>45749.0</v>
      </c>
      <c r="B95" s="134" t="s">
        <v>391</v>
      </c>
      <c r="C95" s="134" t="s">
        <v>393</v>
      </c>
      <c r="D95" s="136">
        <v>45748.0</v>
      </c>
      <c r="E95" s="138"/>
      <c r="F95" s="109">
        <v>0.0</v>
      </c>
      <c r="G95" s="137">
        <v>-2.077700816E7</v>
      </c>
      <c r="H95" s="137">
        <v>1.9571069E7</v>
      </c>
      <c r="I95" s="109">
        <f t="shared" si="1"/>
        <v>-1205939.16</v>
      </c>
    </row>
    <row r="96">
      <c r="A96" s="136">
        <v>45750.0</v>
      </c>
      <c r="B96" s="134" t="s">
        <v>391</v>
      </c>
      <c r="C96" s="134" t="s">
        <v>393</v>
      </c>
      <c r="D96" s="136">
        <v>45749.0</v>
      </c>
      <c r="E96" s="138"/>
      <c r="F96" s="109">
        <v>0.0</v>
      </c>
      <c r="G96" s="137">
        <v>-2.077700816E7</v>
      </c>
      <c r="H96" s="137">
        <v>1.9944149E7</v>
      </c>
      <c r="I96" s="109">
        <f t="shared" si="1"/>
        <v>-832859.16</v>
      </c>
    </row>
    <row r="97">
      <c r="A97" s="136">
        <v>45751.0</v>
      </c>
      <c r="B97" s="134" t="s">
        <v>391</v>
      </c>
      <c r="C97" s="134" t="s">
        <v>393</v>
      </c>
      <c r="D97" s="136">
        <v>45750.0</v>
      </c>
      <c r="E97" s="138"/>
      <c r="F97" s="109">
        <v>0.0</v>
      </c>
      <c r="G97" s="137">
        <v>-2.077700816E7</v>
      </c>
      <c r="H97" s="137">
        <v>2.0045236E7</v>
      </c>
      <c r="I97" s="109">
        <f t="shared" si="1"/>
        <v>-731772.16</v>
      </c>
    </row>
    <row r="98">
      <c r="A98" s="136">
        <v>45754.0</v>
      </c>
      <c r="B98" s="134" t="s">
        <v>391</v>
      </c>
      <c r="C98" s="134" t="s">
        <v>393</v>
      </c>
      <c r="D98" s="136">
        <v>45751.0</v>
      </c>
      <c r="E98" s="138"/>
      <c r="F98" s="109">
        <v>0.0</v>
      </c>
      <c r="G98" s="137">
        <v>-2.077700816E7</v>
      </c>
      <c r="H98" s="137">
        <v>1.9265471E7</v>
      </c>
      <c r="I98" s="109">
        <f t="shared" si="1"/>
        <v>-1511537.16</v>
      </c>
    </row>
    <row r="99">
      <c r="A99" s="136">
        <v>45755.0</v>
      </c>
      <c r="B99" s="134" t="s">
        <v>391</v>
      </c>
      <c r="C99" s="134" t="s">
        <v>393</v>
      </c>
      <c r="D99" s="136">
        <v>45754.0</v>
      </c>
      <c r="E99" s="138"/>
      <c r="F99" s="109">
        <v>0.0</v>
      </c>
      <c r="G99" s="137">
        <v>-2.077700816E7</v>
      </c>
      <c r="H99" s="137">
        <v>1.8207273E7</v>
      </c>
      <c r="I99" s="109">
        <f t="shared" si="1"/>
        <v>-2569735.16</v>
      </c>
    </row>
    <row r="100">
      <c r="A100" s="136">
        <v>45756.0</v>
      </c>
      <c r="B100" s="134" t="s">
        <v>391</v>
      </c>
      <c r="C100" s="134" t="s">
        <v>393</v>
      </c>
      <c r="D100" s="136">
        <v>45755.0</v>
      </c>
      <c r="E100" s="138"/>
      <c r="F100" s="109">
        <v>0.0</v>
      </c>
      <c r="G100" s="137">
        <v>-2.077700816E7</v>
      </c>
      <c r="H100" s="137">
        <v>1.8730357E7</v>
      </c>
      <c r="I100" s="109">
        <f t="shared" si="1"/>
        <v>-2046651.16</v>
      </c>
    </row>
    <row r="101">
      <c r="A101" s="136">
        <v>45758.0</v>
      </c>
      <c r="B101" s="134" t="s">
        <v>391</v>
      </c>
      <c r="C101" s="134" t="s">
        <v>393</v>
      </c>
      <c r="D101" s="136">
        <v>45756.0</v>
      </c>
      <c r="E101" s="138"/>
      <c r="F101" s="109">
        <v>0.0</v>
      </c>
      <c r="G101" s="137">
        <v>-2.077700816E7</v>
      </c>
      <c r="H101" s="137">
        <v>1.8558121E7</v>
      </c>
      <c r="I101" s="109">
        <f t="shared" si="1"/>
        <v>-2218887.16</v>
      </c>
    </row>
    <row r="102">
      <c r="A102" s="136">
        <v>45762.0</v>
      </c>
      <c r="B102" s="134" t="s">
        <v>391</v>
      </c>
      <c r="C102" s="134" t="s">
        <v>393</v>
      </c>
      <c r="D102" s="136">
        <v>45758.0</v>
      </c>
      <c r="E102" s="138"/>
      <c r="F102" s="109">
        <v>0.0</v>
      </c>
      <c r="G102" s="137">
        <v>-2.077700816E7</v>
      </c>
      <c r="H102" s="137">
        <v>1.9252302E7</v>
      </c>
      <c r="I102" s="109">
        <f t="shared" si="1"/>
        <v>-1524706.16</v>
      </c>
    </row>
    <row r="103">
      <c r="A103" s="136">
        <v>45763.0</v>
      </c>
      <c r="B103" s="134" t="s">
        <v>391</v>
      </c>
      <c r="C103" s="134" t="s">
        <v>393</v>
      </c>
      <c r="D103" s="136">
        <v>45762.0</v>
      </c>
      <c r="E103" s="138"/>
      <c r="F103" s="109">
        <v>0.0</v>
      </c>
      <c r="G103" s="137">
        <v>-2.077700816E7</v>
      </c>
      <c r="H103" s="137">
        <v>2.0105062E7</v>
      </c>
      <c r="I103" s="109">
        <f t="shared" si="1"/>
        <v>-671946.16</v>
      </c>
    </row>
    <row r="104">
      <c r="A104" s="136">
        <v>45764.0</v>
      </c>
      <c r="B104" s="134" t="s">
        <v>391</v>
      </c>
      <c r="C104" s="134" t="s">
        <v>393</v>
      </c>
      <c r="D104" s="136">
        <v>45763.0</v>
      </c>
      <c r="E104" s="138"/>
      <c r="F104" s="109">
        <v>0.0</v>
      </c>
      <c r="G104" s="137">
        <v>-2.077700816E7</v>
      </c>
      <c r="H104" s="137">
        <v>2.042222E7</v>
      </c>
      <c r="I104" s="109">
        <f t="shared" si="1"/>
        <v>-354788.16</v>
      </c>
    </row>
    <row r="105">
      <c r="A105" s="136">
        <v>45768.0</v>
      </c>
      <c r="B105" s="134" t="s">
        <v>391</v>
      </c>
      <c r="C105" s="134" t="s">
        <v>393</v>
      </c>
      <c r="D105" s="136">
        <v>45764.0</v>
      </c>
      <c r="E105" s="138"/>
      <c r="F105" s="109">
        <v>0.0</v>
      </c>
      <c r="G105" s="137">
        <v>-2.077700816E7</v>
      </c>
      <c r="H105" s="137">
        <v>2.050192E7</v>
      </c>
      <c r="I105" s="109">
        <f t="shared" si="1"/>
        <v>-275088.16</v>
      </c>
    </row>
    <row r="106">
      <c r="A106" s="136">
        <v>45769.0</v>
      </c>
      <c r="B106" s="134" t="s">
        <v>391</v>
      </c>
      <c r="C106" s="134" t="s">
        <v>393</v>
      </c>
      <c r="D106" s="136">
        <v>45768.0</v>
      </c>
      <c r="E106" s="138"/>
      <c r="F106" s="109">
        <v>0.0</v>
      </c>
      <c r="G106" s="137">
        <v>-2.077700816E7</v>
      </c>
      <c r="H106" s="137">
        <v>2.0834449E7</v>
      </c>
      <c r="I106" s="109">
        <f t="shared" si="1"/>
        <v>57440.84</v>
      </c>
    </row>
    <row r="107">
      <c r="A107" s="136">
        <v>45770.0</v>
      </c>
      <c r="B107" s="134" t="s">
        <v>391</v>
      </c>
      <c r="C107" s="134" t="s">
        <v>393</v>
      </c>
      <c r="D107" s="136">
        <v>45769.0</v>
      </c>
      <c r="E107" s="138"/>
      <c r="F107" s="109">
        <v>0.0</v>
      </c>
      <c r="G107" s="137">
        <v>-2.077700816E7</v>
      </c>
      <c r="H107" s="137">
        <v>2.1002123E7</v>
      </c>
      <c r="I107" s="109">
        <f t="shared" si="1"/>
        <v>225114.84</v>
      </c>
    </row>
    <row r="108">
      <c r="A108" s="136">
        <v>45771.0</v>
      </c>
      <c r="B108" s="134" t="s">
        <v>391</v>
      </c>
      <c r="C108" s="134" t="s">
        <v>393</v>
      </c>
      <c r="D108" s="136">
        <v>45770.0</v>
      </c>
      <c r="E108" s="138"/>
      <c r="F108" s="109">
        <v>0.0</v>
      </c>
      <c r="G108" s="137">
        <v>-2.077700816E7</v>
      </c>
      <c r="H108" s="137">
        <v>2.1145427E7</v>
      </c>
      <c r="I108" s="109">
        <f t="shared" si="1"/>
        <v>368418.84</v>
      </c>
    </row>
    <row r="109">
      <c r="A109" s="136">
        <v>45772.0</v>
      </c>
      <c r="B109" s="134" t="s">
        <v>391</v>
      </c>
      <c r="C109" s="134" t="s">
        <v>393</v>
      </c>
      <c r="D109" s="136">
        <v>45771.0</v>
      </c>
      <c r="E109" s="138"/>
      <c r="F109" s="109">
        <v>0.0</v>
      </c>
      <c r="G109" s="137">
        <v>-2.077700816E7</v>
      </c>
      <c r="H109" s="137">
        <v>2.1187468E7</v>
      </c>
      <c r="I109" s="109">
        <f t="shared" si="1"/>
        <v>410459.84</v>
      </c>
    </row>
    <row r="110">
      <c r="A110" s="136">
        <v>45775.0</v>
      </c>
      <c r="B110" s="134" t="s">
        <v>391</v>
      </c>
      <c r="C110" s="134" t="s">
        <v>393</v>
      </c>
      <c r="D110" s="136">
        <v>45772.0</v>
      </c>
      <c r="E110" s="138"/>
      <c r="F110" s="109">
        <v>0.0</v>
      </c>
      <c r="G110" s="137">
        <v>-2.077700816E7</v>
      </c>
      <c r="H110" s="137">
        <v>2.060374E7</v>
      </c>
      <c r="I110" s="109">
        <f t="shared" si="1"/>
        <v>-173268.16</v>
      </c>
    </row>
    <row r="111">
      <c r="A111" s="136">
        <v>45776.0</v>
      </c>
      <c r="B111" s="134" t="s">
        <v>391</v>
      </c>
      <c r="C111" s="134" t="s">
        <v>393</v>
      </c>
      <c r="D111" s="136">
        <v>45775.0</v>
      </c>
      <c r="E111" s="138"/>
      <c r="F111" s="109">
        <v>0.0</v>
      </c>
      <c r="G111" s="137">
        <v>-2.077700816E7</v>
      </c>
      <c r="H111" s="137">
        <v>2.1010125E7</v>
      </c>
      <c r="I111" s="109">
        <f t="shared" si="1"/>
        <v>233116.84</v>
      </c>
    </row>
    <row r="112">
      <c r="A112" s="136">
        <v>45777.0</v>
      </c>
      <c r="B112" s="134" t="s">
        <v>391</v>
      </c>
      <c r="C112" s="134" t="s">
        <v>393</v>
      </c>
      <c r="D112" s="136">
        <v>45776.0</v>
      </c>
      <c r="E112" s="138"/>
      <c r="F112" s="109">
        <v>0.0</v>
      </c>
      <c r="G112" s="137">
        <v>-2.077700816E7</v>
      </c>
      <c r="H112" s="137">
        <v>2.1379385E7</v>
      </c>
      <c r="I112" s="109">
        <f t="shared" si="1"/>
        <v>602376.84</v>
      </c>
    </row>
    <row r="113">
      <c r="A113" s="136">
        <v>45779.0</v>
      </c>
      <c r="B113" s="134" t="s">
        <v>391</v>
      </c>
      <c r="C113" s="134" t="s">
        <v>393</v>
      </c>
      <c r="D113" s="136">
        <v>45777.0</v>
      </c>
      <c r="E113" s="138"/>
      <c r="F113" s="109">
        <v>0.0</v>
      </c>
      <c r="G113" s="137">
        <v>-2.077700816E7</v>
      </c>
      <c r="H113" s="137">
        <v>2.1075625E7</v>
      </c>
      <c r="I113" s="109">
        <f t="shared" si="1"/>
        <v>298616.84</v>
      </c>
    </row>
    <row r="114">
      <c r="A114" s="136">
        <v>45782.0</v>
      </c>
      <c r="B114" s="134" t="s">
        <v>391</v>
      </c>
      <c r="C114" s="134" t="s">
        <v>393</v>
      </c>
      <c r="D114" s="136">
        <v>45779.0</v>
      </c>
      <c r="E114" s="138"/>
      <c r="F114" s="109">
        <v>0.0</v>
      </c>
      <c r="G114" s="137">
        <v>-2.077700816E7</v>
      </c>
      <c r="H114" s="137">
        <v>2.1014729E7</v>
      </c>
      <c r="I114" s="109">
        <f t="shared" si="1"/>
        <v>237720.84</v>
      </c>
    </row>
    <row r="115">
      <c r="A115" s="136">
        <v>45783.0</v>
      </c>
      <c r="B115" s="134" t="s">
        <v>391</v>
      </c>
      <c r="C115" s="134" t="s">
        <v>393</v>
      </c>
      <c r="D115" s="136">
        <v>45782.0</v>
      </c>
      <c r="E115" s="138"/>
      <c r="F115" s="109">
        <v>0.0</v>
      </c>
      <c r="G115" s="137">
        <v>-2.077700816E7</v>
      </c>
      <c r="H115" s="137">
        <v>2.1446094E7</v>
      </c>
      <c r="I115" s="109">
        <f t="shared" si="1"/>
        <v>669085.84</v>
      </c>
    </row>
    <row r="116">
      <c r="A116" s="139">
        <v>45784.0</v>
      </c>
      <c r="B116" s="115" t="s">
        <v>536</v>
      </c>
      <c r="C116" s="115" t="s">
        <v>537</v>
      </c>
      <c r="D116" s="139">
        <v>45783.0</v>
      </c>
      <c r="E116" s="115">
        <v>0.0</v>
      </c>
      <c r="F116" s="116">
        <v>1526394.47</v>
      </c>
      <c r="G116" s="116">
        <v>-1.925061369E7</v>
      </c>
      <c r="H116" s="137">
        <v>2.1071399E7</v>
      </c>
      <c r="I116" s="109">
        <f t="shared" si="1"/>
        <v>1820785.31</v>
      </c>
    </row>
    <row r="117">
      <c r="A117" s="114">
        <v>45784.0</v>
      </c>
      <c r="B117" s="115" t="s">
        <v>538</v>
      </c>
      <c r="C117" s="115" t="s">
        <v>539</v>
      </c>
      <c r="D117" s="114">
        <v>45783.0</v>
      </c>
      <c r="E117" s="115">
        <v>1820096.74</v>
      </c>
      <c r="F117" s="116">
        <v>0.0</v>
      </c>
      <c r="G117" s="116">
        <v>-2.107071043E7</v>
      </c>
      <c r="H117" s="137">
        <v>2.1071399E7</v>
      </c>
      <c r="I117" s="109">
        <f t="shared" si="1"/>
        <v>688.57</v>
      </c>
    </row>
    <row r="118">
      <c r="A118" s="114">
        <v>45785.0</v>
      </c>
      <c r="B118" s="115" t="s">
        <v>538</v>
      </c>
      <c r="C118" s="115" t="s">
        <v>539</v>
      </c>
      <c r="D118" s="114">
        <v>45784.0</v>
      </c>
      <c r="E118" s="115"/>
      <c r="F118" s="116">
        <v>0.0</v>
      </c>
      <c r="G118" s="116">
        <v>-2.107071043E7</v>
      </c>
      <c r="H118" s="137">
        <v>2.1280568E7</v>
      </c>
      <c r="I118" s="109">
        <f t="shared" si="1"/>
        <v>209857.57</v>
      </c>
    </row>
    <row r="119">
      <c r="A119" s="114">
        <v>45786.0</v>
      </c>
      <c r="B119" s="115" t="s">
        <v>538</v>
      </c>
      <c r="C119" s="115" t="s">
        <v>539</v>
      </c>
      <c r="D119" s="114">
        <v>45785.0</v>
      </c>
      <c r="E119" s="115"/>
      <c r="F119" s="116">
        <v>0.0</v>
      </c>
      <c r="G119" s="116">
        <v>-2.107071043E7</v>
      </c>
      <c r="H119" s="137">
        <v>2.093392E7</v>
      </c>
      <c r="I119" s="109">
        <f t="shared" si="1"/>
        <v>-136790.43</v>
      </c>
    </row>
    <row r="120">
      <c r="A120" s="114">
        <v>45789.0</v>
      </c>
      <c r="B120" s="115" t="s">
        <v>538</v>
      </c>
      <c r="C120" s="115" t="s">
        <v>539</v>
      </c>
      <c r="D120" s="114">
        <v>45786.0</v>
      </c>
      <c r="E120" s="115"/>
      <c r="F120" s="116">
        <v>0.0</v>
      </c>
      <c r="G120" s="116">
        <v>-2.107071043E7</v>
      </c>
      <c r="H120" s="137">
        <v>2.0832738E7</v>
      </c>
      <c r="I120" s="109">
        <f t="shared" si="1"/>
        <v>-237972.43</v>
      </c>
    </row>
    <row r="121">
      <c r="A121" s="114">
        <v>45790.0</v>
      </c>
      <c r="B121" s="115" t="s">
        <v>538</v>
      </c>
      <c r="C121" s="115" t="s">
        <v>539</v>
      </c>
      <c r="D121" s="114">
        <v>45789.0</v>
      </c>
      <c r="E121" s="115"/>
      <c r="F121" s="116">
        <v>0.0</v>
      </c>
      <c r="G121" s="116">
        <v>-2.107071043E7</v>
      </c>
      <c r="H121" s="137">
        <v>2.175143E7</v>
      </c>
      <c r="I121" s="109">
        <f t="shared" si="1"/>
        <v>680719.57</v>
      </c>
    </row>
    <row r="122">
      <c r="A122" s="114">
        <v>45791.0</v>
      </c>
      <c r="B122" s="115" t="s">
        <v>538</v>
      </c>
      <c r="C122" s="115" t="s">
        <v>539</v>
      </c>
      <c r="D122" s="114">
        <v>45790.0</v>
      </c>
      <c r="E122" s="115"/>
      <c r="F122" s="116">
        <v>0.0</v>
      </c>
      <c r="G122" s="116">
        <v>-2.107071043E7</v>
      </c>
      <c r="H122" s="137">
        <v>2.1997835E7</v>
      </c>
      <c r="I122" s="109">
        <f t="shared" si="1"/>
        <v>927124.57</v>
      </c>
    </row>
    <row r="123">
      <c r="A123" s="114">
        <v>45792.0</v>
      </c>
      <c r="B123" s="115" t="s">
        <v>540</v>
      </c>
      <c r="C123" s="115" t="s">
        <v>541</v>
      </c>
      <c r="D123" s="114">
        <v>45791.0</v>
      </c>
      <c r="E123" s="115">
        <v>0.0</v>
      </c>
      <c r="F123" s="116">
        <v>80811.23</v>
      </c>
      <c r="G123" s="116">
        <v>-2.09898992E7</v>
      </c>
      <c r="H123" s="137">
        <v>2.2202841E7</v>
      </c>
      <c r="I123" s="109">
        <f t="shared" si="1"/>
        <v>1212941.8</v>
      </c>
    </row>
    <row r="124">
      <c r="A124" s="114">
        <v>45793.0</v>
      </c>
      <c r="B124" s="115" t="s">
        <v>542</v>
      </c>
      <c r="C124" s="115" t="s">
        <v>543</v>
      </c>
      <c r="D124" s="114">
        <v>45792.0</v>
      </c>
      <c r="E124" s="115">
        <v>79151.36</v>
      </c>
      <c r="F124" s="116">
        <v>0.0</v>
      </c>
      <c r="G124" s="116">
        <v>-2.106905056E7</v>
      </c>
      <c r="H124" s="137">
        <v>2.2327872E7</v>
      </c>
      <c r="I124" s="109">
        <f t="shared" si="1"/>
        <v>1258821.44</v>
      </c>
    </row>
    <row r="125">
      <c r="A125" s="114">
        <v>45796.0</v>
      </c>
      <c r="B125" s="115" t="s">
        <v>538</v>
      </c>
      <c r="C125" s="115" t="s">
        <v>539</v>
      </c>
      <c r="D125" s="114">
        <v>45793.0</v>
      </c>
      <c r="E125" s="115"/>
      <c r="F125" s="116">
        <v>0.0</v>
      </c>
      <c r="G125" s="116">
        <v>-2.106905056E7</v>
      </c>
      <c r="H125" s="137">
        <v>2.2570437E7</v>
      </c>
      <c r="I125" s="109">
        <f t="shared" si="1"/>
        <v>1501386.44</v>
      </c>
    </row>
    <row r="126">
      <c r="A126" s="114">
        <v>45797.0</v>
      </c>
      <c r="B126" s="115" t="s">
        <v>538</v>
      </c>
      <c r="C126" s="115" t="s">
        <v>539</v>
      </c>
      <c r="D126" s="114">
        <v>45796.0</v>
      </c>
      <c r="E126" s="115"/>
      <c r="F126" s="116">
        <v>0.0</v>
      </c>
      <c r="G126" s="116">
        <v>-2.106905056E7</v>
      </c>
      <c r="H126" s="137">
        <v>2.2590421E7</v>
      </c>
      <c r="I126" s="109">
        <f t="shared" si="1"/>
        <v>1521370.44</v>
      </c>
    </row>
    <row r="127">
      <c r="A127" s="114">
        <v>45798.0</v>
      </c>
      <c r="B127" s="115" t="s">
        <v>538</v>
      </c>
      <c r="C127" s="115" t="s">
        <v>539</v>
      </c>
      <c r="D127" s="114">
        <v>45797.0</v>
      </c>
      <c r="E127" s="115"/>
      <c r="F127" s="116">
        <v>0.0</v>
      </c>
      <c r="G127" s="116">
        <v>-2.106905056E7</v>
      </c>
      <c r="H127" s="137">
        <v>2.2358409E7</v>
      </c>
      <c r="I127" s="109">
        <f t="shared" si="1"/>
        <v>1289358.44</v>
      </c>
    </row>
    <row r="128">
      <c r="A128" s="114">
        <v>45799.0</v>
      </c>
      <c r="B128" s="115" t="s">
        <v>538</v>
      </c>
      <c r="C128" s="115" t="s">
        <v>539</v>
      </c>
      <c r="D128" s="114">
        <v>45798.0</v>
      </c>
      <c r="E128" s="115"/>
      <c r="F128" s="116">
        <v>0.0</v>
      </c>
      <c r="G128" s="116">
        <v>-2.106905056E7</v>
      </c>
      <c r="H128" s="137">
        <v>2.2364925E7</v>
      </c>
      <c r="I128" s="109">
        <f t="shared" si="1"/>
        <v>1295874.44</v>
      </c>
    </row>
    <row r="129">
      <c r="A129" s="114">
        <v>45800.0</v>
      </c>
      <c r="B129" s="115" t="s">
        <v>538</v>
      </c>
      <c r="C129" s="115" t="s">
        <v>539</v>
      </c>
      <c r="D129" s="114">
        <v>45799.0</v>
      </c>
      <c r="E129" s="115"/>
      <c r="F129" s="116">
        <v>0.0</v>
      </c>
      <c r="G129" s="116">
        <v>-2.106905056E7</v>
      </c>
      <c r="H129" s="137">
        <v>2.2447123E7</v>
      </c>
      <c r="I129" s="109">
        <f t="shared" si="1"/>
        <v>1378072.44</v>
      </c>
    </row>
    <row r="130">
      <c r="A130" s="114">
        <v>45803.0</v>
      </c>
      <c r="B130" s="115" t="s">
        <v>538</v>
      </c>
      <c r="C130" s="115" t="s">
        <v>539</v>
      </c>
      <c r="D130" s="114">
        <v>45800.0</v>
      </c>
      <c r="E130" s="115"/>
      <c r="F130" s="116">
        <v>0.0</v>
      </c>
      <c r="G130" s="116">
        <v>-2.106905056E7</v>
      </c>
      <c r="H130" s="137">
        <v>2.1573755E7</v>
      </c>
      <c r="I130" s="109">
        <f t="shared" si="1"/>
        <v>504704.44</v>
      </c>
    </row>
    <row r="131">
      <c r="A131" s="114">
        <v>45804.0</v>
      </c>
      <c r="B131" s="115" t="s">
        <v>538</v>
      </c>
      <c r="C131" s="115" t="s">
        <v>539</v>
      </c>
      <c r="D131" s="114">
        <v>45803.0</v>
      </c>
      <c r="E131" s="115"/>
      <c r="F131" s="116">
        <v>0.0</v>
      </c>
      <c r="G131" s="116">
        <v>-2.106905056E7</v>
      </c>
      <c r="H131" s="137">
        <v>2.1555647E7</v>
      </c>
      <c r="I131" s="109">
        <f t="shared" si="1"/>
        <v>486596.44</v>
      </c>
    </row>
    <row r="132">
      <c r="A132" s="114">
        <v>45805.0</v>
      </c>
      <c r="B132" s="115" t="s">
        <v>546</v>
      </c>
      <c r="C132" s="115" t="s">
        <v>547</v>
      </c>
      <c r="D132" s="114">
        <v>45804.0</v>
      </c>
      <c r="E132" s="115">
        <v>0.36</v>
      </c>
      <c r="F132" s="116">
        <v>0.0</v>
      </c>
      <c r="G132" s="116">
        <v>-2.106905092E7</v>
      </c>
      <c r="H132" s="137">
        <v>2.1609586E7</v>
      </c>
      <c r="I132" s="109">
        <f t="shared" si="1"/>
        <v>540535.08</v>
      </c>
    </row>
    <row r="133">
      <c r="A133" s="114">
        <v>45806.0</v>
      </c>
      <c r="B133" s="115" t="s">
        <v>538</v>
      </c>
      <c r="C133" s="115" t="s">
        <v>539</v>
      </c>
      <c r="D133" s="114">
        <v>45805.0</v>
      </c>
      <c r="E133" s="115">
        <v>0.0</v>
      </c>
      <c r="F133" s="116">
        <v>0.0</v>
      </c>
      <c r="G133" s="116">
        <v>-2.106905092E7</v>
      </c>
      <c r="H133" s="137">
        <v>2.2700344E7</v>
      </c>
      <c r="I133" s="109">
        <f t="shared" si="1"/>
        <v>1631293.08</v>
      </c>
    </row>
    <row r="134">
      <c r="A134" s="114">
        <v>45807.0</v>
      </c>
      <c r="B134" s="115" t="s">
        <v>538</v>
      </c>
      <c r="C134" s="115" t="s">
        <v>539</v>
      </c>
      <c r="D134" s="114">
        <v>45806.0</v>
      </c>
      <c r="E134" s="115">
        <v>0.0</v>
      </c>
      <c r="F134" s="116">
        <v>0.0</v>
      </c>
      <c r="G134" s="116">
        <v>-2.106905092E7</v>
      </c>
      <c r="H134" s="137">
        <v>2.2910763E7</v>
      </c>
      <c r="I134" s="109">
        <f t="shared" si="1"/>
        <v>1841712.08</v>
      </c>
    </row>
    <row r="135">
      <c r="A135" s="114">
        <v>45810.0</v>
      </c>
      <c r="B135" s="115" t="s">
        <v>538</v>
      </c>
      <c r="C135" s="115" t="s">
        <v>539</v>
      </c>
      <c r="D135" s="114">
        <v>45807.0</v>
      </c>
      <c r="E135" s="115">
        <v>0.0</v>
      </c>
      <c r="F135" s="116">
        <v>0.0</v>
      </c>
      <c r="G135" s="116">
        <v>-2.106905092E7</v>
      </c>
      <c r="H135" s="137">
        <v>2.3046264E7</v>
      </c>
      <c r="I135" s="109">
        <f t="shared" si="1"/>
        <v>1977213.08</v>
      </c>
    </row>
    <row r="136">
      <c r="A136" s="114">
        <v>45811.0</v>
      </c>
      <c r="B136" s="115" t="s">
        <v>538</v>
      </c>
      <c r="C136" s="115" t="s">
        <v>539</v>
      </c>
      <c r="D136" s="114">
        <v>45810.0</v>
      </c>
      <c r="E136" s="115">
        <v>0.0</v>
      </c>
      <c r="F136" s="116">
        <v>0.0</v>
      </c>
      <c r="G136" s="116">
        <v>-2.106905092E7</v>
      </c>
      <c r="H136" s="137">
        <v>2.2959617E7</v>
      </c>
      <c r="I136" s="109">
        <f t="shared" si="1"/>
        <v>1890566.08</v>
      </c>
    </row>
    <row r="137">
      <c r="A137" s="114">
        <v>45812.0</v>
      </c>
      <c r="B137" s="115" t="s">
        <v>538</v>
      </c>
      <c r="C137" s="115" t="s">
        <v>539</v>
      </c>
      <c r="D137" s="114">
        <v>45811.0</v>
      </c>
      <c r="E137" s="115">
        <v>0.0</v>
      </c>
      <c r="F137" s="116">
        <v>0.0</v>
      </c>
      <c r="G137" s="116">
        <v>-2.106905092E7</v>
      </c>
      <c r="H137" s="137">
        <v>2.3193873E7</v>
      </c>
      <c r="I137" s="109">
        <f t="shared" si="1"/>
        <v>2124822.08</v>
      </c>
    </row>
    <row r="138">
      <c r="A138" s="114">
        <v>45813.0</v>
      </c>
      <c r="B138" s="115" t="s">
        <v>538</v>
      </c>
      <c r="C138" s="115" t="s">
        <v>539</v>
      </c>
      <c r="D138" s="114">
        <v>45812.0</v>
      </c>
      <c r="E138" s="115">
        <v>0.0</v>
      </c>
      <c r="F138" s="116">
        <v>0.0</v>
      </c>
      <c r="G138" s="116">
        <v>-2.106905092E7</v>
      </c>
      <c r="H138" s="137">
        <v>2.346006E7</v>
      </c>
      <c r="I138" s="109">
        <f t="shared" si="1"/>
        <v>2391009.08</v>
      </c>
    </row>
    <row r="139">
      <c r="A139" s="114">
        <v>45814.0</v>
      </c>
      <c r="B139" s="115" t="s">
        <v>538</v>
      </c>
      <c r="C139" s="115" t="s">
        <v>539</v>
      </c>
      <c r="D139" s="114">
        <v>45813.0</v>
      </c>
      <c r="E139" s="115">
        <v>0.0</v>
      </c>
      <c r="F139" s="116">
        <v>0.0</v>
      </c>
      <c r="G139" s="116">
        <v>-2.106905092E7</v>
      </c>
      <c r="H139" s="137">
        <v>2.3562614E7</v>
      </c>
      <c r="I139" s="109">
        <f t="shared" si="1"/>
        <v>2493563.08</v>
      </c>
    </row>
    <row r="140">
      <c r="A140" s="114">
        <v>45817.0</v>
      </c>
      <c r="B140" s="115" t="s">
        <v>538</v>
      </c>
      <c r="C140" s="115" t="s">
        <v>539</v>
      </c>
      <c r="D140" s="114">
        <v>45814.0</v>
      </c>
      <c r="E140" s="115">
        <v>0.0</v>
      </c>
      <c r="F140" s="116">
        <v>0.0</v>
      </c>
      <c r="G140" s="116">
        <v>-2.106905092E7</v>
      </c>
      <c r="H140" s="137">
        <v>2.3471888E7</v>
      </c>
      <c r="I140" s="109">
        <f t="shared" si="1"/>
        <v>2402837.08</v>
      </c>
    </row>
    <row r="141">
      <c r="A141" s="114">
        <v>45818.0</v>
      </c>
      <c r="B141" s="115" t="s">
        <v>538</v>
      </c>
      <c r="C141" s="115" t="s">
        <v>539</v>
      </c>
      <c r="D141" s="114">
        <v>45817.0</v>
      </c>
      <c r="E141" s="115">
        <v>0.0</v>
      </c>
      <c r="F141" s="116">
        <v>0.0</v>
      </c>
      <c r="G141" s="116">
        <v>-2.106905092E7</v>
      </c>
      <c r="H141" s="137">
        <v>2.349544E7</v>
      </c>
      <c r="I141" s="109">
        <f t="shared" si="1"/>
        <v>2426389.08</v>
      </c>
    </row>
    <row r="142">
      <c r="A142" s="114">
        <v>45819.0</v>
      </c>
      <c r="B142" s="115" t="s">
        <v>538</v>
      </c>
      <c r="C142" s="115" t="s">
        <v>539</v>
      </c>
      <c r="D142" s="114">
        <v>45818.0</v>
      </c>
      <c r="E142" s="115">
        <v>0.0</v>
      </c>
      <c r="F142" s="116">
        <v>0.0</v>
      </c>
      <c r="G142" s="116">
        <v>-2.106905092E7</v>
      </c>
      <c r="H142" s="137">
        <v>2.3433856E7</v>
      </c>
      <c r="I142" s="109">
        <f t="shared" si="1"/>
        <v>2364805.08</v>
      </c>
    </row>
    <row r="143">
      <c r="A143" s="114">
        <v>45820.0</v>
      </c>
      <c r="B143" s="115" t="s">
        <v>538</v>
      </c>
      <c r="C143" s="115" t="s">
        <v>539</v>
      </c>
      <c r="D143" s="114">
        <v>45819.0</v>
      </c>
      <c r="E143" s="115">
        <v>0.0</v>
      </c>
      <c r="F143" s="116">
        <v>0.0</v>
      </c>
      <c r="G143" s="116">
        <v>-2.106905092E7</v>
      </c>
      <c r="H143" s="137">
        <v>2.3621775E7</v>
      </c>
      <c r="I143" s="109">
        <f t="shared" si="1"/>
        <v>2552724.08</v>
      </c>
    </row>
    <row r="144">
      <c r="A144" s="114">
        <v>45821.0</v>
      </c>
      <c r="B144" s="115" t="s">
        <v>538</v>
      </c>
      <c r="C144" s="115" t="s">
        <v>539</v>
      </c>
      <c r="D144" s="114">
        <v>45820.0</v>
      </c>
      <c r="E144" s="115">
        <v>0.0</v>
      </c>
      <c r="F144" s="116">
        <v>0.0</v>
      </c>
      <c r="G144" s="116">
        <v>-2.106905092E7</v>
      </c>
      <c r="H144" s="137">
        <v>2.3141028E7</v>
      </c>
      <c r="I144" s="109">
        <f t="shared" si="1"/>
        <v>2071977.08</v>
      </c>
    </row>
    <row r="145">
      <c r="A145" s="114">
        <v>45824.0</v>
      </c>
      <c r="B145" s="115" t="s">
        <v>538</v>
      </c>
      <c r="C145" s="115" t="s">
        <v>539</v>
      </c>
      <c r="D145" s="114">
        <v>45821.0</v>
      </c>
      <c r="E145" s="115">
        <v>0.0</v>
      </c>
      <c r="F145" s="116">
        <v>0.0</v>
      </c>
      <c r="G145" s="116">
        <v>-2.106905092E7</v>
      </c>
      <c r="H145" s="137">
        <v>2.3092384E7</v>
      </c>
      <c r="I145" s="109">
        <f t="shared" si="1"/>
        <v>2023333.08</v>
      </c>
    </row>
    <row r="146">
      <c r="A146" s="114">
        <v>45825.0</v>
      </c>
      <c r="B146" s="115" t="s">
        <v>538</v>
      </c>
      <c r="C146" s="115" t="s">
        <v>539</v>
      </c>
      <c r="D146" s="114">
        <v>45824.0</v>
      </c>
      <c r="E146" s="115">
        <v>0.0</v>
      </c>
      <c r="F146" s="116">
        <v>0.0</v>
      </c>
      <c r="G146" s="116">
        <v>-2.106905092E7</v>
      </c>
      <c r="H146" s="137">
        <v>2.3108191E7</v>
      </c>
      <c r="I146" s="109">
        <f t="shared" si="1"/>
        <v>2039140.08</v>
      </c>
    </row>
    <row r="147">
      <c r="A147" s="114">
        <v>45826.0</v>
      </c>
      <c r="B147" s="115" t="s">
        <v>538</v>
      </c>
      <c r="C147" s="115" t="s">
        <v>539</v>
      </c>
      <c r="D147" s="114">
        <v>45825.0</v>
      </c>
      <c r="E147" s="115">
        <v>0.0</v>
      </c>
      <c r="F147" s="116">
        <v>0.0</v>
      </c>
      <c r="G147" s="116">
        <v>-2.106905092E7</v>
      </c>
      <c r="H147" s="137">
        <v>2.3077396E7</v>
      </c>
      <c r="I147" s="109">
        <f t="shared" si="1"/>
        <v>2008345.08</v>
      </c>
    </row>
    <row r="148">
      <c r="A148" s="114">
        <v>45827.0</v>
      </c>
      <c r="B148" s="115" t="s">
        <v>538</v>
      </c>
      <c r="C148" s="115" t="s">
        <v>539</v>
      </c>
      <c r="D148" s="114">
        <v>45826.0</v>
      </c>
      <c r="E148" s="115">
        <v>0.0</v>
      </c>
      <c r="F148" s="116">
        <v>0.0</v>
      </c>
      <c r="G148" s="116">
        <v>-2.106905092E7</v>
      </c>
      <c r="H148" s="137">
        <v>2.3011944E7</v>
      </c>
      <c r="I148" s="109">
        <f t="shared" si="1"/>
        <v>1942893.08</v>
      </c>
    </row>
    <row r="149">
      <c r="A149" s="114">
        <v>45828.0</v>
      </c>
      <c r="B149" s="115" t="s">
        <v>538</v>
      </c>
      <c r="C149" s="115" t="s">
        <v>539</v>
      </c>
      <c r="D149" s="114">
        <v>45827.0</v>
      </c>
      <c r="E149" s="115">
        <v>0.0</v>
      </c>
      <c r="F149" s="116">
        <v>0.0</v>
      </c>
      <c r="G149" s="116">
        <v>-2.106905092E7</v>
      </c>
      <c r="H149" s="137">
        <v>2.2623485E7</v>
      </c>
      <c r="I149" s="109">
        <f t="shared" si="1"/>
        <v>1554434.08</v>
      </c>
    </row>
    <row r="150">
      <c r="A150" s="114">
        <v>45831.0</v>
      </c>
      <c r="B150" s="115" t="s">
        <v>538</v>
      </c>
      <c r="C150" s="115" t="s">
        <v>539</v>
      </c>
      <c r="D150" s="114">
        <v>45828.0</v>
      </c>
      <c r="E150" s="115">
        <v>0.0</v>
      </c>
      <c r="F150" s="116">
        <v>0.0</v>
      </c>
      <c r="G150" s="116">
        <v>-2.106905092E7</v>
      </c>
      <c r="H150" s="137">
        <v>2.2975772E7</v>
      </c>
      <c r="I150" s="109">
        <f t="shared" si="1"/>
        <v>1906721.08</v>
      </c>
    </row>
    <row r="151">
      <c r="A151" s="114">
        <v>45832.0</v>
      </c>
      <c r="B151" s="115" t="s">
        <v>538</v>
      </c>
      <c r="C151" s="115" t="s">
        <v>539</v>
      </c>
      <c r="D151" s="114">
        <v>45831.0</v>
      </c>
      <c r="E151" s="115">
        <v>0.0</v>
      </c>
      <c r="F151" s="116">
        <v>0.0</v>
      </c>
      <c r="G151" s="116">
        <v>-2.106905092E7</v>
      </c>
      <c r="H151" s="137">
        <v>2.328856E7</v>
      </c>
      <c r="I151" s="109">
        <f t="shared" si="1"/>
        <v>2219509.08</v>
      </c>
    </row>
    <row r="152">
      <c r="A152" s="114">
        <v>45833.0</v>
      </c>
      <c r="B152" s="115" t="s">
        <v>538</v>
      </c>
      <c r="C152" s="115" t="s">
        <v>539</v>
      </c>
      <c r="D152" s="114">
        <v>45832.0</v>
      </c>
      <c r="E152" s="115">
        <v>0.0</v>
      </c>
      <c r="F152" s="116">
        <v>0.0</v>
      </c>
      <c r="G152" s="116">
        <v>-2.106905092E7</v>
      </c>
      <c r="H152" s="137">
        <v>2.3329664E7</v>
      </c>
      <c r="I152" s="109">
        <f t="shared" si="1"/>
        <v>2260613.08</v>
      </c>
    </row>
    <row r="153">
      <c r="A153" s="114">
        <v>45834.0</v>
      </c>
      <c r="B153" s="115" t="s">
        <v>538</v>
      </c>
      <c r="C153" s="115" t="s">
        <v>539</v>
      </c>
      <c r="D153" s="114">
        <v>45833.0</v>
      </c>
      <c r="E153" s="115">
        <v>0.0</v>
      </c>
      <c r="F153" s="116">
        <v>0.0</v>
      </c>
      <c r="G153" s="116">
        <v>-2.106905092E7</v>
      </c>
      <c r="H153" s="137">
        <v>2.3253711E7</v>
      </c>
      <c r="I153" s="109">
        <f t="shared" si="1"/>
        <v>2184660.08</v>
      </c>
    </row>
    <row r="154">
      <c r="A154" s="114">
        <v>45835.0</v>
      </c>
      <c r="B154" s="115" t="s">
        <v>538</v>
      </c>
      <c r="C154" s="115" t="s">
        <v>539</v>
      </c>
      <c r="D154" s="114">
        <v>45834.0</v>
      </c>
      <c r="E154" s="115">
        <v>0.0</v>
      </c>
      <c r="F154" s="116">
        <v>0.0</v>
      </c>
      <c r="G154" s="116">
        <v>-2.106905092E7</v>
      </c>
      <c r="H154" s="137">
        <v>2.3163247E7</v>
      </c>
      <c r="I154" s="109">
        <f t="shared" si="1"/>
        <v>2094196.08</v>
      </c>
    </row>
    <row r="155">
      <c r="A155" s="114">
        <v>45838.0</v>
      </c>
      <c r="B155" s="115" t="s">
        <v>538</v>
      </c>
      <c r="C155" s="115" t="s">
        <v>539</v>
      </c>
      <c r="D155" s="114">
        <v>45835.0</v>
      </c>
      <c r="E155" s="115">
        <v>0.0</v>
      </c>
      <c r="F155" s="116">
        <v>0.0</v>
      </c>
      <c r="G155" s="116">
        <v>-2.106905092E7</v>
      </c>
      <c r="H155" s="137">
        <v>2.3618373E7</v>
      </c>
      <c r="I155" s="109">
        <f t="shared" si="1"/>
        <v>2549322.08</v>
      </c>
    </row>
    <row r="156">
      <c r="A156" s="114">
        <v>45839.0</v>
      </c>
      <c r="B156" s="115" t="s">
        <v>538</v>
      </c>
      <c r="C156" s="115" t="s">
        <v>539</v>
      </c>
      <c r="D156" s="114">
        <v>45838.0</v>
      </c>
      <c r="E156" s="115">
        <v>0.0</v>
      </c>
      <c r="F156" s="116">
        <v>0.0</v>
      </c>
      <c r="G156" s="116">
        <v>-2.106905092E7</v>
      </c>
      <c r="H156" s="137">
        <v>2.3940934E7</v>
      </c>
      <c r="I156" s="109">
        <f t="shared" si="1"/>
        <v>2871883.08</v>
      </c>
    </row>
    <row r="157">
      <c r="A157" s="114">
        <v>45840.0</v>
      </c>
      <c r="B157" s="115" t="s">
        <v>538</v>
      </c>
      <c r="C157" s="115" t="s">
        <v>539</v>
      </c>
      <c r="D157" s="114">
        <v>45839.0</v>
      </c>
      <c r="E157" s="115">
        <v>0.0</v>
      </c>
      <c r="F157" s="116">
        <v>0.0</v>
      </c>
      <c r="G157" s="116">
        <v>-2.106905092E7</v>
      </c>
      <c r="H157" s="137">
        <v>2.3584031E7</v>
      </c>
      <c r="I157" s="109">
        <f t="shared" si="1"/>
        <v>2514980.08</v>
      </c>
    </row>
    <row r="158">
      <c r="A158" s="114">
        <v>45841.0</v>
      </c>
      <c r="B158" s="115" t="s">
        <v>538</v>
      </c>
      <c r="C158" s="115" t="s">
        <v>539</v>
      </c>
      <c r="D158" s="114">
        <v>45840.0</v>
      </c>
      <c r="E158" s="115">
        <v>0.0</v>
      </c>
      <c r="F158" s="116">
        <v>0.0</v>
      </c>
      <c r="G158" s="116">
        <v>-2.106905092E7</v>
      </c>
      <c r="H158" s="137">
        <v>2.3753711E7</v>
      </c>
      <c r="I158" s="109">
        <f t="shared" si="1"/>
        <v>2684660.08</v>
      </c>
    </row>
    <row r="159">
      <c r="A159" s="114">
        <v>45842.0</v>
      </c>
      <c r="B159" s="115" t="s">
        <v>538</v>
      </c>
      <c r="C159" s="115" t="s">
        <v>539</v>
      </c>
      <c r="D159" s="114">
        <v>45841.0</v>
      </c>
      <c r="E159" s="115">
        <v>0.0</v>
      </c>
      <c r="F159" s="116">
        <v>0.0</v>
      </c>
      <c r="G159" s="116">
        <v>-2.106905092E7</v>
      </c>
      <c r="H159" s="137">
        <v>2.3815857E7</v>
      </c>
      <c r="I159" s="109">
        <f t="shared" si="1"/>
        <v>2746806.08</v>
      </c>
    </row>
    <row r="160">
      <c r="A160" s="114">
        <v>45845.0</v>
      </c>
      <c r="B160" s="115" t="s">
        <v>538</v>
      </c>
      <c r="C160" s="115" t="s">
        <v>539</v>
      </c>
      <c r="D160" s="114">
        <v>45842.0</v>
      </c>
      <c r="E160" s="115">
        <v>0.0</v>
      </c>
      <c r="F160" s="116">
        <v>0.0</v>
      </c>
      <c r="G160" s="116">
        <v>-2.106905092E7</v>
      </c>
      <c r="H160" s="137">
        <v>2.3682849E7</v>
      </c>
      <c r="I160" s="109">
        <f t="shared" si="1"/>
        <v>2613798.08</v>
      </c>
    </row>
    <row r="161">
      <c r="A161" s="114">
        <v>45846.0</v>
      </c>
      <c r="B161" s="115" t="s">
        <v>538</v>
      </c>
      <c r="C161" s="115" t="s">
        <v>539</v>
      </c>
      <c r="D161" s="114">
        <v>45845.0</v>
      </c>
      <c r="E161" s="115">
        <v>0.0</v>
      </c>
      <c r="F161" s="116">
        <v>0.0</v>
      </c>
      <c r="G161" s="116">
        <v>-2.106905092E7</v>
      </c>
      <c r="H161" s="137">
        <v>2.3364679E7</v>
      </c>
      <c r="I161" s="109">
        <f t="shared" si="1"/>
        <v>2295628.08</v>
      </c>
    </row>
    <row r="162">
      <c r="A162" s="114">
        <v>45847.0</v>
      </c>
      <c r="B162" s="115" t="s">
        <v>538</v>
      </c>
      <c r="C162" s="115" t="s">
        <v>539</v>
      </c>
      <c r="D162" s="114">
        <v>45846.0</v>
      </c>
      <c r="E162" s="115">
        <v>0.0</v>
      </c>
      <c r="F162" s="116">
        <v>0.0</v>
      </c>
      <c r="G162" s="116">
        <v>-2.106905092E7</v>
      </c>
      <c r="H162" s="137">
        <v>2.2946713E7</v>
      </c>
      <c r="I162" s="109">
        <f t="shared" si="1"/>
        <v>1877662.08</v>
      </c>
    </row>
    <row r="163">
      <c r="A163" s="114">
        <v>45848.0</v>
      </c>
      <c r="B163" s="115" t="s">
        <v>538</v>
      </c>
      <c r="C163" s="115" t="s">
        <v>539</v>
      </c>
      <c r="D163" s="114">
        <v>45847.0</v>
      </c>
      <c r="E163" s="115">
        <v>0.0</v>
      </c>
      <c r="F163" s="116">
        <v>0.0</v>
      </c>
      <c r="G163" s="116">
        <v>-2.106905092E7</v>
      </c>
      <c r="H163" s="137">
        <v>2.3403914E7</v>
      </c>
      <c r="I163" s="109">
        <f t="shared" si="1"/>
        <v>2334863.08</v>
      </c>
    </row>
    <row r="164">
      <c r="A164" s="114">
        <v>45849.0</v>
      </c>
      <c r="B164" s="115" t="s">
        <v>538</v>
      </c>
      <c r="C164" s="115" t="s">
        <v>539</v>
      </c>
      <c r="D164" s="114">
        <v>45848.0</v>
      </c>
      <c r="E164" s="115">
        <v>0.0</v>
      </c>
      <c r="F164" s="116">
        <v>0.0</v>
      </c>
      <c r="G164" s="116">
        <v>-2.106905092E7</v>
      </c>
      <c r="H164" s="137">
        <v>2.3233625E7</v>
      </c>
      <c r="I164" s="109">
        <f t="shared" si="1"/>
        <v>2164574.08</v>
      </c>
    </row>
    <row r="165">
      <c r="A165" s="114">
        <v>45852.0</v>
      </c>
      <c r="B165" s="115" t="s">
        <v>538</v>
      </c>
      <c r="C165" s="115" t="s">
        <v>539</v>
      </c>
      <c r="D165" s="114">
        <v>45849.0</v>
      </c>
      <c r="E165" s="115">
        <v>0.0</v>
      </c>
      <c r="F165" s="116">
        <v>0.0</v>
      </c>
      <c r="G165" s="116">
        <v>-2.106905092E7</v>
      </c>
      <c r="H165" s="137">
        <v>2.3063824E7</v>
      </c>
      <c r="I165" s="109">
        <f t="shared" si="1"/>
        <v>1994773.08</v>
      </c>
    </row>
    <row r="166">
      <c r="A166" s="114">
        <v>45853.0</v>
      </c>
      <c r="B166" s="115" t="s">
        <v>538</v>
      </c>
      <c r="C166" s="115" t="s">
        <v>539</v>
      </c>
      <c r="D166" s="114">
        <v>45852.0</v>
      </c>
      <c r="E166" s="115">
        <v>0.0</v>
      </c>
      <c r="F166" s="116">
        <v>0.0</v>
      </c>
      <c r="G166" s="116">
        <v>-2.106905092E7</v>
      </c>
      <c r="H166" s="137">
        <v>2.3395846E7</v>
      </c>
      <c r="I166" s="109">
        <f t="shared" si="1"/>
        <v>2326795.08</v>
      </c>
    </row>
    <row r="167">
      <c r="A167" s="114">
        <v>45854.0</v>
      </c>
      <c r="B167" s="115" t="s">
        <v>538</v>
      </c>
      <c r="C167" s="115" t="s">
        <v>539</v>
      </c>
      <c r="D167" s="114">
        <v>45853.0</v>
      </c>
      <c r="E167" s="115">
        <v>0.0</v>
      </c>
      <c r="F167" s="116">
        <v>0.0</v>
      </c>
      <c r="G167" s="116">
        <v>-2.106905092E7</v>
      </c>
      <c r="H167" s="137">
        <v>2.361709E7</v>
      </c>
      <c r="I167" s="109">
        <f t="shared" si="1"/>
        <v>2548039.08</v>
      </c>
    </row>
    <row r="168">
      <c r="A168" s="114">
        <v>45855.0</v>
      </c>
      <c r="B168" s="115" t="s">
        <v>538</v>
      </c>
      <c r="C168" s="115" t="s">
        <v>539</v>
      </c>
      <c r="D168" s="114">
        <v>45854.0</v>
      </c>
      <c r="E168" s="115">
        <v>0.0</v>
      </c>
      <c r="F168" s="116">
        <v>0.0</v>
      </c>
      <c r="G168" s="116">
        <v>-2.106905092E7</v>
      </c>
      <c r="H168" s="137">
        <v>2.3649798E7</v>
      </c>
      <c r="I168" s="109">
        <f t="shared" si="1"/>
        <v>2580747.08</v>
      </c>
    </row>
    <row r="169">
      <c r="A169" s="114">
        <v>45856.0</v>
      </c>
      <c r="B169" s="115" t="s">
        <v>538</v>
      </c>
      <c r="C169" s="115" t="s">
        <v>539</v>
      </c>
      <c r="D169" s="114">
        <v>45855.0</v>
      </c>
      <c r="E169" s="115">
        <v>0.0</v>
      </c>
      <c r="F169" s="116">
        <v>0.0</v>
      </c>
      <c r="G169" s="116">
        <v>-2.106905092E7</v>
      </c>
      <c r="H169" s="137">
        <v>2.3645121E7</v>
      </c>
      <c r="I169" s="109">
        <f t="shared" si="1"/>
        <v>2576070.08</v>
      </c>
    </row>
    <row r="170">
      <c r="A170" s="114">
        <v>45859.0</v>
      </c>
      <c r="B170" s="115" t="s">
        <v>538</v>
      </c>
      <c r="C170" s="115" t="s">
        <v>539</v>
      </c>
      <c r="D170" s="114">
        <v>45856.0</v>
      </c>
      <c r="E170" s="115">
        <v>0.0</v>
      </c>
      <c r="F170" s="116">
        <v>0.0</v>
      </c>
      <c r="G170" s="116">
        <v>-2.106905092E7</v>
      </c>
      <c r="H170" s="137">
        <v>2.3391154E7</v>
      </c>
      <c r="I170" s="109">
        <f t="shared" si="1"/>
        <v>2322103.08</v>
      </c>
    </row>
    <row r="171">
      <c r="A171" s="114">
        <v>45860.0</v>
      </c>
      <c r="B171" s="115" t="s">
        <v>538</v>
      </c>
      <c r="C171" s="115" t="s">
        <v>539</v>
      </c>
      <c r="D171" s="114">
        <v>45859.0</v>
      </c>
      <c r="E171" s="115">
        <v>0.0</v>
      </c>
      <c r="F171" s="116">
        <v>0.0</v>
      </c>
      <c r="G171" s="116">
        <v>-2.106905092E7</v>
      </c>
      <c r="H171" s="137">
        <v>2.346588E7</v>
      </c>
      <c r="I171" s="109">
        <f t="shared" si="1"/>
        <v>2396829.08</v>
      </c>
    </row>
    <row r="172">
      <c r="A172" s="114">
        <v>45861.0</v>
      </c>
      <c r="B172" s="115" t="s">
        <v>538</v>
      </c>
      <c r="C172" s="115" t="s">
        <v>539</v>
      </c>
      <c r="D172" s="114">
        <v>45860.0</v>
      </c>
      <c r="E172" s="115">
        <v>0.0</v>
      </c>
      <c r="F172" s="116">
        <v>0.0</v>
      </c>
      <c r="G172" s="116">
        <v>-2.106905092E7</v>
      </c>
      <c r="H172" s="137">
        <v>2.3491929E7</v>
      </c>
      <c r="I172" s="109">
        <f t="shared" si="1"/>
        <v>2422878.08</v>
      </c>
    </row>
    <row r="173">
      <c r="A173" s="114">
        <v>45862.0</v>
      </c>
      <c r="B173" s="115" t="s">
        <v>538</v>
      </c>
      <c r="C173" s="115" t="s">
        <v>539</v>
      </c>
      <c r="D173" s="114">
        <v>45861.0</v>
      </c>
      <c r="E173" s="115">
        <v>0.0</v>
      </c>
      <c r="F173" s="116">
        <v>0.0</v>
      </c>
      <c r="G173" s="116">
        <v>-2.106905092E7</v>
      </c>
      <c r="H173" s="137">
        <v>2.3539747E7</v>
      </c>
      <c r="I173" s="109">
        <f t="shared" si="1"/>
        <v>2470696.08</v>
      </c>
    </row>
    <row r="174">
      <c r="A174" s="114">
        <v>45863.0</v>
      </c>
      <c r="B174" s="115" t="s">
        <v>538</v>
      </c>
      <c r="C174" s="115" t="s">
        <v>539</v>
      </c>
      <c r="D174" s="114">
        <v>45862.0</v>
      </c>
      <c r="E174" s="115">
        <v>0.0</v>
      </c>
      <c r="F174" s="116">
        <v>0.0</v>
      </c>
      <c r="G174" s="116">
        <v>-2.106905092E7</v>
      </c>
      <c r="H174" s="137">
        <v>2.3601525E7</v>
      </c>
      <c r="I174" s="109">
        <f t="shared" si="1"/>
        <v>2532474.08</v>
      </c>
    </row>
    <row r="175">
      <c r="A175" s="114">
        <v>45866.0</v>
      </c>
      <c r="B175" s="115" t="s">
        <v>538</v>
      </c>
      <c r="C175" s="115" t="s">
        <v>539</v>
      </c>
      <c r="D175" s="114">
        <v>45863.0</v>
      </c>
      <c r="E175" s="115">
        <v>0.0</v>
      </c>
      <c r="F175" s="116">
        <v>0.0</v>
      </c>
      <c r="G175" s="116">
        <v>-2.106905092E7</v>
      </c>
      <c r="H175" s="137">
        <v>2.3226108E7</v>
      </c>
      <c r="I175" s="109">
        <f t="shared" si="1"/>
        <v>2157057.08</v>
      </c>
    </row>
    <row r="176">
      <c r="A176" s="114">
        <v>45867.0</v>
      </c>
      <c r="B176" s="115" t="s">
        <v>538</v>
      </c>
      <c r="C176" s="115" t="s">
        <v>539</v>
      </c>
      <c r="D176" s="114">
        <v>45866.0</v>
      </c>
      <c r="E176" s="115">
        <v>0.0</v>
      </c>
      <c r="F176" s="116">
        <v>0.0</v>
      </c>
      <c r="G176" s="116">
        <v>-2.106905092E7</v>
      </c>
      <c r="H176" s="137">
        <v>2.2979653E7</v>
      </c>
      <c r="I176" s="109">
        <f t="shared" si="1"/>
        <v>1910602.08</v>
      </c>
    </row>
    <row r="177">
      <c r="A177" s="114">
        <v>45868.0</v>
      </c>
      <c r="B177" s="115" t="s">
        <v>538</v>
      </c>
      <c r="C177" s="115" t="s">
        <v>539</v>
      </c>
      <c r="D177" s="114">
        <v>45867.0</v>
      </c>
      <c r="E177" s="115">
        <v>0.0</v>
      </c>
      <c r="F177" s="116">
        <v>0.0</v>
      </c>
      <c r="G177" s="116">
        <v>-2.106905092E7</v>
      </c>
      <c r="H177" s="137">
        <v>2.3258955E7</v>
      </c>
      <c r="I177" s="109">
        <f t="shared" si="1"/>
        <v>2189904.08</v>
      </c>
    </row>
    <row r="178">
      <c r="A178" s="140">
        <v>45869.0</v>
      </c>
      <c r="B178" s="141" t="s">
        <v>538</v>
      </c>
      <c r="C178" s="141" t="s">
        <v>539</v>
      </c>
      <c r="D178" s="140">
        <v>45868.0</v>
      </c>
      <c r="E178" s="141">
        <v>0.0</v>
      </c>
      <c r="F178" s="142">
        <v>0.0</v>
      </c>
      <c r="G178" s="142">
        <v>-2.106905092E7</v>
      </c>
      <c r="H178" s="137">
        <v>2.3450027E7</v>
      </c>
      <c r="I178" s="109">
        <f t="shared" si="1"/>
        <v>2380976.08</v>
      </c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</row>
    <row r="179">
      <c r="A179" s="140">
        <v>45870.0</v>
      </c>
      <c r="B179" s="141" t="s">
        <v>538</v>
      </c>
      <c r="C179" s="141" t="s">
        <v>539</v>
      </c>
      <c r="D179" s="140">
        <v>45869.0</v>
      </c>
      <c r="E179" s="141">
        <v>0.0</v>
      </c>
      <c r="F179" s="142">
        <v>0.0</v>
      </c>
      <c r="G179" s="142">
        <v>-2.106905092E7</v>
      </c>
      <c r="H179" s="137">
        <v>2.3510771E7</v>
      </c>
      <c r="I179" s="109">
        <f t="shared" si="1"/>
        <v>2441720.08</v>
      </c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</row>
    <row r="180">
      <c r="A180" s="140">
        <v>45873.0</v>
      </c>
      <c r="B180" s="141" t="s">
        <v>538</v>
      </c>
      <c r="C180" s="141" t="s">
        <v>539</v>
      </c>
      <c r="D180" s="140">
        <v>45870.0</v>
      </c>
      <c r="E180" s="141">
        <v>0.0</v>
      </c>
      <c r="F180" s="142">
        <v>0.0</v>
      </c>
      <c r="G180" s="142">
        <v>-2.106905092E7</v>
      </c>
      <c r="H180" s="137">
        <v>2.3114334E7</v>
      </c>
      <c r="I180" s="109">
        <f t="shared" si="1"/>
        <v>2045283.08</v>
      </c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</row>
    <row r="181">
      <c r="A181" s="140">
        <v>45874.0</v>
      </c>
      <c r="B181" s="141" t="s">
        <v>538</v>
      </c>
      <c r="C181" s="141" t="s">
        <v>539</v>
      </c>
      <c r="D181" s="140">
        <v>45873.0</v>
      </c>
      <c r="E181" s="141">
        <v>0.0</v>
      </c>
      <c r="F181" s="142">
        <v>0.0</v>
      </c>
      <c r="G181" s="142">
        <v>-2.106905092E7</v>
      </c>
      <c r="H181" s="137">
        <v>2.3400489E7</v>
      </c>
      <c r="I181" s="109">
        <f t="shared" si="1"/>
        <v>2331438.08</v>
      </c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</row>
    <row r="182">
      <c r="A182" s="143">
        <v>45875.0</v>
      </c>
      <c r="B182" s="144" t="s">
        <v>550</v>
      </c>
      <c r="C182" s="144" t="s">
        <v>551</v>
      </c>
      <c r="D182" s="145">
        <v>45874.0</v>
      </c>
      <c r="E182" s="144">
        <v>0.0</v>
      </c>
      <c r="F182" s="144">
        <v>984161.95</v>
      </c>
      <c r="G182" s="144">
        <v>-2.008488897E7</v>
      </c>
      <c r="H182" s="146">
        <v>2.3223923E7</v>
      </c>
      <c r="I182" s="147">
        <f t="shared" si="1"/>
        <v>3139034.03</v>
      </c>
      <c r="J182" s="148"/>
      <c r="K182" s="148"/>
      <c r="L182" s="148"/>
      <c r="M182" s="148"/>
      <c r="N182" s="148"/>
      <c r="O182" s="148"/>
      <c r="P182" s="148"/>
      <c r="Q182" s="148"/>
      <c r="R182" s="148"/>
      <c r="S182" s="148"/>
      <c r="T182" s="148"/>
      <c r="U182" s="148"/>
      <c r="V182" s="148"/>
      <c r="W182" s="148"/>
      <c r="X182" s="148"/>
      <c r="Y182" s="148"/>
      <c r="Z182" s="148"/>
    </row>
    <row r="183">
      <c r="A183" s="143">
        <v>45875.0</v>
      </c>
      <c r="B183" s="144" t="s">
        <v>552</v>
      </c>
      <c r="C183" s="144" t="s">
        <v>553</v>
      </c>
      <c r="D183" s="145">
        <v>45874.0</v>
      </c>
      <c r="E183" s="144">
        <v>740715.28</v>
      </c>
      <c r="F183" s="144">
        <v>0.0</v>
      </c>
      <c r="G183" s="144">
        <v>-2.082560425E7</v>
      </c>
      <c r="H183" s="146">
        <v>2.3223923E7</v>
      </c>
      <c r="I183" s="147">
        <f t="shared" si="1"/>
        <v>2398318.75</v>
      </c>
      <c r="J183" s="148"/>
      <c r="K183" s="148"/>
      <c r="L183" s="148"/>
      <c r="M183" s="148"/>
      <c r="N183" s="148"/>
      <c r="O183" s="148"/>
      <c r="P183" s="148"/>
      <c r="Q183" s="148"/>
      <c r="R183" s="148"/>
      <c r="S183" s="148"/>
      <c r="T183" s="148"/>
      <c r="U183" s="148"/>
      <c r="V183" s="148"/>
      <c r="W183" s="148"/>
      <c r="X183" s="148"/>
      <c r="Y183" s="148"/>
      <c r="Z183" s="148"/>
    </row>
    <row r="184">
      <c r="A184" s="143">
        <v>45876.0</v>
      </c>
      <c r="B184" s="144" t="s">
        <v>552</v>
      </c>
      <c r="C184" s="144" t="s">
        <v>553</v>
      </c>
      <c r="D184" s="145">
        <v>45875.0</v>
      </c>
      <c r="E184" s="144">
        <v>0.0</v>
      </c>
      <c r="F184" s="144">
        <v>0.0</v>
      </c>
      <c r="G184" s="144">
        <v>-2.082560425E7</v>
      </c>
      <c r="H184" s="146">
        <v>2.3091875E7</v>
      </c>
      <c r="I184" s="147">
        <f t="shared" si="1"/>
        <v>2266270.75</v>
      </c>
      <c r="J184" s="148"/>
      <c r="K184" s="148"/>
      <c r="L184" s="148"/>
      <c r="M184" s="148"/>
      <c r="N184" s="148"/>
      <c r="O184" s="148"/>
      <c r="P184" s="148"/>
      <c r="Q184" s="148"/>
      <c r="R184" s="148"/>
      <c r="S184" s="148"/>
      <c r="T184" s="148"/>
      <c r="U184" s="148"/>
      <c r="V184" s="148"/>
      <c r="W184" s="148"/>
      <c r="X184" s="148"/>
      <c r="Y184" s="148"/>
      <c r="Z184" s="148"/>
    </row>
    <row r="185">
      <c r="A185" s="143">
        <v>45877.0</v>
      </c>
      <c r="B185" s="144" t="s">
        <v>552</v>
      </c>
      <c r="C185" s="144" t="s">
        <v>553</v>
      </c>
      <c r="D185" s="145">
        <v>45876.0</v>
      </c>
      <c r="E185" s="144">
        <v>0.0</v>
      </c>
      <c r="F185" s="144">
        <v>0.0</v>
      </c>
      <c r="G185" s="144">
        <v>-2.082560425E7</v>
      </c>
      <c r="H185" s="146">
        <v>2.2863329E7</v>
      </c>
      <c r="I185" s="147">
        <f t="shared" si="1"/>
        <v>2037724.75</v>
      </c>
      <c r="J185" s="148"/>
      <c r="K185" s="148"/>
      <c r="L185" s="148"/>
      <c r="M185" s="148"/>
      <c r="N185" s="148"/>
      <c r="O185" s="148"/>
      <c r="P185" s="148"/>
      <c r="Q185" s="148"/>
      <c r="R185" s="148"/>
      <c r="S185" s="148"/>
      <c r="T185" s="148"/>
      <c r="U185" s="148"/>
      <c r="V185" s="148"/>
      <c r="W185" s="148"/>
      <c r="X185" s="148"/>
      <c r="Y185" s="148"/>
      <c r="Z185" s="148"/>
    </row>
    <row r="186">
      <c r="A186" s="143">
        <v>45880.0</v>
      </c>
      <c r="B186" s="144" t="s">
        <v>552</v>
      </c>
      <c r="C186" s="144" t="s">
        <v>553</v>
      </c>
      <c r="D186" s="145">
        <v>45877.0</v>
      </c>
      <c r="E186" s="144">
        <v>0.0</v>
      </c>
      <c r="F186" s="144">
        <v>0.0</v>
      </c>
      <c r="G186" s="144">
        <v>-2.082560425E7</v>
      </c>
      <c r="H186" s="146">
        <v>2.2339386E7</v>
      </c>
      <c r="I186" s="147">
        <f t="shared" si="1"/>
        <v>1513781.75</v>
      </c>
      <c r="J186" s="148"/>
      <c r="K186" s="148"/>
      <c r="L186" s="148"/>
      <c r="M186" s="148"/>
      <c r="N186" s="148"/>
      <c r="O186" s="148"/>
      <c r="P186" s="148"/>
      <c r="Q186" s="148"/>
      <c r="R186" s="148"/>
      <c r="S186" s="148"/>
      <c r="T186" s="148"/>
      <c r="U186" s="148"/>
      <c r="V186" s="148"/>
      <c r="W186" s="148"/>
      <c r="X186" s="148"/>
      <c r="Y186" s="148"/>
      <c r="Z186" s="148"/>
    </row>
    <row r="187">
      <c r="A187" s="143">
        <v>45881.0</v>
      </c>
      <c r="B187" s="144" t="s">
        <v>552</v>
      </c>
      <c r="C187" s="144" t="s">
        <v>553</v>
      </c>
      <c r="D187" s="145">
        <v>45880.0</v>
      </c>
      <c r="E187" s="144">
        <v>0.0</v>
      </c>
      <c r="F187" s="144">
        <v>0.0</v>
      </c>
      <c r="G187" s="144">
        <v>-2.082560425E7</v>
      </c>
      <c r="H187" s="146">
        <v>2.2461475E7</v>
      </c>
      <c r="I187" s="147">
        <f t="shared" si="1"/>
        <v>1635870.75</v>
      </c>
      <c r="J187" s="148"/>
      <c r="K187" s="148"/>
      <c r="L187" s="148"/>
      <c r="M187" s="148"/>
      <c r="N187" s="148"/>
      <c r="O187" s="148"/>
      <c r="P187" s="148"/>
      <c r="Q187" s="148"/>
      <c r="R187" s="148"/>
      <c r="S187" s="148"/>
      <c r="T187" s="148"/>
      <c r="U187" s="148"/>
      <c r="V187" s="148"/>
      <c r="W187" s="148"/>
      <c r="X187" s="148"/>
      <c r="Y187" s="148"/>
      <c r="Z187" s="148"/>
    </row>
    <row r="188">
      <c r="A188" s="143">
        <v>45882.0</v>
      </c>
      <c r="B188" s="144" t="s">
        <v>552</v>
      </c>
      <c r="C188" s="144" t="s">
        <v>553</v>
      </c>
      <c r="D188" s="145">
        <v>45881.0</v>
      </c>
      <c r="E188" s="144">
        <v>0.0</v>
      </c>
      <c r="F188" s="144">
        <v>0.0</v>
      </c>
      <c r="G188" s="144">
        <v>-2.082560425E7</v>
      </c>
      <c r="H188" s="146">
        <v>2.2385843E7</v>
      </c>
      <c r="I188" s="147">
        <f t="shared" si="1"/>
        <v>1560238.75</v>
      </c>
      <c r="J188" s="148"/>
      <c r="K188" s="148"/>
      <c r="L188" s="148"/>
      <c r="M188" s="148"/>
      <c r="N188" s="148"/>
      <c r="O188" s="148"/>
      <c r="P188" s="148"/>
      <c r="Q188" s="148"/>
      <c r="R188" s="148"/>
      <c r="S188" s="148"/>
      <c r="T188" s="148"/>
      <c r="U188" s="148"/>
      <c r="V188" s="148"/>
      <c r="W188" s="148"/>
      <c r="X188" s="148"/>
      <c r="Y188" s="148"/>
      <c r="Z188" s="148"/>
    </row>
    <row r="189">
      <c r="A189" s="143">
        <v>45883.0</v>
      </c>
      <c r="B189" s="144" t="s">
        <v>552</v>
      </c>
      <c r="C189" s="144" t="s">
        <v>553</v>
      </c>
      <c r="D189" s="145">
        <v>45882.0</v>
      </c>
      <c r="E189" s="144">
        <v>0.0</v>
      </c>
      <c r="F189" s="144">
        <v>0.0</v>
      </c>
      <c r="G189" s="144">
        <v>-2.082560425E7</v>
      </c>
      <c r="H189" s="146">
        <v>2.2712925E7</v>
      </c>
      <c r="I189" s="147">
        <f t="shared" si="1"/>
        <v>1887320.75</v>
      </c>
      <c r="J189" s="148"/>
      <c r="K189" s="148"/>
      <c r="L189" s="148"/>
      <c r="M189" s="148"/>
      <c r="N189" s="148"/>
      <c r="O189" s="148"/>
      <c r="P189" s="148"/>
      <c r="Q189" s="148"/>
      <c r="R189" s="148"/>
      <c r="S189" s="148"/>
      <c r="T189" s="148"/>
      <c r="U189" s="148"/>
      <c r="V189" s="148"/>
      <c r="W189" s="148"/>
      <c r="X189" s="148"/>
      <c r="Y189" s="148"/>
      <c r="Z189" s="148"/>
    </row>
    <row r="190">
      <c r="A190" s="143">
        <v>45887.0</v>
      </c>
      <c r="B190" s="144" t="s">
        <v>552</v>
      </c>
      <c r="C190" s="144" t="s">
        <v>553</v>
      </c>
      <c r="D190" s="145">
        <v>45883.0</v>
      </c>
      <c r="E190" s="144">
        <v>0.0</v>
      </c>
      <c r="F190" s="144">
        <v>0.0</v>
      </c>
      <c r="G190" s="144">
        <v>-2.082560425E7</v>
      </c>
      <c r="H190" s="146">
        <v>2.2696224E7</v>
      </c>
      <c r="I190" s="147">
        <f t="shared" si="1"/>
        <v>1870619.75</v>
      </c>
      <c r="J190" s="148"/>
      <c r="K190" s="148"/>
      <c r="L190" s="148"/>
      <c r="M190" s="148"/>
      <c r="N190" s="148"/>
      <c r="O190" s="148"/>
      <c r="P190" s="148"/>
      <c r="Q190" s="148"/>
      <c r="R190" s="148"/>
      <c r="S190" s="148"/>
      <c r="T190" s="148"/>
      <c r="U190" s="148"/>
      <c r="V190" s="148"/>
      <c r="W190" s="148"/>
      <c r="X190" s="148"/>
      <c r="Y190" s="148"/>
      <c r="Z190" s="148"/>
    </row>
    <row r="191">
      <c r="A191" s="143">
        <v>45888.0</v>
      </c>
      <c r="B191" s="144" t="s">
        <v>552</v>
      </c>
      <c r="C191" s="144" t="s">
        <v>553</v>
      </c>
      <c r="D191" s="145">
        <v>45887.0</v>
      </c>
      <c r="E191" s="144">
        <v>0.0</v>
      </c>
      <c r="F191" s="144">
        <v>0.0</v>
      </c>
      <c r="G191" s="144">
        <v>-2.082560425E7</v>
      </c>
      <c r="H191" s="146">
        <v>2.2970707E7</v>
      </c>
      <c r="I191" s="147">
        <f t="shared" si="1"/>
        <v>2145102.75</v>
      </c>
      <c r="J191" s="148"/>
      <c r="K191" s="148"/>
      <c r="L191" s="148"/>
      <c r="M191" s="148"/>
      <c r="N191" s="148"/>
      <c r="O191" s="148"/>
      <c r="P191" s="148"/>
      <c r="Q191" s="148"/>
      <c r="R191" s="148"/>
      <c r="S191" s="148"/>
      <c r="T191" s="148"/>
      <c r="U191" s="148"/>
      <c r="V191" s="148"/>
      <c r="W191" s="148"/>
      <c r="X191" s="148"/>
      <c r="Y191" s="148"/>
      <c r="Z191" s="148"/>
    </row>
    <row r="192">
      <c r="A192" s="143">
        <v>45889.0</v>
      </c>
      <c r="B192" s="144" t="s">
        <v>552</v>
      </c>
      <c r="C192" s="144" t="s">
        <v>553</v>
      </c>
      <c r="D192" s="145">
        <v>45888.0</v>
      </c>
      <c r="E192" s="144">
        <v>0.0</v>
      </c>
      <c r="F192" s="144">
        <v>0.0</v>
      </c>
      <c r="G192" s="144">
        <v>-2.082560425E7</v>
      </c>
      <c r="H192" s="146">
        <v>2.3166188E7</v>
      </c>
      <c r="I192" s="147">
        <f t="shared" si="1"/>
        <v>2340583.75</v>
      </c>
      <c r="J192" s="148"/>
      <c r="K192" s="148"/>
      <c r="L192" s="148"/>
      <c r="M192" s="148"/>
      <c r="N192" s="148"/>
      <c r="O192" s="148"/>
      <c r="P192" s="148"/>
      <c r="Q192" s="148"/>
      <c r="R192" s="148"/>
      <c r="S192" s="148"/>
      <c r="T192" s="148"/>
      <c r="U192" s="148"/>
      <c r="V192" s="148"/>
      <c r="W192" s="148"/>
      <c r="X192" s="148"/>
      <c r="Y192" s="148"/>
      <c r="Z192" s="148"/>
    </row>
    <row r="193">
      <c r="A193" s="143">
        <v>45890.0</v>
      </c>
      <c r="B193" s="144" t="s">
        <v>552</v>
      </c>
      <c r="C193" s="144" t="s">
        <v>553</v>
      </c>
      <c r="D193" s="145">
        <v>45889.0</v>
      </c>
      <c r="E193" s="144">
        <v>0.0</v>
      </c>
      <c r="F193" s="144">
        <v>0.0</v>
      </c>
      <c r="G193" s="144">
        <v>-2.082560425E7</v>
      </c>
      <c r="H193" s="146">
        <v>2.340441E7</v>
      </c>
      <c r="I193" s="147">
        <f t="shared" si="1"/>
        <v>2578805.75</v>
      </c>
      <c r="J193" s="148"/>
      <c r="K193" s="148"/>
      <c r="L193" s="148"/>
      <c r="M193" s="148"/>
      <c r="N193" s="148"/>
      <c r="O193" s="148"/>
      <c r="P193" s="148"/>
      <c r="Q193" s="148"/>
      <c r="R193" s="148"/>
      <c r="S193" s="148"/>
      <c r="T193" s="148"/>
      <c r="U193" s="148"/>
      <c r="V193" s="148"/>
      <c r="W193" s="148"/>
      <c r="X193" s="148"/>
      <c r="Y193" s="148"/>
      <c r="Z193" s="148"/>
    </row>
    <row r="194">
      <c r="A194" s="143">
        <v>45891.0</v>
      </c>
      <c r="B194" s="144" t="s">
        <v>552</v>
      </c>
      <c r="C194" s="144" t="s">
        <v>553</v>
      </c>
      <c r="D194" s="145">
        <v>45890.0</v>
      </c>
      <c r="E194" s="144">
        <v>0.0</v>
      </c>
      <c r="F194" s="144">
        <v>0.0</v>
      </c>
      <c r="G194" s="144">
        <v>-2.082560425E7</v>
      </c>
      <c r="H194" s="146">
        <v>2.3349842E7</v>
      </c>
      <c r="I194" s="147">
        <f t="shared" si="1"/>
        <v>2524237.75</v>
      </c>
      <c r="J194" s="148"/>
      <c r="K194" s="148"/>
      <c r="L194" s="148"/>
      <c r="M194" s="148"/>
      <c r="N194" s="148"/>
      <c r="O194" s="148"/>
      <c r="P194" s="148"/>
      <c r="Q194" s="148"/>
      <c r="R194" s="148"/>
      <c r="S194" s="148"/>
      <c r="T194" s="148"/>
      <c r="U194" s="148"/>
      <c r="V194" s="148"/>
      <c r="W194" s="148"/>
      <c r="X194" s="148"/>
      <c r="Y194" s="148"/>
      <c r="Z194" s="148"/>
    </row>
    <row r="195">
      <c r="A195" s="143">
        <v>45894.0</v>
      </c>
      <c r="B195" s="144" t="s">
        <v>552</v>
      </c>
      <c r="C195" s="144" t="s">
        <v>553</v>
      </c>
      <c r="D195" s="145">
        <v>45891.0</v>
      </c>
      <c r="E195" s="144">
        <v>0.0</v>
      </c>
      <c r="F195" s="144">
        <v>0.0</v>
      </c>
      <c r="G195" s="144">
        <v>-2.082560425E7</v>
      </c>
      <c r="H195" s="146">
        <v>2.3253573E7</v>
      </c>
      <c r="I195" s="147">
        <f t="shared" si="1"/>
        <v>2427968.75</v>
      </c>
      <c r="J195" s="148"/>
      <c r="K195" s="148"/>
      <c r="L195" s="148"/>
      <c r="M195" s="148"/>
      <c r="N195" s="148"/>
      <c r="O195" s="148"/>
      <c r="P195" s="148"/>
      <c r="Q195" s="148"/>
      <c r="R195" s="148"/>
      <c r="S195" s="148"/>
      <c r="T195" s="148"/>
      <c r="U195" s="148"/>
      <c r="V195" s="148"/>
      <c r="W195" s="148"/>
      <c r="X195" s="148"/>
      <c r="Y195" s="148"/>
      <c r="Z195" s="148"/>
    </row>
    <row r="196">
      <c r="A196" s="143">
        <v>45895.0</v>
      </c>
      <c r="B196" s="144" t="s">
        <v>552</v>
      </c>
      <c r="C196" s="144" t="s">
        <v>553</v>
      </c>
      <c r="D196" s="145">
        <v>45894.0</v>
      </c>
      <c r="E196" s="144">
        <v>0.0</v>
      </c>
      <c r="F196" s="144">
        <v>0.0</v>
      </c>
      <c r="G196" s="144">
        <v>-2.082560425E7</v>
      </c>
      <c r="H196" s="146">
        <v>2.3225037E7</v>
      </c>
      <c r="I196" s="147">
        <f t="shared" si="1"/>
        <v>2399432.75</v>
      </c>
      <c r="J196" s="148"/>
      <c r="K196" s="148"/>
      <c r="L196" s="148"/>
      <c r="M196" s="148"/>
      <c r="N196" s="148"/>
      <c r="O196" s="148"/>
      <c r="P196" s="148"/>
      <c r="Q196" s="148"/>
      <c r="R196" s="148"/>
      <c r="S196" s="148"/>
      <c r="T196" s="148"/>
      <c r="U196" s="148"/>
      <c r="V196" s="148"/>
      <c r="W196" s="148"/>
      <c r="X196" s="148"/>
      <c r="Y196" s="148"/>
      <c r="Z196" s="148"/>
    </row>
    <row r="197">
      <c r="A197" s="143">
        <v>45897.0</v>
      </c>
      <c r="B197" s="144" t="s">
        <v>552</v>
      </c>
      <c r="C197" s="144" t="s">
        <v>553</v>
      </c>
      <c r="D197" s="145">
        <v>45895.0</v>
      </c>
      <c r="E197" s="144">
        <v>0.0</v>
      </c>
      <c r="F197" s="144">
        <v>0.0</v>
      </c>
      <c r="G197" s="144">
        <v>-2.082560425E7</v>
      </c>
      <c r="H197" s="146">
        <v>2.2802304E7</v>
      </c>
      <c r="I197" s="147">
        <f t="shared" si="1"/>
        <v>1976699.75</v>
      </c>
      <c r="J197" s="148"/>
      <c r="K197" s="148"/>
      <c r="L197" s="148"/>
      <c r="M197" s="148"/>
      <c r="N197" s="148"/>
      <c r="O197" s="148"/>
      <c r="P197" s="148"/>
      <c r="Q197" s="148"/>
      <c r="R197" s="148"/>
      <c r="S197" s="148"/>
      <c r="T197" s="148"/>
      <c r="U197" s="148"/>
      <c r="V197" s="148"/>
      <c r="W197" s="148"/>
      <c r="X197" s="148"/>
      <c r="Y197" s="148"/>
      <c r="Z197" s="148"/>
    </row>
    <row r="198">
      <c r="A198" s="143">
        <v>45898.0</v>
      </c>
      <c r="B198" s="144" t="s">
        <v>552</v>
      </c>
      <c r="C198" s="144" t="s">
        <v>553</v>
      </c>
      <c r="D198" s="145">
        <v>45897.0</v>
      </c>
      <c r="E198" s="144">
        <v>0.0</v>
      </c>
      <c r="F198" s="144">
        <v>0.0</v>
      </c>
      <c r="G198" s="144">
        <v>-2.082560425E7</v>
      </c>
      <c r="H198" s="146">
        <v>2.2556863E7</v>
      </c>
      <c r="I198" s="147">
        <f t="shared" si="1"/>
        <v>1731258.75</v>
      </c>
      <c r="J198" s="148"/>
      <c r="K198" s="148"/>
      <c r="L198" s="148"/>
      <c r="M198" s="148"/>
      <c r="N198" s="148"/>
      <c r="O198" s="148"/>
      <c r="P198" s="148"/>
      <c r="Q198" s="148"/>
      <c r="R198" s="148"/>
      <c r="S198" s="148"/>
      <c r="T198" s="148"/>
      <c r="U198" s="148"/>
      <c r="V198" s="148"/>
      <c r="W198" s="148"/>
      <c r="X198" s="148"/>
      <c r="Y198" s="148"/>
      <c r="Z198" s="148"/>
    </row>
    <row r="199">
      <c r="A199" s="143">
        <v>45901.0</v>
      </c>
      <c r="B199" s="144" t="s">
        <v>552</v>
      </c>
      <c r="C199" s="144" t="s">
        <v>553</v>
      </c>
      <c r="D199" s="145">
        <v>45898.0</v>
      </c>
      <c r="E199" s="144">
        <v>0.0</v>
      </c>
      <c r="F199" s="144">
        <v>0.0</v>
      </c>
      <c r="G199" s="144">
        <v>-2.082560425E7</v>
      </c>
      <c r="H199" s="146">
        <v>2.2441083E7</v>
      </c>
      <c r="I199" s="147">
        <f t="shared" si="1"/>
        <v>1615478.75</v>
      </c>
      <c r="J199" s="148"/>
      <c r="K199" s="148"/>
      <c r="L199" s="148"/>
      <c r="M199" s="148"/>
      <c r="N199" s="148"/>
      <c r="O199" s="148"/>
      <c r="P199" s="148"/>
      <c r="Q199" s="148"/>
      <c r="R199" s="148"/>
      <c r="S199" s="148"/>
      <c r="T199" s="148"/>
      <c r="U199" s="148"/>
      <c r="V199" s="148"/>
      <c r="W199" s="148"/>
      <c r="X199" s="148"/>
      <c r="Y199" s="148"/>
      <c r="Z199" s="148"/>
    </row>
    <row r="200">
      <c r="A200" s="143">
        <v>45902.0</v>
      </c>
      <c r="B200" s="144" t="s">
        <v>552</v>
      </c>
      <c r="C200" s="144" t="s">
        <v>553</v>
      </c>
      <c r="D200" s="145">
        <v>45901.0</v>
      </c>
      <c r="E200" s="144">
        <v>0.0</v>
      </c>
      <c r="F200" s="144">
        <v>0.0</v>
      </c>
      <c r="G200" s="144">
        <v>-2.082560425E7</v>
      </c>
      <c r="H200" s="146">
        <v>2.281589E7</v>
      </c>
      <c r="I200" s="147">
        <f t="shared" si="1"/>
        <v>1990285.75</v>
      </c>
      <c r="J200" s="148"/>
      <c r="K200" s="148"/>
      <c r="L200" s="148"/>
      <c r="M200" s="148"/>
      <c r="N200" s="148"/>
      <c r="O200" s="148"/>
      <c r="P200" s="148"/>
      <c r="Q200" s="148"/>
      <c r="R200" s="148"/>
      <c r="S200" s="148"/>
      <c r="T200" s="148"/>
      <c r="U200" s="148"/>
      <c r="V200" s="148"/>
      <c r="W200" s="148"/>
      <c r="X200" s="148"/>
      <c r="Y200" s="148"/>
      <c r="Z200" s="148"/>
    </row>
    <row r="201">
      <c r="A201" s="143">
        <v>45903.0</v>
      </c>
      <c r="B201" s="144" t="s">
        <v>552</v>
      </c>
      <c r="C201" s="144" t="s">
        <v>553</v>
      </c>
      <c r="D201" s="145">
        <v>45902.0</v>
      </c>
      <c r="E201" s="144">
        <v>0.0</v>
      </c>
      <c r="F201" s="144">
        <v>0.0</v>
      </c>
      <c r="G201" s="144">
        <v>-2.082560425E7</v>
      </c>
      <c r="H201" s="146">
        <v>2.2792272E7</v>
      </c>
      <c r="I201" s="147">
        <f t="shared" si="1"/>
        <v>1966667.75</v>
      </c>
      <c r="J201" s="148"/>
      <c r="K201" s="148"/>
      <c r="L201" s="148"/>
      <c r="M201" s="148"/>
      <c r="N201" s="148"/>
      <c r="O201" s="148"/>
      <c r="P201" s="148"/>
      <c r="Q201" s="148"/>
      <c r="R201" s="148"/>
      <c r="S201" s="148"/>
      <c r="T201" s="148"/>
      <c r="U201" s="148"/>
      <c r="V201" s="148"/>
      <c r="W201" s="148"/>
      <c r="X201" s="148"/>
      <c r="Y201" s="148"/>
      <c r="Z201" s="148"/>
    </row>
    <row r="202">
      <c r="A202" s="143">
        <v>45904.0</v>
      </c>
      <c r="B202" s="144" t="s">
        <v>552</v>
      </c>
      <c r="C202" s="144" t="s">
        <v>553</v>
      </c>
      <c r="D202" s="145">
        <v>45903.0</v>
      </c>
      <c r="E202" s="144">
        <v>0.0</v>
      </c>
      <c r="F202" s="144">
        <v>0.0</v>
      </c>
      <c r="G202" s="144">
        <v>-2.082560425E7</v>
      </c>
      <c r="H202" s="146">
        <v>2.320045E7</v>
      </c>
      <c r="I202" s="147">
        <f t="shared" si="1"/>
        <v>2374845.75</v>
      </c>
      <c r="J202" s="148"/>
      <c r="K202" s="148"/>
      <c r="L202" s="148"/>
      <c r="M202" s="148"/>
      <c r="N202" s="148"/>
      <c r="O202" s="148"/>
      <c r="P202" s="148"/>
      <c r="Q202" s="148"/>
      <c r="R202" s="148"/>
      <c r="S202" s="148"/>
      <c r="T202" s="148"/>
      <c r="U202" s="148"/>
      <c r="V202" s="148"/>
      <c r="W202" s="148"/>
      <c r="X202" s="148"/>
      <c r="Y202" s="148"/>
      <c r="Z202" s="148"/>
    </row>
    <row r="203">
      <c r="A203" s="143">
        <v>45909.0</v>
      </c>
      <c r="B203" s="144" t="s">
        <v>552</v>
      </c>
      <c r="C203" s="144" t="s">
        <v>553</v>
      </c>
      <c r="D203" s="145">
        <v>45904.0</v>
      </c>
      <c r="E203" s="144">
        <v>0.0</v>
      </c>
      <c r="F203" s="144">
        <v>0.0</v>
      </c>
      <c r="G203" s="144">
        <v>-2.082560425E7</v>
      </c>
      <c r="H203" s="146">
        <v>2.3077384E7</v>
      </c>
      <c r="I203" s="147">
        <f t="shared" si="1"/>
        <v>2251779.75</v>
      </c>
      <c r="J203" s="148"/>
      <c r="K203" s="148"/>
      <c r="L203" s="148"/>
      <c r="M203" s="148"/>
      <c r="N203" s="148"/>
      <c r="O203" s="148"/>
      <c r="P203" s="148"/>
      <c r="Q203" s="148"/>
      <c r="R203" s="148"/>
      <c r="S203" s="148"/>
      <c r="T203" s="148"/>
      <c r="U203" s="148"/>
      <c r="V203" s="148"/>
      <c r="W203" s="148"/>
      <c r="X203" s="148"/>
      <c r="Y203" s="148"/>
      <c r="Z203" s="148"/>
    </row>
    <row r="204">
      <c r="A204" s="143">
        <v>45909.0</v>
      </c>
      <c r="B204" s="144" t="s">
        <v>552</v>
      </c>
      <c r="C204" s="144" t="s">
        <v>553</v>
      </c>
      <c r="D204" s="145">
        <v>45905.0</v>
      </c>
      <c r="E204" s="144">
        <v>0.0</v>
      </c>
      <c r="F204" s="144">
        <v>0.0</v>
      </c>
      <c r="G204" s="144">
        <v>-2.082560425E7</v>
      </c>
      <c r="H204" s="146">
        <v>2.3215366E7</v>
      </c>
      <c r="I204" s="147">
        <f t="shared" si="1"/>
        <v>2389761.75</v>
      </c>
      <c r="J204" s="148"/>
      <c r="K204" s="148"/>
      <c r="L204" s="148"/>
      <c r="M204" s="148"/>
      <c r="N204" s="148"/>
      <c r="O204" s="148"/>
      <c r="P204" s="148"/>
      <c r="Q204" s="148"/>
      <c r="R204" s="148"/>
      <c r="S204" s="148"/>
      <c r="T204" s="148"/>
      <c r="U204" s="148"/>
      <c r="V204" s="148"/>
      <c r="W204" s="148"/>
      <c r="X204" s="148"/>
      <c r="Y204" s="148"/>
      <c r="Z204" s="148"/>
    </row>
    <row r="205">
      <c r="A205" s="143">
        <v>45910.0</v>
      </c>
      <c r="B205" s="144" t="s">
        <v>552</v>
      </c>
      <c r="C205" s="144" t="s">
        <v>553</v>
      </c>
      <c r="D205" s="145">
        <v>45908.0</v>
      </c>
      <c r="E205" s="144">
        <v>0.0</v>
      </c>
      <c r="F205" s="144">
        <v>0.0</v>
      </c>
      <c r="G205" s="144">
        <v>-2.082560425E7</v>
      </c>
      <c r="H205" s="146">
        <v>2.3186589E7</v>
      </c>
      <c r="I205" s="147">
        <f t="shared" si="1"/>
        <v>2360984.75</v>
      </c>
      <c r="J205" s="148"/>
      <c r="K205" s="148"/>
      <c r="L205" s="148"/>
      <c r="M205" s="148"/>
      <c r="N205" s="148"/>
      <c r="O205" s="148"/>
      <c r="P205" s="148"/>
      <c r="Q205" s="148"/>
      <c r="R205" s="148"/>
      <c r="S205" s="148"/>
      <c r="T205" s="148"/>
      <c r="U205" s="148"/>
      <c r="V205" s="148"/>
      <c r="W205" s="148"/>
      <c r="X205" s="148"/>
      <c r="Y205" s="148"/>
      <c r="Z205" s="148"/>
    </row>
    <row r="206">
      <c r="A206" s="143">
        <v>45910.0</v>
      </c>
      <c r="B206" s="144" t="s">
        <v>552</v>
      </c>
      <c r="C206" s="144" t="s">
        <v>553</v>
      </c>
      <c r="D206" s="145">
        <v>45909.0</v>
      </c>
      <c r="E206" s="144">
        <v>0.0</v>
      </c>
      <c r="F206" s="144">
        <v>0.0</v>
      </c>
      <c r="G206" s="144">
        <v>-2.082560425E7</v>
      </c>
      <c r="H206" s="146">
        <v>2.3289477E7</v>
      </c>
      <c r="I206" s="147">
        <f t="shared" si="1"/>
        <v>2463872.75</v>
      </c>
      <c r="J206" s="148"/>
      <c r="K206" s="148"/>
      <c r="L206" s="148"/>
      <c r="M206" s="148"/>
      <c r="N206" s="148"/>
      <c r="O206" s="148"/>
      <c r="P206" s="148"/>
      <c r="Q206" s="148"/>
      <c r="R206" s="148"/>
      <c r="S206" s="148"/>
      <c r="T206" s="148"/>
      <c r="U206" s="148"/>
      <c r="V206" s="148"/>
      <c r="W206" s="148"/>
      <c r="X206" s="148"/>
      <c r="Y206" s="148"/>
      <c r="Z206" s="148"/>
    </row>
    <row r="207">
      <c r="A207" s="143">
        <v>45911.0</v>
      </c>
      <c r="B207" s="144" t="s">
        <v>552</v>
      </c>
      <c r="C207" s="144" t="s">
        <v>553</v>
      </c>
      <c r="D207" s="145">
        <v>45910.0</v>
      </c>
      <c r="E207" s="144">
        <v>0.0</v>
      </c>
      <c r="F207" s="144">
        <v>0.0</v>
      </c>
      <c r="G207" s="144">
        <v>-2.082560425E7</v>
      </c>
      <c r="H207" s="146">
        <v>2.3388494E7</v>
      </c>
      <c r="I207" s="147">
        <f t="shared" si="1"/>
        <v>2562889.75</v>
      </c>
      <c r="J207" s="148"/>
      <c r="K207" s="148"/>
      <c r="L207" s="148"/>
      <c r="M207" s="148"/>
      <c r="N207" s="148"/>
      <c r="O207" s="148"/>
      <c r="P207" s="148"/>
      <c r="Q207" s="148"/>
      <c r="R207" s="148"/>
      <c r="S207" s="148"/>
      <c r="T207" s="148"/>
      <c r="U207" s="148"/>
      <c r="V207" s="148"/>
      <c r="W207" s="148"/>
      <c r="X207" s="148"/>
      <c r="Y207" s="148"/>
      <c r="Z207" s="148"/>
    </row>
    <row r="208">
      <c r="A208" s="143">
        <v>45912.0</v>
      </c>
      <c r="B208" s="144" t="s">
        <v>552</v>
      </c>
      <c r="C208" s="144" t="s">
        <v>553</v>
      </c>
      <c r="D208" s="145">
        <v>45911.0</v>
      </c>
      <c r="E208" s="144">
        <v>0.0</v>
      </c>
      <c r="F208" s="144">
        <v>0.0</v>
      </c>
      <c r="G208" s="144">
        <v>-2.082560425E7</v>
      </c>
      <c r="H208" s="146">
        <v>2.3196472E7</v>
      </c>
      <c r="I208" s="147">
        <f t="shared" si="1"/>
        <v>2370867.75</v>
      </c>
      <c r="J208" s="148"/>
      <c r="K208" s="148"/>
      <c r="L208" s="148"/>
      <c r="M208" s="148"/>
      <c r="N208" s="148"/>
      <c r="O208" s="148"/>
      <c r="P208" s="148"/>
      <c r="Q208" s="148"/>
      <c r="R208" s="148"/>
      <c r="S208" s="148"/>
      <c r="T208" s="148"/>
      <c r="U208" s="148"/>
      <c r="V208" s="148"/>
      <c r="W208" s="148"/>
      <c r="X208" s="148"/>
      <c r="Y208" s="148"/>
      <c r="Z208" s="148"/>
    </row>
    <row r="209">
      <c r="A209" s="143">
        <v>45915.0</v>
      </c>
      <c r="B209" s="144" t="s">
        <v>552</v>
      </c>
      <c r="C209" s="144" t="s">
        <v>553</v>
      </c>
      <c r="D209" s="145">
        <v>45912.0</v>
      </c>
      <c r="E209" s="144">
        <v>0.0</v>
      </c>
      <c r="F209" s="144">
        <v>0.0</v>
      </c>
      <c r="G209" s="144">
        <v>-2.082560425E7</v>
      </c>
      <c r="H209" s="146">
        <v>2.3213912E7</v>
      </c>
      <c r="I209" s="147">
        <f t="shared" si="1"/>
        <v>2388307.75</v>
      </c>
      <c r="J209" s="148"/>
      <c r="K209" s="148"/>
      <c r="L209" s="148"/>
      <c r="M209" s="148"/>
      <c r="N209" s="148"/>
      <c r="O209" s="148"/>
      <c r="P209" s="148"/>
      <c r="Q209" s="148"/>
      <c r="R209" s="148"/>
      <c r="S209" s="148"/>
      <c r="T209" s="148"/>
      <c r="U209" s="148"/>
      <c r="V209" s="148"/>
      <c r="W209" s="148"/>
      <c r="X209" s="148"/>
      <c r="Y209" s="148"/>
      <c r="Z209" s="148"/>
    </row>
    <row r="210">
      <c r="A210" s="143">
        <v>45916.0</v>
      </c>
      <c r="B210" s="144" t="s">
        <v>552</v>
      </c>
      <c r="C210" s="144" t="s">
        <v>553</v>
      </c>
      <c r="D210" s="145">
        <v>45915.0</v>
      </c>
      <c r="E210" s="144">
        <v>0.0</v>
      </c>
      <c r="F210" s="144">
        <v>0.0</v>
      </c>
      <c r="G210" s="144">
        <v>-2.082560425E7</v>
      </c>
      <c r="H210" s="146">
        <v>2.3308963E7</v>
      </c>
      <c r="I210" s="147">
        <f t="shared" si="1"/>
        <v>2483358.75</v>
      </c>
      <c r="J210" s="148"/>
      <c r="K210" s="148"/>
      <c r="L210" s="148"/>
      <c r="M210" s="148"/>
      <c r="N210" s="148"/>
      <c r="O210" s="148"/>
      <c r="P210" s="148"/>
      <c r="Q210" s="148"/>
      <c r="R210" s="148"/>
      <c r="S210" s="148"/>
      <c r="T210" s="148"/>
      <c r="U210" s="148"/>
      <c r="V210" s="148"/>
      <c r="W210" s="148"/>
      <c r="X210" s="148"/>
      <c r="Y210" s="148"/>
      <c r="Z210" s="148"/>
    </row>
    <row r="211">
      <c r="A211" s="143">
        <v>45917.0</v>
      </c>
      <c r="B211" s="144" t="s">
        <v>552</v>
      </c>
      <c r="C211" s="144" t="s">
        <v>553</v>
      </c>
      <c r="D211" s="145">
        <v>45916.0</v>
      </c>
      <c r="E211" s="144">
        <v>0.0</v>
      </c>
      <c r="F211" s="144">
        <v>0.0</v>
      </c>
      <c r="G211" s="144">
        <v>-2.082560425E7</v>
      </c>
      <c r="H211" s="146">
        <v>2.2691934E7</v>
      </c>
      <c r="I211" s="147">
        <f t="shared" si="1"/>
        <v>1866329.75</v>
      </c>
      <c r="J211" s="148"/>
      <c r="K211" s="148"/>
      <c r="L211" s="148"/>
      <c r="M211" s="148"/>
      <c r="N211" s="148"/>
      <c r="O211" s="148"/>
      <c r="P211" s="148"/>
      <c r="Q211" s="148"/>
      <c r="R211" s="148"/>
      <c r="S211" s="148"/>
      <c r="T211" s="148"/>
      <c r="U211" s="148"/>
      <c r="V211" s="148"/>
      <c r="W211" s="148"/>
      <c r="X211" s="148"/>
      <c r="Y211" s="148"/>
      <c r="Z211" s="148"/>
    </row>
    <row r="212">
      <c r="A212" s="143">
        <v>45918.0</v>
      </c>
      <c r="B212" s="144" t="s">
        <v>552</v>
      </c>
      <c r="C212" s="144" t="s">
        <v>553</v>
      </c>
      <c r="D212" s="145">
        <v>45917.0</v>
      </c>
      <c r="E212" s="144">
        <v>0.0</v>
      </c>
      <c r="F212" s="144">
        <v>0.0</v>
      </c>
      <c r="G212" s="144">
        <v>-2.082560425E7</v>
      </c>
      <c r="H212" s="146">
        <v>2.2748617E7</v>
      </c>
      <c r="I212" s="147">
        <f t="shared" si="1"/>
        <v>1923012.75</v>
      </c>
      <c r="J212" s="148"/>
      <c r="K212" s="148"/>
      <c r="L212" s="148"/>
      <c r="M212" s="148"/>
      <c r="N212" s="148"/>
      <c r="O212" s="148"/>
      <c r="P212" s="148"/>
      <c r="Q212" s="148"/>
      <c r="R212" s="148"/>
      <c r="S212" s="148"/>
      <c r="T212" s="148"/>
      <c r="U212" s="148"/>
      <c r="V212" s="148"/>
      <c r="W212" s="148"/>
      <c r="X212" s="148"/>
      <c r="Y212" s="148"/>
      <c r="Z212" s="148"/>
    </row>
    <row r="213">
      <c r="A213" s="143">
        <v>45919.0</v>
      </c>
      <c r="B213" s="144" t="s">
        <v>552</v>
      </c>
      <c r="C213" s="144" t="s">
        <v>553</v>
      </c>
      <c r="D213" s="145">
        <v>45918.0</v>
      </c>
      <c r="E213" s="144">
        <v>0.0</v>
      </c>
      <c r="F213" s="144">
        <v>0.0</v>
      </c>
      <c r="G213" s="144">
        <v>-2.082560425E7</v>
      </c>
      <c r="H213" s="146">
        <v>2.2599987E7</v>
      </c>
      <c r="I213" s="147">
        <f t="shared" si="1"/>
        <v>1774382.75</v>
      </c>
      <c r="J213" s="148"/>
      <c r="K213" s="148"/>
      <c r="L213" s="148"/>
      <c r="M213" s="148"/>
      <c r="N213" s="148"/>
      <c r="O213" s="148"/>
      <c r="P213" s="148"/>
      <c r="Q213" s="148"/>
      <c r="R213" s="148"/>
      <c r="S213" s="148"/>
      <c r="T213" s="148"/>
      <c r="U213" s="148"/>
      <c r="V213" s="148"/>
      <c r="W213" s="148"/>
      <c r="X213" s="148"/>
      <c r="Y213" s="148"/>
      <c r="Z213" s="148"/>
    </row>
    <row r="214">
      <c r="A214" s="143">
        <v>45922.0</v>
      </c>
      <c r="B214" s="144" t="s">
        <v>552</v>
      </c>
      <c r="C214" s="144" t="s">
        <v>553</v>
      </c>
      <c r="D214" s="145">
        <v>45919.0</v>
      </c>
      <c r="E214" s="144">
        <v>0.0</v>
      </c>
      <c r="F214" s="144">
        <v>0.0</v>
      </c>
      <c r="G214" s="144">
        <v>-2.082560425E7</v>
      </c>
      <c r="H214" s="146">
        <v>2.2580738E7</v>
      </c>
      <c r="I214" s="147">
        <f t="shared" si="1"/>
        <v>1755133.75</v>
      </c>
      <c r="J214" s="148"/>
      <c r="K214" s="148"/>
      <c r="L214" s="148"/>
      <c r="M214" s="148"/>
      <c r="N214" s="148"/>
      <c r="O214" s="148"/>
      <c r="P214" s="148"/>
      <c r="Q214" s="148"/>
      <c r="R214" s="148"/>
      <c r="S214" s="148"/>
      <c r="T214" s="148"/>
      <c r="U214" s="148"/>
      <c r="V214" s="148"/>
      <c r="W214" s="148"/>
      <c r="X214" s="148"/>
      <c r="Y214" s="148"/>
      <c r="Z214" s="148"/>
    </row>
    <row r="215">
      <c r="A215" s="143">
        <v>45923.0</v>
      </c>
      <c r="B215" s="144" t="s">
        <v>552</v>
      </c>
      <c r="C215" s="144" t="s">
        <v>553</v>
      </c>
      <c r="D215" s="145">
        <v>45922.0</v>
      </c>
      <c r="E215" s="144">
        <v>0.0</v>
      </c>
      <c r="F215" s="144">
        <v>0.0</v>
      </c>
      <c r="G215" s="144">
        <v>-2.082560425E7</v>
      </c>
      <c r="H215" s="146">
        <v>2.2483115E7</v>
      </c>
      <c r="I215" s="147">
        <f t="shared" si="1"/>
        <v>1657510.75</v>
      </c>
      <c r="J215" s="148"/>
      <c r="K215" s="148"/>
      <c r="L215" s="148"/>
      <c r="M215" s="148"/>
      <c r="N215" s="148"/>
      <c r="O215" s="148"/>
      <c r="P215" s="148"/>
      <c r="Q215" s="148"/>
      <c r="R215" s="148"/>
      <c r="S215" s="148"/>
      <c r="T215" s="148"/>
      <c r="U215" s="148"/>
      <c r="V215" s="148"/>
      <c r="W215" s="148"/>
      <c r="X215" s="148"/>
      <c r="Y215" s="148"/>
      <c r="Z215" s="148"/>
    </row>
    <row r="216">
      <c r="A216" s="143">
        <v>45924.0</v>
      </c>
      <c r="B216" s="144" t="s">
        <v>552</v>
      </c>
      <c r="C216" s="144" t="s">
        <v>553</v>
      </c>
      <c r="D216" s="145">
        <v>45923.0</v>
      </c>
      <c r="E216" s="144">
        <v>0.0</v>
      </c>
      <c r="F216" s="144">
        <v>0.0</v>
      </c>
      <c r="G216" s="144">
        <v>-2.082560425E7</v>
      </c>
      <c r="H216" s="146">
        <v>2.2428047E7</v>
      </c>
      <c r="I216" s="147">
        <f t="shared" si="1"/>
        <v>1602442.75</v>
      </c>
      <c r="J216" s="148"/>
      <c r="K216" s="148"/>
      <c r="L216" s="148"/>
      <c r="M216" s="148"/>
      <c r="N216" s="148"/>
      <c r="O216" s="148"/>
      <c r="P216" s="148"/>
      <c r="Q216" s="148"/>
      <c r="R216" s="148"/>
      <c r="S216" s="148"/>
      <c r="T216" s="148"/>
      <c r="U216" s="148"/>
      <c r="V216" s="148"/>
      <c r="W216" s="148"/>
      <c r="X216" s="148"/>
      <c r="Y216" s="148"/>
      <c r="Z216" s="148"/>
    </row>
    <row r="217">
      <c r="A217" s="143">
        <v>45925.0</v>
      </c>
      <c r="B217" s="144" t="s">
        <v>552</v>
      </c>
      <c r="C217" s="144" t="s">
        <v>553</v>
      </c>
      <c r="D217" s="145">
        <v>45924.0</v>
      </c>
      <c r="E217" s="144">
        <v>0.0</v>
      </c>
      <c r="F217" s="144">
        <v>0.0</v>
      </c>
      <c r="G217" s="144">
        <v>-2.082560425E7</v>
      </c>
      <c r="H217" s="146">
        <v>2.3200719E7</v>
      </c>
      <c r="I217" s="147">
        <f t="shared" si="1"/>
        <v>2375114.75</v>
      </c>
      <c r="J217" s="148"/>
      <c r="K217" s="148"/>
      <c r="L217" s="148"/>
      <c r="M217" s="148"/>
      <c r="N217" s="148"/>
      <c r="O217" s="148"/>
      <c r="P217" s="148"/>
      <c r="Q217" s="148"/>
      <c r="R217" s="148"/>
      <c r="S217" s="148"/>
      <c r="T217" s="148"/>
      <c r="U217" s="148"/>
      <c r="V217" s="148"/>
      <c r="W217" s="148"/>
      <c r="X217" s="148"/>
      <c r="Y217" s="148"/>
      <c r="Z217" s="148"/>
    </row>
    <row r="218">
      <c r="A218" s="143">
        <v>45926.0</v>
      </c>
      <c r="B218" s="144" t="s">
        <v>552</v>
      </c>
      <c r="C218" s="144" t="s">
        <v>553</v>
      </c>
      <c r="D218" s="145">
        <v>45925.0</v>
      </c>
      <c r="E218" s="144">
        <v>0.0</v>
      </c>
      <c r="F218" s="144">
        <v>0.0</v>
      </c>
      <c r="G218" s="144">
        <v>-2.082560425E7</v>
      </c>
      <c r="H218" s="146">
        <v>2.2986751E7</v>
      </c>
      <c r="I218" s="147">
        <f t="shared" si="1"/>
        <v>2161146.75</v>
      </c>
      <c r="J218" s="148"/>
      <c r="K218" s="148"/>
      <c r="L218" s="148"/>
      <c r="M218" s="148"/>
      <c r="N218" s="148"/>
      <c r="O218" s="148"/>
      <c r="P218" s="148"/>
      <c r="Q218" s="148"/>
      <c r="R218" s="148"/>
      <c r="S218" s="148"/>
      <c r="T218" s="148"/>
      <c r="U218" s="148"/>
      <c r="V218" s="148"/>
      <c r="W218" s="148"/>
      <c r="X218" s="148"/>
      <c r="Y218" s="148"/>
      <c r="Z218" s="148"/>
    </row>
    <row r="219">
      <c r="A219" s="143">
        <v>45929.0</v>
      </c>
      <c r="B219" s="144" t="s">
        <v>552</v>
      </c>
      <c r="C219" s="144" t="s">
        <v>553</v>
      </c>
      <c r="D219" s="145">
        <v>45926.0</v>
      </c>
      <c r="E219" s="144">
        <v>0.0</v>
      </c>
      <c r="F219" s="144">
        <v>0.0</v>
      </c>
      <c r="G219" s="144">
        <v>-2.082560425E7</v>
      </c>
      <c r="H219" s="146">
        <v>2.2407932E7</v>
      </c>
      <c r="I219" s="147">
        <f t="shared" si="1"/>
        <v>1582327.75</v>
      </c>
      <c r="J219" s="148"/>
      <c r="K219" s="148"/>
      <c r="L219" s="148"/>
      <c r="M219" s="148"/>
      <c r="N219" s="148"/>
      <c r="O219" s="148"/>
      <c r="P219" s="148"/>
      <c r="Q219" s="148"/>
      <c r="R219" s="148"/>
      <c r="S219" s="148"/>
      <c r="T219" s="148"/>
      <c r="U219" s="148"/>
      <c r="V219" s="148"/>
      <c r="W219" s="148"/>
      <c r="X219" s="148"/>
      <c r="Y219" s="148"/>
      <c r="Z219" s="148"/>
    </row>
    <row r="220">
      <c r="A220" s="143">
        <v>45930.0</v>
      </c>
      <c r="B220" s="144" t="s">
        <v>552</v>
      </c>
      <c r="C220" s="144" t="s">
        <v>553</v>
      </c>
      <c r="D220" s="145">
        <v>45929.0</v>
      </c>
      <c r="E220" s="144">
        <v>0.0</v>
      </c>
      <c r="F220" s="144">
        <v>0.0</v>
      </c>
      <c r="G220" s="144">
        <v>-2.082560425E7</v>
      </c>
      <c r="H220" s="146">
        <v>2.2521467E7</v>
      </c>
      <c r="I220" s="147">
        <f t="shared" si="1"/>
        <v>1695862.75</v>
      </c>
      <c r="J220" s="148"/>
      <c r="K220" s="148"/>
      <c r="L220" s="148"/>
      <c r="M220" s="148"/>
      <c r="N220" s="148"/>
      <c r="O220" s="148"/>
      <c r="P220" s="148"/>
      <c r="Q220" s="148"/>
      <c r="R220" s="148"/>
      <c r="S220" s="148"/>
      <c r="T220" s="148"/>
      <c r="U220" s="148"/>
      <c r="V220" s="148"/>
      <c r="W220" s="148"/>
      <c r="X220" s="148"/>
      <c r="Y220" s="148"/>
      <c r="Z220" s="148"/>
    </row>
    <row r="221">
      <c r="A221" s="143">
        <v>45931.0</v>
      </c>
      <c r="B221" s="144" t="s">
        <v>552</v>
      </c>
      <c r="C221" s="144" t="s">
        <v>553</v>
      </c>
      <c r="D221" s="145">
        <v>45930.0</v>
      </c>
      <c r="E221" s="144">
        <v>0.0</v>
      </c>
      <c r="F221" s="144">
        <v>0.0</v>
      </c>
      <c r="G221" s="144">
        <v>-2.082560425E7</v>
      </c>
      <c r="H221" s="146">
        <v>2.2183715E7</v>
      </c>
      <c r="I221" s="147">
        <f t="shared" si="1"/>
        <v>1358110.75</v>
      </c>
      <c r="J221" s="148"/>
      <c r="K221" s="148"/>
      <c r="L221" s="148"/>
      <c r="M221" s="148"/>
      <c r="N221" s="148"/>
      <c r="O221" s="148"/>
      <c r="P221" s="148"/>
      <c r="Q221" s="148"/>
      <c r="R221" s="148"/>
      <c r="S221" s="148"/>
      <c r="T221" s="148"/>
      <c r="U221" s="148"/>
      <c r="V221" s="148"/>
      <c r="W221" s="148"/>
      <c r="X221" s="148"/>
      <c r="Y221" s="148"/>
      <c r="Z221" s="148"/>
    </row>
    <row r="222">
      <c r="A222" s="143">
        <v>45933.0</v>
      </c>
      <c r="B222" s="144" t="s">
        <v>552</v>
      </c>
      <c r="C222" s="144" t="s">
        <v>553</v>
      </c>
      <c r="D222" s="145">
        <v>45931.0</v>
      </c>
      <c r="E222" s="144">
        <v>0.0</v>
      </c>
      <c r="F222" s="144">
        <v>0.0</v>
      </c>
      <c r="G222" s="144">
        <v>-2.082560425E7</v>
      </c>
      <c r="H222" s="146">
        <v>2.2470862E7</v>
      </c>
      <c r="I222" s="147">
        <f t="shared" si="1"/>
        <v>1645257.75</v>
      </c>
      <c r="J222" s="148"/>
      <c r="K222" s="148"/>
      <c r="L222" s="148"/>
      <c r="M222" s="148"/>
      <c r="N222" s="148"/>
      <c r="O222" s="148"/>
      <c r="P222" s="148"/>
      <c r="Q222" s="148"/>
      <c r="R222" s="148"/>
      <c r="S222" s="148"/>
      <c r="T222" s="148"/>
      <c r="U222" s="148"/>
      <c r="V222" s="148"/>
      <c r="W222" s="148"/>
      <c r="X222" s="148"/>
      <c r="Y222" s="148"/>
      <c r="Z222" s="148"/>
    </row>
    <row r="223">
      <c r="A223" s="143">
        <v>45936.0</v>
      </c>
      <c r="B223" s="144" t="s">
        <v>552</v>
      </c>
      <c r="C223" s="144" t="s">
        <v>553</v>
      </c>
      <c r="D223" s="145">
        <v>45933.0</v>
      </c>
      <c r="E223" s="144">
        <v>0.0</v>
      </c>
      <c r="F223" s="144">
        <v>0.0</v>
      </c>
      <c r="G223" s="144">
        <v>-2.082560425E7</v>
      </c>
      <c r="H223" s="146">
        <v>2.2752573E7</v>
      </c>
      <c r="I223" s="147">
        <f t="shared" si="1"/>
        <v>1926968.75</v>
      </c>
      <c r="J223" s="148"/>
      <c r="K223" s="148"/>
      <c r="L223" s="148"/>
      <c r="M223" s="148"/>
      <c r="N223" s="148"/>
      <c r="O223" s="148"/>
      <c r="P223" s="148"/>
      <c r="Q223" s="148"/>
      <c r="R223" s="148"/>
      <c r="S223" s="148"/>
      <c r="T223" s="148"/>
      <c r="U223" s="148"/>
      <c r="V223" s="148"/>
      <c r="W223" s="148"/>
      <c r="X223" s="148"/>
      <c r="Y223" s="148"/>
      <c r="Z223" s="148"/>
    </row>
    <row r="224">
      <c r="A224" s="143">
        <v>45937.0</v>
      </c>
      <c r="B224" s="144" t="s">
        <v>552</v>
      </c>
      <c r="C224" s="144" t="s">
        <v>553</v>
      </c>
      <c r="D224" s="145">
        <v>45936.0</v>
      </c>
      <c r="E224" s="144">
        <v>0.0</v>
      </c>
      <c r="F224" s="144">
        <v>0.0</v>
      </c>
      <c r="G224" s="144">
        <v>-2.082560425E7</v>
      </c>
      <c r="H224" s="146">
        <v>2.3094438E7</v>
      </c>
      <c r="I224" s="147">
        <f t="shared" si="1"/>
        <v>2268833.75</v>
      </c>
      <c r="J224" s="148"/>
      <c r="K224" s="148"/>
      <c r="L224" s="148"/>
      <c r="M224" s="148"/>
      <c r="N224" s="148"/>
      <c r="O224" s="148"/>
      <c r="P224" s="148"/>
      <c r="Q224" s="148"/>
      <c r="R224" s="148"/>
      <c r="S224" s="148"/>
      <c r="T224" s="148"/>
      <c r="U224" s="148"/>
      <c r="V224" s="148"/>
      <c r="W224" s="148"/>
      <c r="X224" s="148"/>
      <c r="Y224" s="148"/>
      <c r="Z224" s="148"/>
    </row>
    <row r="225">
      <c r="A225" s="143">
        <v>45938.0</v>
      </c>
      <c r="B225" s="144" t="s">
        <v>552</v>
      </c>
      <c r="C225" s="144" t="s">
        <v>553</v>
      </c>
      <c r="D225" s="145">
        <v>45937.0</v>
      </c>
      <c r="E225" s="144">
        <v>0.0</v>
      </c>
      <c r="F225" s="144">
        <v>0.0</v>
      </c>
      <c r="G225" s="144">
        <v>-2.082560425E7</v>
      </c>
      <c r="H225" s="146">
        <v>2.310322E7</v>
      </c>
      <c r="I225" s="147">
        <f t="shared" si="1"/>
        <v>2277615.75</v>
      </c>
      <c r="J225" s="148"/>
      <c r="K225" s="148"/>
      <c r="L225" s="148"/>
      <c r="M225" s="148"/>
      <c r="N225" s="148"/>
      <c r="O225" s="148"/>
      <c r="P225" s="148"/>
      <c r="Q225" s="148"/>
      <c r="R225" s="148"/>
      <c r="S225" s="148"/>
      <c r="T225" s="148"/>
      <c r="U225" s="148"/>
      <c r="V225" s="148"/>
      <c r="W225" s="148"/>
      <c r="X225" s="148"/>
      <c r="Y225" s="148"/>
      <c r="Z225" s="148"/>
    </row>
    <row r="226">
      <c r="A226" s="143">
        <v>45939.0</v>
      </c>
      <c r="B226" s="144" t="s">
        <v>552</v>
      </c>
      <c r="C226" s="144" t="s">
        <v>553</v>
      </c>
      <c r="D226" s="145">
        <v>45938.0</v>
      </c>
      <c r="E226" s="144">
        <v>0.0</v>
      </c>
      <c r="F226" s="144">
        <v>0.0</v>
      </c>
      <c r="G226" s="144">
        <v>-2.082560425E7</v>
      </c>
      <c r="H226" s="146">
        <v>2.2960986E7</v>
      </c>
      <c r="I226" s="147">
        <f t="shared" si="1"/>
        <v>2135381.75</v>
      </c>
      <c r="J226" s="148"/>
      <c r="K226" s="148"/>
      <c r="L226" s="148"/>
      <c r="M226" s="148"/>
      <c r="N226" s="148"/>
      <c r="O226" s="148"/>
      <c r="P226" s="148"/>
      <c r="Q226" s="148"/>
      <c r="R226" s="148"/>
      <c r="S226" s="148"/>
      <c r="T226" s="148"/>
      <c r="U226" s="148"/>
      <c r="V226" s="148"/>
      <c r="W226" s="148"/>
      <c r="X226" s="148"/>
      <c r="Y226" s="148"/>
      <c r="Z226" s="148"/>
    </row>
    <row r="227">
      <c r="A227" s="143">
        <v>45940.0</v>
      </c>
      <c r="B227" s="144" t="s">
        <v>552</v>
      </c>
      <c r="C227" s="144" t="s">
        <v>553</v>
      </c>
      <c r="D227" s="145">
        <v>45939.0</v>
      </c>
      <c r="E227" s="144">
        <v>0.0</v>
      </c>
      <c r="F227" s="144">
        <v>0.0</v>
      </c>
      <c r="G227" s="144">
        <v>-2.082560425E7</v>
      </c>
      <c r="H227" s="146">
        <v>2.3177003E7</v>
      </c>
      <c r="I227" s="147">
        <f t="shared" si="1"/>
        <v>2351398.75</v>
      </c>
      <c r="J227" s="148"/>
      <c r="K227" s="148"/>
      <c r="L227" s="148"/>
      <c r="M227" s="148"/>
      <c r="N227" s="148"/>
      <c r="O227" s="148"/>
      <c r="P227" s="148"/>
      <c r="Q227" s="148"/>
      <c r="R227" s="148"/>
      <c r="S227" s="148"/>
      <c r="T227" s="148"/>
      <c r="U227" s="148"/>
      <c r="V227" s="148"/>
      <c r="W227" s="148"/>
      <c r="X227" s="148"/>
      <c r="Y227" s="148"/>
      <c r="Z227" s="148"/>
    </row>
    <row r="228">
      <c r="A228" s="143">
        <v>45943.0</v>
      </c>
      <c r="B228" s="144" t="s">
        <v>552</v>
      </c>
      <c r="C228" s="144" t="s">
        <v>553</v>
      </c>
      <c r="D228" s="145">
        <v>45940.0</v>
      </c>
      <c r="E228" s="144">
        <v>0.0</v>
      </c>
      <c r="F228" s="144">
        <v>0.0</v>
      </c>
      <c r="G228" s="144">
        <v>-2.082560425E7</v>
      </c>
      <c r="H228" s="146">
        <v>2.3378674E7</v>
      </c>
      <c r="I228" s="147">
        <f t="shared" si="1"/>
        <v>2553069.75</v>
      </c>
      <c r="J228" s="148"/>
      <c r="K228" s="148"/>
      <c r="L228" s="148"/>
      <c r="M228" s="148"/>
      <c r="N228" s="148"/>
      <c r="O228" s="148"/>
      <c r="P228" s="148"/>
      <c r="Q228" s="148"/>
      <c r="R228" s="148"/>
      <c r="S228" s="148"/>
      <c r="T228" s="148"/>
      <c r="U228" s="148"/>
      <c r="V228" s="148"/>
      <c r="W228" s="148"/>
      <c r="X228" s="148"/>
      <c r="Y228" s="148"/>
      <c r="Z228" s="148"/>
    </row>
    <row r="229">
      <c r="A229" s="143">
        <v>45944.0</v>
      </c>
      <c r="B229" s="144" t="s">
        <v>552</v>
      </c>
      <c r="C229" s="144" t="s">
        <v>553</v>
      </c>
      <c r="D229" s="145">
        <v>45943.0</v>
      </c>
      <c r="E229" s="144">
        <v>0.0</v>
      </c>
      <c r="F229" s="144">
        <v>0.0</v>
      </c>
      <c r="G229" s="144">
        <v>-2.082560425E7</v>
      </c>
      <c r="H229" s="146">
        <v>2.3430088E7</v>
      </c>
      <c r="I229" s="147">
        <f t="shared" si="1"/>
        <v>2604483.75</v>
      </c>
      <c r="J229" s="148"/>
      <c r="K229" s="148"/>
      <c r="L229" s="148"/>
      <c r="M229" s="148"/>
      <c r="N229" s="148"/>
      <c r="O229" s="148"/>
      <c r="P229" s="148"/>
      <c r="Q229" s="148"/>
      <c r="R229" s="148"/>
      <c r="S229" s="148"/>
      <c r="T229" s="148"/>
      <c r="U229" s="148"/>
      <c r="V229" s="148"/>
      <c r="W229" s="148"/>
      <c r="X229" s="148"/>
      <c r="Y229" s="148"/>
      <c r="Z229" s="148"/>
    </row>
    <row r="230">
      <c r="A230" s="143">
        <v>45945.0</v>
      </c>
      <c r="B230" s="144" t="s">
        <v>552</v>
      </c>
      <c r="C230" s="144" t="s">
        <v>553</v>
      </c>
      <c r="D230" s="145">
        <v>45944.0</v>
      </c>
      <c r="E230" s="144">
        <v>0.0</v>
      </c>
      <c r="F230" s="144">
        <v>0.0</v>
      </c>
      <c r="G230" s="144">
        <v>-2.082560425E7</v>
      </c>
      <c r="H230" s="146">
        <v>2.3173372E7</v>
      </c>
      <c r="I230" s="147">
        <f t="shared" si="1"/>
        <v>2347767.75</v>
      </c>
      <c r="J230" s="148"/>
      <c r="K230" s="148"/>
      <c r="L230" s="148"/>
      <c r="M230" s="148"/>
      <c r="N230" s="148"/>
      <c r="O230" s="148"/>
      <c r="P230" s="148"/>
      <c r="Q230" s="148"/>
      <c r="R230" s="148"/>
      <c r="S230" s="148"/>
      <c r="T230" s="148"/>
      <c r="U230" s="148"/>
      <c r="V230" s="148"/>
      <c r="W230" s="148"/>
      <c r="X230" s="148"/>
      <c r="Y230" s="148"/>
      <c r="Z230" s="148"/>
    </row>
    <row r="231">
      <c r="A231" s="143">
        <v>45946.0</v>
      </c>
      <c r="B231" s="144" t="s">
        <v>552</v>
      </c>
      <c r="C231" s="144" t="s">
        <v>553</v>
      </c>
      <c r="D231" s="145">
        <v>45945.0</v>
      </c>
      <c r="E231" s="144">
        <v>0.0</v>
      </c>
      <c r="F231" s="144">
        <v>0.0</v>
      </c>
      <c r="G231" s="144">
        <v>-2.082560425E7</v>
      </c>
      <c r="H231" s="146">
        <v>2.3286417E7</v>
      </c>
      <c r="I231" s="147">
        <f t="shared" si="1"/>
        <v>2460812.75</v>
      </c>
      <c r="J231" s="148"/>
      <c r="K231" s="148"/>
      <c r="L231" s="148"/>
      <c r="M231" s="148"/>
      <c r="N231" s="148"/>
      <c r="O231" s="148"/>
      <c r="P231" s="148"/>
      <c r="Q231" s="148"/>
      <c r="R231" s="148"/>
      <c r="S231" s="148"/>
      <c r="T231" s="148"/>
      <c r="U231" s="148"/>
      <c r="V231" s="148"/>
      <c r="W231" s="148"/>
      <c r="X231" s="148"/>
      <c r="Y231" s="148"/>
      <c r="Z231" s="148"/>
    </row>
    <row r="232">
      <c r="A232" s="143">
        <v>45947.0</v>
      </c>
      <c r="B232" s="144" t="s">
        <v>552</v>
      </c>
      <c r="C232" s="144" t="s">
        <v>553</v>
      </c>
      <c r="D232" s="145">
        <v>45946.0</v>
      </c>
      <c r="E232" s="144">
        <v>0.0</v>
      </c>
      <c r="F232" s="144">
        <v>0.0</v>
      </c>
      <c r="G232" s="144">
        <v>-2.082560425E7</v>
      </c>
      <c r="H232" s="146">
        <v>2.3316155E7</v>
      </c>
      <c r="I232" s="147">
        <f t="shared" si="1"/>
        <v>2490550.75</v>
      </c>
      <c r="J232" s="148"/>
      <c r="K232" s="148"/>
      <c r="L232" s="148"/>
      <c r="M232" s="148"/>
      <c r="N232" s="148"/>
      <c r="O232" s="148"/>
      <c r="P232" s="148"/>
      <c r="Q232" s="148"/>
      <c r="R232" s="148"/>
      <c r="S232" s="148"/>
      <c r="T232" s="148"/>
      <c r="U232" s="148"/>
      <c r="V232" s="148"/>
      <c r="W232" s="148"/>
      <c r="X232" s="148"/>
      <c r="Y232" s="148"/>
      <c r="Z232" s="148"/>
    </row>
    <row r="233">
      <c r="A233" s="143">
        <v>45950.0</v>
      </c>
      <c r="B233" s="144" t="s">
        <v>552</v>
      </c>
      <c r="C233" s="144" t="s">
        <v>553</v>
      </c>
      <c r="D233" s="145">
        <v>45947.0</v>
      </c>
      <c r="E233" s="144">
        <v>0.0</v>
      </c>
      <c r="F233" s="144">
        <v>0.0</v>
      </c>
      <c r="G233" s="144">
        <v>-2.082560425E7</v>
      </c>
      <c r="H233" s="146">
        <v>2.335997E7</v>
      </c>
      <c r="I233" s="147">
        <f t="shared" si="1"/>
        <v>2534365.75</v>
      </c>
      <c r="J233" s="148"/>
      <c r="K233" s="148"/>
      <c r="L233" s="148"/>
      <c r="M233" s="148"/>
      <c r="N233" s="148"/>
      <c r="O233" s="148"/>
      <c r="P233" s="148"/>
      <c r="Q233" s="148"/>
      <c r="R233" s="148"/>
      <c r="S233" s="148"/>
      <c r="T233" s="148"/>
      <c r="U233" s="148"/>
      <c r="V233" s="148"/>
      <c r="W233" s="148"/>
      <c r="X233" s="148"/>
      <c r="Y233" s="148"/>
      <c r="Z233" s="148"/>
    </row>
    <row r="234">
      <c r="A234" s="143">
        <v>45953.0</v>
      </c>
      <c r="B234" s="144" t="s">
        <v>552</v>
      </c>
      <c r="C234" s="144" t="s">
        <v>553</v>
      </c>
      <c r="D234" s="145">
        <v>45950.0</v>
      </c>
      <c r="E234" s="144">
        <v>0.0</v>
      </c>
      <c r="F234" s="144">
        <v>0.0</v>
      </c>
      <c r="G234" s="144">
        <v>-2.082560425E7</v>
      </c>
      <c r="H234" s="146">
        <v>2.336704E7</v>
      </c>
      <c r="I234" s="147">
        <f t="shared" si="1"/>
        <v>2541435.75</v>
      </c>
      <c r="J234" s="148"/>
      <c r="K234" s="148"/>
      <c r="L234" s="148"/>
      <c r="M234" s="148"/>
      <c r="N234" s="148"/>
      <c r="O234" s="148"/>
      <c r="P234" s="148"/>
      <c r="Q234" s="148"/>
      <c r="R234" s="148"/>
      <c r="S234" s="148"/>
      <c r="T234" s="148"/>
      <c r="U234" s="148"/>
      <c r="V234" s="148"/>
      <c r="W234" s="148"/>
      <c r="X234" s="148"/>
      <c r="Y234" s="148"/>
      <c r="Z234" s="148"/>
    </row>
    <row r="235">
      <c r="A235" s="143">
        <v>45953.0</v>
      </c>
      <c r="B235" s="144" t="s">
        <v>552</v>
      </c>
      <c r="C235" s="144" t="s">
        <v>553</v>
      </c>
      <c r="D235" s="145">
        <v>45951.0</v>
      </c>
      <c r="E235" s="144">
        <v>0.0</v>
      </c>
      <c r="F235" s="144">
        <v>0.0</v>
      </c>
      <c r="G235" s="144">
        <v>-2.082560425E7</v>
      </c>
      <c r="H235" s="146">
        <v>2.3477857E7</v>
      </c>
      <c r="I235" s="147">
        <f t="shared" si="1"/>
        <v>2652252.75</v>
      </c>
      <c r="J235" s="148"/>
      <c r="K235" s="148"/>
      <c r="L235" s="148"/>
      <c r="M235" s="148"/>
      <c r="N235" s="148"/>
      <c r="O235" s="148"/>
      <c r="P235" s="148"/>
      <c r="Q235" s="148"/>
      <c r="R235" s="148"/>
      <c r="S235" s="148"/>
      <c r="T235" s="148"/>
      <c r="U235" s="148"/>
      <c r="V235" s="148"/>
      <c r="W235" s="148"/>
      <c r="X235" s="148"/>
      <c r="Y235" s="148"/>
      <c r="Z235" s="148"/>
    </row>
    <row r="236">
      <c r="A236" s="143">
        <v>45954.0</v>
      </c>
      <c r="B236" s="144" t="s">
        <v>552</v>
      </c>
      <c r="C236" s="144" t="s">
        <v>553</v>
      </c>
      <c r="D236" s="145">
        <v>45953.0</v>
      </c>
      <c r="E236" s="144">
        <v>0.0</v>
      </c>
      <c r="F236" s="144">
        <v>0.0</v>
      </c>
      <c r="G236" s="144">
        <v>-2.082560425E7</v>
      </c>
      <c r="H236" s="146">
        <v>2.3170021E7</v>
      </c>
      <c r="I236" s="147">
        <f t="shared" si="1"/>
        <v>2344416.75</v>
      </c>
      <c r="J236" s="148"/>
      <c r="K236" s="148"/>
      <c r="L236" s="148"/>
      <c r="M236" s="148"/>
      <c r="N236" s="148"/>
      <c r="O236" s="148"/>
      <c r="P236" s="148"/>
      <c r="Q236" s="148"/>
      <c r="R236" s="148"/>
      <c r="S236" s="148"/>
      <c r="T236" s="148"/>
      <c r="U236" s="148"/>
      <c r="V236" s="148"/>
      <c r="W236" s="148"/>
      <c r="X236" s="148"/>
      <c r="Y236" s="148"/>
      <c r="Z236" s="148"/>
    </row>
    <row r="237">
      <c r="A237" s="143">
        <v>45957.0</v>
      </c>
      <c r="B237" s="144" t="s">
        <v>552</v>
      </c>
      <c r="C237" s="144" t="s">
        <v>553</v>
      </c>
      <c r="D237" s="145">
        <v>45954.0</v>
      </c>
      <c r="E237" s="144">
        <v>0.0</v>
      </c>
      <c r="F237" s="144">
        <v>0.0</v>
      </c>
      <c r="G237" s="144">
        <v>-2.082560425E7</v>
      </c>
      <c r="H237" s="146">
        <v>2.3102634E7</v>
      </c>
      <c r="I237" s="147">
        <f t="shared" si="1"/>
        <v>2277029.75</v>
      </c>
    </row>
    <row r="238">
      <c r="A238" s="143">
        <v>45958.0</v>
      </c>
      <c r="B238" s="144" t="s">
        <v>552</v>
      </c>
      <c r="C238" s="144" t="s">
        <v>553</v>
      </c>
      <c r="D238" s="145">
        <v>45957.0</v>
      </c>
      <c r="E238" s="144">
        <v>0.0</v>
      </c>
      <c r="F238" s="144">
        <v>0.0</v>
      </c>
      <c r="G238" s="144">
        <v>-2.082560425E7</v>
      </c>
      <c r="H238" s="146">
        <v>2.3192061E7</v>
      </c>
      <c r="I238" s="147">
        <f t="shared" si="1"/>
        <v>2366456.75</v>
      </c>
    </row>
    <row r="239">
      <c r="A239" s="143">
        <v>45959.0</v>
      </c>
      <c r="B239" s="144" t="s">
        <v>552</v>
      </c>
      <c r="C239" s="144" t="s">
        <v>553</v>
      </c>
      <c r="D239" s="145">
        <v>45958.0</v>
      </c>
      <c r="E239" s="144">
        <v>0.0</v>
      </c>
      <c r="F239" s="144">
        <v>0.0</v>
      </c>
      <c r="G239" s="144">
        <v>-2.082560425E7</v>
      </c>
      <c r="H239" s="146">
        <v>2.3266107E7</v>
      </c>
      <c r="I239" s="147">
        <f t="shared" si="1"/>
        <v>2440502.75</v>
      </c>
    </row>
    <row r="240">
      <c r="A240" s="143">
        <v>45960.0</v>
      </c>
      <c r="B240" s="144" t="s">
        <v>552</v>
      </c>
      <c r="C240" s="144" t="s">
        <v>553</v>
      </c>
      <c r="D240" s="145">
        <v>45959.0</v>
      </c>
      <c r="E240" s="144">
        <v>0.0</v>
      </c>
      <c r="F240" s="144">
        <v>0.0</v>
      </c>
      <c r="G240" s="144">
        <v>-2.082560425E7</v>
      </c>
      <c r="H240" s="146">
        <v>2.3424303E7</v>
      </c>
      <c r="I240" s="147">
        <f t="shared" si="1"/>
        <v>2598698.75</v>
      </c>
    </row>
    <row r="241">
      <c r="A241" s="143">
        <v>45961.0</v>
      </c>
      <c r="B241" s="144" t="s">
        <v>552</v>
      </c>
      <c r="C241" s="144" t="s">
        <v>553</v>
      </c>
      <c r="D241" s="145">
        <v>45960.0</v>
      </c>
      <c r="E241" s="144">
        <v>0.0</v>
      </c>
      <c r="F241" s="144">
        <v>0.0</v>
      </c>
      <c r="G241" s="144">
        <v>-2.082560425E7</v>
      </c>
      <c r="H241" s="146">
        <v>2.3311069E7</v>
      </c>
      <c r="I241" s="147">
        <f t="shared" si="1"/>
        <v>2485464.75</v>
      </c>
    </row>
    <row r="242">
      <c r="A242" s="143">
        <v>45964.0</v>
      </c>
      <c r="B242" s="144" t="s">
        <v>552</v>
      </c>
      <c r="C242" s="144" t="s">
        <v>553</v>
      </c>
      <c r="D242" s="145">
        <v>45961.0</v>
      </c>
      <c r="E242" s="144">
        <v>0.0</v>
      </c>
      <c r="F242" s="144">
        <v>0.0</v>
      </c>
      <c r="G242" s="144">
        <v>-2.082560425E7</v>
      </c>
      <c r="H242" s="146">
        <v>2.3077932E7</v>
      </c>
      <c r="I242" s="147">
        <f t="shared" si="1"/>
        <v>2252327.75</v>
      </c>
    </row>
    <row r="243">
      <c r="A243" s="143">
        <v>45965.0</v>
      </c>
      <c r="B243" s="144" t="s">
        <v>565</v>
      </c>
      <c r="C243" s="144" t="s">
        <v>566</v>
      </c>
      <c r="D243" s="145">
        <v>45964.0</v>
      </c>
      <c r="E243" s="144">
        <v>0.0</v>
      </c>
      <c r="F243" s="144">
        <v>1.695939482E7</v>
      </c>
      <c r="G243" s="144">
        <v>-3866209.45</v>
      </c>
      <c r="H243" s="146">
        <v>6271352.0</v>
      </c>
      <c r="I243" s="147">
        <f t="shared" si="1"/>
        <v>2405142.55</v>
      </c>
    </row>
    <row r="244">
      <c r="A244" s="143">
        <v>45967.0</v>
      </c>
      <c r="B244" s="144" t="s">
        <v>567</v>
      </c>
      <c r="C244" s="144" t="s">
        <v>568</v>
      </c>
      <c r="D244" s="145">
        <v>45965.0</v>
      </c>
      <c r="E244" s="144">
        <v>9170457.3</v>
      </c>
      <c r="F244" s="144">
        <v>0.0</v>
      </c>
      <c r="G244" s="144">
        <v>-1.303666675E7</v>
      </c>
      <c r="H244" s="146">
        <v>1.5337356E7</v>
      </c>
      <c r="I244" s="147">
        <f t="shared" si="1"/>
        <v>2300689.25</v>
      </c>
    </row>
    <row r="245">
      <c r="A245" s="150">
        <v>45968.0</v>
      </c>
      <c r="B245" s="8" t="s">
        <v>569</v>
      </c>
      <c r="C245" s="8" t="s">
        <v>570</v>
      </c>
      <c r="D245" s="59">
        <v>45967.0</v>
      </c>
      <c r="E245" s="8">
        <v>7826195.36</v>
      </c>
      <c r="F245" s="8">
        <v>0.0</v>
      </c>
      <c r="G245" s="8">
        <v>-2.086286111E7</v>
      </c>
      <c r="H245" s="8">
        <v>2.2800889E7</v>
      </c>
      <c r="I245" s="147">
        <f t="shared" si="1"/>
        <v>1938027.89</v>
      </c>
    </row>
    <row r="246">
      <c r="A246" s="150">
        <v>45971.0</v>
      </c>
      <c r="B246" s="8" t="s">
        <v>569</v>
      </c>
      <c r="C246" s="8" t="s">
        <v>570</v>
      </c>
      <c r="D246" s="59">
        <v>45968.0</v>
      </c>
      <c r="F246" s="8">
        <v>0.0</v>
      </c>
      <c r="G246" s="8">
        <v>-2.086286111E7</v>
      </c>
      <c r="H246" s="8">
        <v>2.3164903E7</v>
      </c>
      <c r="I246" s="147">
        <f t="shared" si="1"/>
        <v>2302041.89</v>
      </c>
    </row>
    <row r="247">
      <c r="A247" s="150">
        <v>45972.0</v>
      </c>
      <c r="B247" s="8" t="s">
        <v>569</v>
      </c>
      <c r="C247" s="8" t="s">
        <v>570</v>
      </c>
      <c r="D247" s="59">
        <v>45971.0</v>
      </c>
      <c r="F247" s="8">
        <v>0.0</v>
      </c>
      <c r="G247" s="8">
        <v>-2.086286111E7</v>
      </c>
      <c r="H247" s="8">
        <v>2.3264399E7</v>
      </c>
      <c r="I247" s="147">
        <f t="shared" si="1"/>
        <v>2401537.89</v>
      </c>
    </row>
    <row r="248">
      <c r="A248" s="150">
        <v>45973.0</v>
      </c>
      <c r="B248" s="8" t="s">
        <v>569</v>
      </c>
      <c r="C248" s="8" t="s">
        <v>570</v>
      </c>
      <c r="D248" s="59">
        <v>45972.0</v>
      </c>
      <c r="F248" s="8">
        <v>0.0</v>
      </c>
      <c r="G248" s="8">
        <v>-2.086286111E7</v>
      </c>
      <c r="H248" s="8">
        <v>2.3255982E7</v>
      </c>
      <c r="I248" s="147">
        <f t="shared" si="1"/>
        <v>2393120.89</v>
      </c>
    </row>
    <row r="249">
      <c r="A249" s="150">
        <v>45974.0</v>
      </c>
      <c r="B249" s="8" t="s">
        <v>569</v>
      </c>
      <c r="C249" s="8" t="s">
        <v>570</v>
      </c>
      <c r="D249" s="59">
        <v>45973.0</v>
      </c>
      <c r="F249" s="8">
        <v>0.0</v>
      </c>
      <c r="G249" s="8">
        <v>-2.086286111E7</v>
      </c>
      <c r="H249" s="8">
        <v>2.3375502E7</v>
      </c>
      <c r="I249" s="147">
        <f t="shared" si="1"/>
        <v>2512640.89</v>
      </c>
    </row>
    <row r="250">
      <c r="A250" s="150">
        <v>45975.0</v>
      </c>
      <c r="B250" s="8" t="s">
        <v>569</v>
      </c>
      <c r="C250" s="8" t="s">
        <v>570</v>
      </c>
      <c r="D250" s="59">
        <v>45974.0</v>
      </c>
      <c r="F250" s="8">
        <v>0.0</v>
      </c>
      <c r="G250" s="8">
        <v>-2.086286111E7</v>
      </c>
      <c r="H250" s="8">
        <v>2.321319E7</v>
      </c>
      <c r="I250" s="147">
        <f t="shared" si="1"/>
        <v>2350328.89</v>
      </c>
    </row>
    <row r="251">
      <c r="A251" s="150">
        <v>45978.0</v>
      </c>
      <c r="B251" s="8" t="s">
        <v>569</v>
      </c>
      <c r="C251" s="8" t="s">
        <v>570</v>
      </c>
      <c r="D251" s="59">
        <v>45975.0</v>
      </c>
      <c r="F251" s="8">
        <v>0.0</v>
      </c>
      <c r="G251" s="8">
        <v>-2.086286111E7</v>
      </c>
      <c r="H251" s="8">
        <v>2.3404201E7</v>
      </c>
      <c r="I251" s="147">
        <f t="shared" si="1"/>
        <v>2541339.89</v>
      </c>
    </row>
    <row r="252">
      <c r="A252" s="150">
        <v>45979.0</v>
      </c>
      <c r="B252" s="8" t="s">
        <v>569</v>
      </c>
      <c r="C252" s="8" t="s">
        <v>570</v>
      </c>
      <c r="D252" s="59">
        <v>45978.0</v>
      </c>
      <c r="F252" s="8">
        <v>0.0</v>
      </c>
      <c r="G252" s="8">
        <v>-2.086286111E7</v>
      </c>
      <c r="H252" s="8">
        <v>2.350066E7</v>
      </c>
      <c r="I252" s="147">
        <f t="shared" si="1"/>
        <v>2637798.89</v>
      </c>
    </row>
    <row r="253">
      <c r="A253" s="150">
        <v>45980.0</v>
      </c>
      <c r="B253" s="8" t="s">
        <v>569</v>
      </c>
      <c r="C253" s="8" t="s">
        <v>570</v>
      </c>
      <c r="D253" s="59">
        <v>45979.0</v>
      </c>
      <c r="F253" s="8">
        <v>0.0</v>
      </c>
      <c r="G253" s="8">
        <v>-2.086286111E7</v>
      </c>
      <c r="H253" s="8">
        <v>2.3155947E7</v>
      </c>
      <c r="I253" s="147">
        <f t="shared" si="1"/>
        <v>2293085.89</v>
      </c>
    </row>
    <row r="254">
      <c r="A254" s="150">
        <v>45981.0</v>
      </c>
      <c r="B254" s="8" t="s">
        <v>569</v>
      </c>
      <c r="C254" s="8" t="s">
        <v>570</v>
      </c>
      <c r="D254" s="59">
        <v>45980.0</v>
      </c>
      <c r="F254" s="8">
        <v>0.0</v>
      </c>
      <c r="G254" s="8">
        <v>-2.086286111E7</v>
      </c>
      <c r="H254" s="8">
        <v>2.3117693E7</v>
      </c>
      <c r="I254" s="147">
        <f t="shared" si="1"/>
        <v>2254831.89</v>
      </c>
    </row>
    <row r="255">
      <c r="A255" s="150">
        <v>45982.0</v>
      </c>
      <c r="B255" s="8" t="s">
        <v>569</v>
      </c>
      <c r="C255" s="8" t="s">
        <v>570</v>
      </c>
      <c r="D255" s="59">
        <v>45981.0</v>
      </c>
      <c r="F255" s="8">
        <v>0.0</v>
      </c>
      <c r="G255" s="8">
        <v>-2.086286111E7</v>
      </c>
      <c r="H255" s="8">
        <v>2.3182678E7</v>
      </c>
      <c r="I255" s="147">
        <f t="shared" si="1"/>
        <v>2319816.89</v>
      </c>
    </row>
    <row r="256">
      <c r="A256" s="150">
        <v>45985.0</v>
      </c>
      <c r="B256" s="8" t="s">
        <v>569</v>
      </c>
      <c r="C256" s="8" t="s">
        <v>570</v>
      </c>
      <c r="D256" s="59">
        <v>45982.0</v>
      </c>
      <c r="F256" s="8">
        <v>0.0</v>
      </c>
      <c r="G256" s="8">
        <v>-2.086286111E7</v>
      </c>
      <c r="H256" s="8">
        <v>2.2700134E7</v>
      </c>
      <c r="I256" s="147">
        <f t="shared" si="1"/>
        <v>1837272.89</v>
      </c>
    </row>
    <row r="257">
      <c r="A257" s="150">
        <v>45986.0</v>
      </c>
      <c r="B257" s="8" t="s">
        <v>569</v>
      </c>
      <c r="C257" s="8" t="s">
        <v>570</v>
      </c>
      <c r="D257" s="59">
        <v>45985.0</v>
      </c>
      <c r="F257" s="8">
        <v>0.0</v>
      </c>
      <c r="G257" s="8">
        <v>-2.086286111E7</v>
      </c>
      <c r="H257" s="8">
        <v>2.2616881E7</v>
      </c>
      <c r="I257" s="147">
        <f t="shared" si="1"/>
        <v>1754019.89</v>
      </c>
    </row>
    <row r="258">
      <c r="A258" s="150">
        <v>45987.0</v>
      </c>
      <c r="B258" s="8" t="s">
        <v>569</v>
      </c>
      <c r="C258" s="8" t="s">
        <v>570</v>
      </c>
      <c r="D258" s="59">
        <v>45986.0</v>
      </c>
      <c r="F258" s="8">
        <v>0.0</v>
      </c>
      <c r="G258" s="8">
        <v>-2.086286111E7</v>
      </c>
      <c r="H258" s="8">
        <v>2.2671622E7</v>
      </c>
      <c r="I258" s="147">
        <f t="shared" si="1"/>
        <v>1808760.89</v>
      </c>
    </row>
    <row r="259">
      <c r="A259" s="150">
        <v>45988.0</v>
      </c>
      <c r="B259" s="8" t="s">
        <v>569</v>
      </c>
      <c r="C259" s="8" t="s">
        <v>570</v>
      </c>
      <c r="D259" s="59">
        <v>45987.0</v>
      </c>
      <c r="F259" s="8">
        <v>0.0</v>
      </c>
      <c r="G259" s="8">
        <v>-2.086286111E7</v>
      </c>
      <c r="H259" s="8">
        <v>2.309104E7</v>
      </c>
      <c r="I259" s="147">
        <f t="shared" si="1"/>
        <v>2228178.89</v>
      </c>
    </row>
    <row r="260">
      <c r="A260" s="150">
        <v>45989.0</v>
      </c>
      <c r="B260" s="8" t="s">
        <v>569</v>
      </c>
      <c r="C260" s="8" t="s">
        <v>570</v>
      </c>
      <c r="D260" s="59">
        <v>45988.0</v>
      </c>
      <c r="F260" s="8">
        <v>0.0</v>
      </c>
      <c r="G260" s="8">
        <v>-2.086286111E7</v>
      </c>
      <c r="H260" s="8">
        <v>2.31393E7</v>
      </c>
      <c r="I260" s="147">
        <f t="shared" si="1"/>
        <v>2276438.89</v>
      </c>
    </row>
    <row r="261">
      <c r="A261" s="150">
        <v>45992.0</v>
      </c>
      <c r="B261" s="8" t="s">
        <v>569</v>
      </c>
      <c r="C261" s="8" t="s">
        <v>570</v>
      </c>
      <c r="D261" s="59">
        <v>45989.0</v>
      </c>
      <c r="F261" s="8">
        <v>0.0</v>
      </c>
      <c r="G261" s="8">
        <v>-2.086286111E7</v>
      </c>
      <c r="H261" s="8">
        <v>2.316887E7</v>
      </c>
      <c r="I261" s="147">
        <f t="shared" si="1"/>
        <v>2306008.89</v>
      </c>
    </row>
    <row r="262">
      <c r="A262" s="150">
        <v>45993.0</v>
      </c>
      <c r="B262" s="8" t="s">
        <v>569</v>
      </c>
      <c r="C262" s="8" t="s">
        <v>570</v>
      </c>
      <c r="D262" s="59">
        <v>45992.0</v>
      </c>
      <c r="F262" s="8">
        <v>0.0</v>
      </c>
      <c r="G262" s="8">
        <v>-2.086286111E7</v>
      </c>
      <c r="H262" s="8">
        <v>2.3179631E7</v>
      </c>
      <c r="I262" s="147">
        <f t="shared" si="1"/>
        <v>2316769.89</v>
      </c>
    </row>
    <row r="263">
      <c r="A263" s="150">
        <v>45994.0</v>
      </c>
      <c r="B263" s="8" t="s">
        <v>569</v>
      </c>
      <c r="C263" s="8" t="s">
        <v>570</v>
      </c>
      <c r="D263" s="59">
        <v>45993.0</v>
      </c>
      <c r="F263" s="8">
        <v>0.0</v>
      </c>
      <c r="G263" s="8">
        <v>-2.086286111E7</v>
      </c>
      <c r="H263" s="8">
        <v>2.3035546E7</v>
      </c>
      <c r="I263" s="147">
        <f t="shared" si="1"/>
        <v>2172684.89</v>
      </c>
    </row>
    <row r="264">
      <c r="A264" s="150">
        <v>45995.0</v>
      </c>
      <c r="B264" s="8" t="s">
        <v>569</v>
      </c>
      <c r="C264" s="8" t="s">
        <v>570</v>
      </c>
      <c r="D264" s="59">
        <v>45994.0</v>
      </c>
      <c r="F264" s="8">
        <v>0.0</v>
      </c>
      <c r="G264" s="8">
        <v>-2.086286111E7</v>
      </c>
      <c r="H264" s="8">
        <v>2.2851449E7</v>
      </c>
      <c r="I264" s="147">
        <f t="shared" si="1"/>
        <v>1988587.89</v>
      </c>
    </row>
    <row r="265">
      <c r="A265" s="150">
        <v>45996.0</v>
      </c>
      <c r="B265" s="8" t="s">
        <v>569</v>
      </c>
      <c r="C265" s="8" t="s">
        <v>570</v>
      </c>
      <c r="D265" s="59">
        <v>45995.0</v>
      </c>
      <c r="F265" s="8">
        <v>0.0</v>
      </c>
      <c r="G265" s="8">
        <v>-2.086286111E7</v>
      </c>
      <c r="H265" s="8">
        <v>2.2669126E7</v>
      </c>
      <c r="I265" s="147">
        <f t="shared" si="1"/>
        <v>1806264.89</v>
      </c>
    </row>
    <row r="266">
      <c r="A266" s="150">
        <v>45999.0</v>
      </c>
      <c r="B266" s="8" t="s">
        <v>569</v>
      </c>
      <c r="C266" s="8" t="s">
        <v>570</v>
      </c>
      <c r="D266" s="59">
        <v>45996.0</v>
      </c>
      <c r="F266" s="8">
        <v>0.0</v>
      </c>
      <c r="G266" s="8">
        <v>-2.086286111E7</v>
      </c>
      <c r="H266" s="8">
        <v>2.2499925E7</v>
      </c>
      <c r="I266" s="147">
        <f t="shared" si="1"/>
        <v>1637063.89</v>
      </c>
    </row>
    <row r="267">
      <c r="A267" s="150">
        <v>46000.0</v>
      </c>
      <c r="B267" s="8" t="s">
        <v>569</v>
      </c>
      <c r="C267" s="8" t="s">
        <v>570</v>
      </c>
      <c r="D267" s="59">
        <v>45999.0</v>
      </c>
      <c r="F267" s="8">
        <v>0.0</v>
      </c>
      <c r="G267" s="8">
        <v>-2.086286111E7</v>
      </c>
      <c r="H267" s="8">
        <v>2.2029046E7</v>
      </c>
      <c r="I267" s="147">
        <f t="shared" si="1"/>
        <v>1166184.89</v>
      </c>
    </row>
    <row r="268">
      <c r="A268" s="150">
        <v>46001.0</v>
      </c>
      <c r="B268" s="8" t="s">
        <v>569</v>
      </c>
      <c r="C268" s="8" t="s">
        <v>570</v>
      </c>
      <c r="D268" s="59">
        <v>46000.0</v>
      </c>
      <c r="F268" s="8">
        <v>0.0</v>
      </c>
      <c r="G268" s="8">
        <v>-2.086286111E7</v>
      </c>
      <c r="H268" s="8">
        <v>2.2205541E7</v>
      </c>
      <c r="I268" s="147">
        <f t="shared" si="1"/>
        <v>1342679.89</v>
      </c>
    </row>
    <row r="269">
      <c r="A269" s="150">
        <v>46002.0</v>
      </c>
      <c r="B269" s="8" t="s">
        <v>569</v>
      </c>
      <c r="C269" s="8" t="s">
        <v>570</v>
      </c>
      <c r="D269" s="59">
        <v>46001.0</v>
      </c>
      <c r="F269" s="8">
        <v>0.0</v>
      </c>
      <c r="G269" s="8">
        <v>-2.086286111E7</v>
      </c>
      <c r="H269" s="8">
        <v>2.1960571E7</v>
      </c>
      <c r="I269" s="147">
        <f t="shared" si="1"/>
        <v>1097709.89</v>
      </c>
    </row>
    <row r="270">
      <c r="A270" s="150">
        <v>46003.0</v>
      </c>
      <c r="B270" s="8" t="s">
        <v>569</v>
      </c>
      <c r="C270" s="8" t="s">
        <v>570</v>
      </c>
      <c r="D270" s="59">
        <v>46002.0</v>
      </c>
      <c r="F270" s="8">
        <v>0.0</v>
      </c>
      <c r="G270" s="8">
        <v>-2.086286111E7</v>
      </c>
      <c r="H270" s="8">
        <v>2.2156768E7</v>
      </c>
      <c r="I270" s="147">
        <f t="shared" si="1"/>
        <v>1293906.89</v>
      </c>
    </row>
    <row r="271">
      <c r="A271" s="150">
        <v>46006.0</v>
      </c>
      <c r="B271" s="8" t="s">
        <v>569</v>
      </c>
      <c r="C271" s="8" t="s">
        <v>570</v>
      </c>
      <c r="D271" s="59">
        <v>46003.0</v>
      </c>
      <c r="F271" s="8">
        <v>0.0</v>
      </c>
      <c r="G271" s="8">
        <v>-2.086286111E7</v>
      </c>
      <c r="H271" s="8">
        <v>2.2445255E7</v>
      </c>
      <c r="I271" s="147">
        <f t="shared" si="1"/>
        <v>1582393.89</v>
      </c>
    </row>
    <row r="272">
      <c r="A272" s="150">
        <v>46007.0</v>
      </c>
      <c r="B272" s="8" t="s">
        <v>569</v>
      </c>
      <c r="C272" s="8" t="s">
        <v>570</v>
      </c>
      <c r="D272" s="59">
        <v>46006.0</v>
      </c>
      <c r="F272" s="8">
        <v>0.0</v>
      </c>
      <c r="G272" s="8">
        <v>-2.086286111E7</v>
      </c>
      <c r="H272" s="8">
        <v>2.245552E7</v>
      </c>
      <c r="I272" s="147">
        <f t="shared" si="1"/>
        <v>1592658.89</v>
      </c>
    </row>
    <row r="273">
      <c r="A273" s="150">
        <v>46008.0</v>
      </c>
      <c r="B273" s="8" t="s">
        <v>569</v>
      </c>
      <c r="C273" s="8" t="s">
        <v>570</v>
      </c>
      <c r="D273" s="59">
        <v>46007.0</v>
      </c>
      <c r="F273" s="8">
        <v>0.0</v>
      </c>
      <c r="G273" s="8">
        <v>-2.086286111E7</v>
      </c>
      <c r="H273" s="8">
        <v>2.2156537E7</v>
      </c>
      <c r="I273" s="147">
        <f t="shared" si="1"/>
        <v>1293675.89</v>
      </c>
    </row>
    <row r="274">
      <c r="A274" s="150">
        <v>46009.0</v>
      </c>
      <c r="B274" s="8" t="s">
        <v>569</v>
      </c>
      <c r="C274" s="8" t="s">
        <v>570</v>
      </c>
      <c r="D274" s="59">
        <v>46008.0</v>
      </c>
      <c r="F274" s="8">
        <v>0.0</v>
      </c>
      <c r="G274" s="8">
        <v>-2.086286111E7</v>
      </c>
      <c r="H274" s="8">
        <v>2.1986778E7</v>
      </c>
      <c r="I274" s="147">
        <f t="shared" si="1"/>
        <v>1123916.89</v>
      </c>
    </row>
    <row r="275">
      <c r="A275" s="150">
        <v>46010.0</v>
      </c>
      <c r="B275" s="8" t="s">
        <v>569</v>
      </c>
      <c r="C275" s="8" t="s">
        <v>570</v>
      </c>
      <c r="D275" s="59">
        <v>46009.0</v>
      </c>
      <c r="F275" s="8">
        <v>0.0</v>
      </c>
      <c r="G275" s="8">
        <v>-2.086286111E7</v>
      </c>
      <c r="H275" s="8">
        <v>2.1891923E7</v>
      </c>
      <c r="I275" s="147">
        <f t="shared" si="1"/>
        <v>1029061.89</v>
      </c>
    </row>
    <row r="276">
      <c r="A276" s="150">
        <v>46013.0</v>
      </c>
      <c r="B276" s="8" t="s">
        <v>569</v>
      </c>
      <c r="C276" s="8" t="s">
        <v>570</v>
      </c>
      <c r="D276" s="59">
        <v>46010.0</v>
      </c>
      <c r="F276" s="8">
        <v>0.0</v>
      </c>
      <c r="G276" s="8">
        <v>-2.086286111E7</v>
      </c>
      <c r="H276" s="8">
        <v>2.2324284E7</v>
      </c>
      <c r="I276" s="147">
        <f t="shared" si="1"/>
        <v>1461422.89</v>
      </c>
    </row>
    <row r="277">
      <c r="A277" s="150">
        <v>46014.0</v>
      </c>
      <c r="B277" s="8" t="s">
        <v>569</v>
      </c>
      <c r="C277" s="8" t="s">
        <v>570</v>
      </c>
      <c r="D277" s="59">
        <v>46013.0</v>
      </c>
      <c r="F277" s="8">
        <v>0.0</v>
      </c>
      <c r="G277" s="8">
        <v>-2.086286111E7</v>
      </c>
      <c r="H277" s="8">
        <v>2.2648633E7</v>
      </c>
      <c r="I277" s="147">
        <f t="shared" si="1"/>
        <v>1785771.89</v>
      </c>
    </row>
    <row r="278">
      <c r="A278" s="150">
        <v>46015.0</v>
      </c>
      <c r="B278" s="8" t="s">
        <v>569</v>
      </c>
      <c r="C278" s="8" t="s">
        <v>570</v>
      </c>
      <c r="D278" s="59">
        <v>46014.0</v>
      </c>
      <c r="F278" s="8">
        <v>0.0</v>
      </c>
      <c r="G278" s="8">
        <v>-2.086286111E7</v>
      </c>
      <c r="H278" s="8">
        <v>2.2768249E7</v>
      </c>
      <c r="I278" s="147">
        <f t="shared" si="1"/>
        <v>1905387.89</v>
      </c>
    </row>
    <row r="279">
      <c r="A279" s="150">
        <v>46017.0</v>
      </c>
      <c r="B279" s="8" t="s">
        <v>569</v>
      </c>
      <c r="C279" s="8" t="s">
        <v>570</v>
      </c>
      <c r="D279" s="59">
        <v>46015.0</v>
      </c>
      <c r="F279" s="8">
        <v>0.0</v>
      </c>
      <c r="G279" s="8">
        <v>-2.086286111E7</v>
      </c>
      <c r="H279" s="8">
        <v>2.2845466E7</v>
      </c>
      <c r="I279" s="147">
        <f t="shared" si="1"/>
        <v>1982604.89</v>
      </c>
    </row>
    <row r="280">
      <c r="A280" s="150">
        <v>46020.0</v>
      </c>
      <c r="B280" s="8" t="s">
        <v>569</v>
      </c>
      <c r="C280" s="8" t="s">
        <v>570</v>
      </c>
      <c r="D280" s="59">
        <v>46017.0</v>
      </c>
      <c r="F280" s="8">
        <v>0.0</v>
      </c>
      <c r="G280" s="8">
        <v>-2.086286111E7</v>
      </c>
      <c r="H280" s="8">
        <v>2.281004E7</v>
      </c>
      <c r="I280" s="147">
        <f t="shared" si="1"/>
        <v>1947178.89</v>
      </c>
    </row>
    <row r="281">
      <c r="A281" s="150">
        <v>46021.0</v>
      </c>
      <c r="B281" s="8" t="s">
        <v>569</v>
      </c>
      <c r="C281" s="8" t="s">
        <v>570</v>
      </c>
      <c r="D281" s="59">
        <v>46020.0</v>
      </c>
      <c r="F281" s="8">
        <v>0.0</v>
      </c>
      <c r="G281" s="8">
        <v>-2.086286111E7</v>
      </c>
      <c r="H281" s="8">
        <v>2.2767367E7</v>
      </c>
      <c r="I281" s="147">
        <f t="shared" si="1"/>
        <v>1904505.89</v>
      </c>
    </row>
    <row r="282">
      <c r="A282" s="150">
        <v>46022.0</v>
      </c>
      <c r="B282" s="8" t="s">
        <v>569</v>
      </c>
      <c r="C282" s="8" t="s">
        <v>570</v>
      </c>
      <c r="D282" s="59">
        <v>46021.0</v>
      </c>
      <c r="F282" s="8">
        <v>0.0</v>
      </c>
      <c r="G282" s="8">
        <v>-2.086286111E7</v>
      </c>
      <c r="H282" s="8">
        <v>2.2792358E7</v>
      </c>
      <c r="I282" s="147">
        <f t="shared" si="1"/>
        <v>1929496.89</v>
      </c>
    </row>
    <row r="283">
      <c r="A283" s="150">
        <v>46023.0</v>
      </c>
      <c r="B283" s="8" t="s">
        <v>569</v>
      </c>
      <c r="C283" s="8" t="s">
        <v>570</v>
      </c>
      <c r="D283" s="59">
        <v>46022.0</v>
      </c>
      <c r="F283" s="8">
        <v>0.0</v>
      </c>
      <c r="G283" s="8">
        <v>-2.086286111E7</v>
      </c>
      <c r="H283" s="8">
        <v>2.3079036E7</v>
      </c>
      <c r="I283" s="147">
        <f t="shared" si="1"/>
        <v>2216174.89</v>
      </c>
    </row>
    <row r="284">
      <c r="A284" s="150">
        <v>46024.0</v>
      </c>
      <c r="B284" s="8" t="s">
        <v>569</v>
      </c>
      <c r="C284" s="8" t="s">
        <v>570</v>
      </c>
      <c r="D284" s="59">
        <v>46023.0</v>
      </c>
      <c r="F284" s="8">
        <v>0.0</v>
      </c>
      <c r="G284" s="8">
        <v>-2.086286111E7</v>
      </c>
      <c r="H284" s="8">
        <v>2.3120335E7</v>
      </c>
      <c r="I284" s="147">
        <f t="shared" si="1"/>
        <v>2257473.89</v>
      </c>
    </row>
    <row r="285">
      <c r="A285" s="150">
        <v>46027.0</v>
      </c>
      <c r="B285" s="8" t="s">
        <v>569</v>
      </c>
      <c r="C285" s="8" t="s">
        <v>570</v>
      </c>
      <c r="D285" s="59">
        <v>46024.0</v>
      </c>
      <c r="F285" s="8">
        <v>0.0</v>
      </c>
      <c r="G285" s="8">
        <v>-2.086286111E7</v>
      </c>
      <c r="H285" s="8">
        <v>2.330858E7</v>
      </c>
      <c r="I285" s="147">
        <f t="shared" si="1"/>
        <v>2445718.89</v>
      </c>
    </row>
    <row r="286">
      <c r="A286" s="150">
        <v>46028.0</v>
      </c>
      <c r="B286" s="8" t="s">
        <v>569</v>
      </c>
      <c r="C286" s="8" t="s">
        <v>570</v>
      </c>
      <c r="D286" s="59">
        <v>46027.0</v>
      </c>
      <c r="F286" s="8">
        <v>0.0</v>
      </c>
      <c r="G286" s="8">
        <v>-2.086286111E7</v>
      </c>
      <c r="H286" s="8">
        <v>2.3442807E7</v>
      </c>
      <c r="I286" s="147">
        <f t="shared" si="1"/>
        <v>2579945.89</v>
      </c>
    </row>
    <row r="287">
      <c r="A287" s="150">
        <v>46029.0</v>
      </c>
      <c r="B287" s="8" t="s">
        <v>569</v>
      </c>
      <c r="C287" s="8" t="s">
        <v>570</v>
      </c>
      <c r="D287" s="59">
        <v>46028.0</v>
      </c>
      <c r="F287" s="8">
        <v>0.0</v>
      </c>
      <c r="G287" s="8">
        <v>-2.086286111E7</v>
      </c>
      <c r="H287" s="8">
        <v>2.3463371E7</v>
      </c>
      <c r="I287" s="147">
        <f t="shared" si="1"/>
        <v>2600509.89</v>
      </c>
    </row>
    <row r="288">
      <c r="A288" s="150">
        <v>46030.0</v>
      </c>
      <c r="B288" s="8" t="s">
        <v>569</v>
      </c>
      <c r="C288" s="8" t="s">
        <v>570</v>
      </c>
      <c r="D288" s="59">
        <v>46029.0</v>
      </c>
      <c r="F288" s="8">
        <v>0.0</v>
      </c>
      <c r="G288" s="8">
        <v>-2.086286111E7</v>
      </c>
      <c r="H288" s="8">
        <v>2.3590501E7</v>
      </c>
      <c r="I288" s="147">
        <f t="shared" si="1"/>
        <v>2727639.89</v>
      </c>
    </row>
    <row r="289">
      <c r="A289" s="150">
        <v>46031.0</v>
      </c>
      <c r="B289" s="8" t="s">
        <v>569</v>
      </c>
      <c r="C289" s="8" t="s">
        <v>570</v>
      </c>
      <c r="D289" s="59">
        <v>46030.0</v>
      </c>
      <c r="F289" s="8">
        <v>0.0</v>
      </c>
      <c r="G289" s="8">
        <v>-2.086286111E7</v>
      </c>
      <c r="H289" s="8">
        <v>2.309673E7</v>
      </c>
      <c r="I289" s="147">
        <f t="shared" si="1"/>
        <v>2233868.89</v>
      </c>
    </row>
    <row r="290">
      <c r="A290" s="150">
        <v>46034.0</v>
      </c>
      <c r="B290" s="8" t="s">
        <v>569</v>
      </c>
      <c r="C290" s="8" t="s">
        <v>570</v>
      </c>
      <c r="D290" s="59">
        <v>46031.0</v>
      </c>
      <c r="F290" s="8">
        <v>0.0</v>
      </c>
      <c r="G290" s="8">
        <v>-2.086286111E7</v>
      </c>
      <c r="H290" s="8">
        <v>2.2561605E7</v>
      </c>
      <c r="I290" s="147">
        <f t="shared" si="1"/>
        <v>1698743.89</v>
      </c>
    </row>
    <row r="291">
      <c r="A291" s="150">
        <v>46035.0</v>
      </c>
      <c r="B291" s="8" t="s">
        <v>569</v>
      </c>
      <c r="C291" s="8" t="s">
        <v>570</v>
      </c>
      <c r="D291" s="59">
        <v>46034.0</v>
      </c>
      <c r="F291" s="8">
        <v>0.0</v>
      </c>
      <c r="G291" s="8">
        <v>-2.086286111E7</v>
      </c>
      <c r="H291" s="8">
        <v>2.2586145E7</v>
      </c>
      <c r="I291" s="147">
        <f t="shared" si="1"/>
        <v>1723283.89</v>
      </c>
    </row>
    <row r="292">
      <c r="A292" s="150">
        <v>46036.0</v>
      </c>
      <c r="B292" s="8" t="s">
        <v>569</v>
      </c>
      <c r="C292" s="8" t="s">
        <v>570</v>
      </c>
      <c r="D292" s="59">
        <v>46035.0</v>
      </c>
      <c r="F292" s="8">
        <v>0.0</v>
      </c>
      <c r="G292" s="8">
        <v>-2.086286111E7</v>
      </c>
      <c r="H292" s="8">
        <v>2.27412E7</v>
      </c>
      <c r="I292" s="147">
        <f t="shared" si="1"/>
        <v>1878338.89</v>
      </c>
    </row>
    <row r="293">
      <c r="A293" s="150">
        <v>46038.0</v>
      </c>
      <c r="B293" s="8" t="s">
        <v>569</v>
      </c>
      <c r="C293" s="8" t="s">
        <v>570</v>
      </c>
      <c r="D293" s="59">
        <v>46036.0</v>
      </c>
      <c r="F293" s="8">
        <v>0.0</v>
      </c>
      <c r="G293" s="8">
        <v>-2.086286111E7</v>
      </c>
      <c r="H293" s="8">
        <v>2.2861479E7</v>
      </c>
      <c r="I293" s="147">
        <f t="shared" si="1"/>
        <v>1998617.89</v>
      </c>
    </row>
    <row r="294">
      <c r="A294" s="150">
        <v>46041.0</v>
      </c>
      <c r="B294" s="8" t="s">
        <v>569</v>
      </c>
      <c r="C294" s="8" t="s">
        <v>570</v>
      </c>
      <c r="D294" s="59">
        <v>46038.0</v>
      </c>
      <c r="F294" s="8">
        <v>0.0</v>
      </c>
      <c r="G294" s="8">
        <v>-2.086286111E7</v>
      </c>
      <c r="H294" s="8">
        <v>2.2859643E7</v>
      </c>
      <c r="I294" s="147">
        <f t="shared" si="1"/>
        <v>1996781.89</v>
      </c>
    </row>
    <row r="295">
      <c r="A295" s="150">
        <v>46042.0</v>
      </c>
      <c r="B295" s="8" t="s">
        <v>569</v>
      </c>
      <c r="C295" s="8" t="s">
        <v>570</v>
      </c>
      <c r="D295" s="59">
        <v>46041.0</v>
      </c>
      <c r="F295" s="8">
        <v>0.0</v>
      </c>
      <c r="G295" s="8">
        <v>-2.086286111E7</v>
      </c>
      <c r="H295" s="8">
        <v>2.267816E7</v>
      </c>
      <c r="I295" s="147">
        <f t="shared" si="1"/>
        <v>1815298.89</v>
      </c>
    </row>
    <row r="296">
      <c r="A296" s="150">
        <v>46043.0</v>
      </c>
      <c r="B296" s="8" t="s">
        <v>569</v>
      </c>
      <c r="C296" s="8" t="s">
        <v>570</v>
      </c>
      <c r="D296" s="59">
        <v>46042.0</v>
      </c>
      <c r="F296" s="8">
        <v>0.0</v>
      </c>
      <c r="G296" s="8">
        <v>-2.086286111E7</v>
      </c>
      <c r="H296" s="8">
        <v>2.2076802E7</v>
      </c>
      <c r="I296" s="147">
        <f t="shared" si="1"/>
        <v>1213940.89</v>
      </c>
    </row>
    <row r="297">
      <c r="A297" s="150">
        <v>46044.0</v>
      </c>
      <c r="B297" s="8" t="s">
        <v>569</v>
      </c>
      <c r="C297" s="8" t="s">
        <v>570</v>
      </c>
      <c r="D297" s="59">
        <v>46043.0</v>
      </c>
      <c r="F297" s="8">
        <v>0.0</v>
      </c>
      <c r="G297" s="8">
        <v>-2.086286111E7</v>
      </c>
      <c r="H297" s="8">
        <v>2.1731612E7</v>
      </c>
      <c r="I297" s="147">
        <f t="shared" si="1"/>
        <v>868750.89</v>
      </c>
    </row>
    <row r="298">
      <c r="A298" s="150">
        <v>46045.0</v>
      </c>
      <c r="B298" s="8" t="s">
        <v>569</v>
      </c>
      <c r="C298" s="8" t="s">
        <v>570</v>
      </c>
      <c r="D298" s="59">
        <v>46044.0</v>
      </c>
      <c r="F298" s="8">
        <v>0.0</v>
      </c>
      <c r="G298" s="8">
        <v>-2.086286111E7</v>
      </c>
      <c r="H298" s="8">
        <v>2.2143343E7</v>
      </c>
      <c r="I298" s="147">
        <f t="shared" si="1"/>
        <v>1280481.89</v>
      </c>
    </row>
    <row r="299">
      <c r="A299" s="150">
        <v>46049.0</v>
      </c>
      <c r="B299" s="8" t="s">
        <v>569</v>
      </c>
      <c r="C299" s="8" t="s">
        <v>570</v>
      </c>
      <c r="D299" s="59">
        <v>46045.0</v>
      </c>
      <c r="F299" s="8">
        <v>0.0</v>
      </c>
      <c r="G299" s="8">
        <v>-2.086286111E7</v>
      </c>
      <c r="H299" s="8">
        <v>2.1623712E7</v>
      </c>
      <c r="I299" s="147">
        <f t="shared" si="1"/>
        <v>760850.89</v>
      </c>
    </row>
    <row r="300">
      <c r="A300" s="150">
        <v>46050.0</v>
      </c>
      <c r="B300" s="8" t="s">
        <v>569</v>
      </c>
      <c r="C300" s="8" t="s">
        <v>570</v>
      </c>
      <c r="D300" s="59">
        <v>46049.0</v>
      </c>
      <c r="F300" s="8">
        <v>0.0</v>
      </c>
      <c r="G300" s="8">
        <v>-2.086286111E7</v>
      </c>
      <c r="H300" s="8">
        <v>2.1653548E7</v>
      </c>
      <c r="I300" s="147">
        <f t="shared" si="1"/>
        <v>790686.89</v>
      </c>
    </row>
    <row r="301">
      <c r="A301" s="150">
        <v>46051.0</v>
      </c>
      <c r="B301" s="8" t="s">
        <v>569</v>
      </c>
      <c r="C301" s="8" t="s">
        <v>570</v>
      </c>
      <c r="D301" s="59">
        <v>46050.0</v>
      </c>
      <c r="F301" s="8">
        <v>0.0</v>
      </c>
      <c r="G301" s="8">
        <v>-2.086286111E7</v>
      </c>
      <c r="H301" s="8">
        <v>2.214288E7</v>
      </c>
      <c r="I301" s="147">
        <f t="shared" si="1"/>
        <v>1280018.89</v>
      </c>
    </row>
    <row r="302">
      <c r="A302" s="150">
        <v>46052.0</v>
      </c>
      <c r="B302" s="8" t="s">
        <v>569</v>
      </c>
      <c r="C302" s="8" t="s">
        <v>570</v>
      </c>
      <c r="D302" s="59">
        <v>46051.0</v>
      </c>
      <c r="F302" s="8">
        <v>0.0</v>
      </c>
      <c r="G302" s="8">
        <v>-2.086286111E7</v>
      </c>
      <c r="H302" s="8">
        <v>2.2347172E7</v>
      </c>
      <c r="I302" s="147">
        <f t="shared" si="1"/>
        <v>1484310.89</v>
      </c>
    </row>
    <row r="303">
      <c r="A303" s="150">
        <v>46055.0</v>
      </c>
      <c r="B303" s="8" t="s">
        <v>569</v>
      </c>
      <c r="C303" s="8" t="s">
        <v>570</v>
      </c>
      <c r="D303" s="59">
        <v>46052.0</v>
      </c>
      <c r="F303" s="8">
        <v>0.0</v>
      </c>
      <c r="G303" s="8">
        <v>-2.086286111E7</v>
      </c>
      <c r="H303" s="8">
        <v>2.2387227E7</v>
      </c>
      <c r="I303" s="147">
        <f t="shared" si="1"/>
        <v>1524365.89</v>
      </c>
    </row>
    <row r="304">
      <c r="A304" s="150">
        <v>46055.0</v>
      </c>
      <c r="B304" s="8" t="s">
        <v>569</v>
      </c>
      <c r="C304" s="8" t="s">
        <v>570</v>
      </c>
      <c r="D304" s="59">
        <v>46054.0</v>
      </c>
      <c r="F304" s="8">
        <v>0.0</v>
      </c>
      <c r="G304" s="8">
        <v>-2.086286111E7</v>
      </c>
      <c r="H304" s="8">
        <v>2.1781259E7</v>
      </c>
      <c r="I304" s="147">
        <f t="shared" si="1"/>
        <v>918397.89</v>
      </c>
    </row>
    <row r="305">
      <c r="A305" s="150">
        <v>46056.0</v>
      </c>
      <c r="B305" s="8" t="s">
        <v>569</v>
      </c>
      <c r="C305" s="8" t="s">
        <v>570</v>
      </c>
      <c r="D305" s="59">
        <v>46055.0</v>
      </c>
      <c r="F305" s="8">
        <v>0.0</v>
      </c>
      <c r="G305" s="8">
        <v>-2.086286111E7</v>
      </c>
      <c r="H305" s="8">
        <v>2.1940415E7</v>
      </c>
      <c r="I305" s="147">
        <f t="shared" si="1"/>
        <v>1077553.89</v>
      </c>
    </row>
    <row r="306">
      <c r="A306" s="150">
        <v>46057.0</v>
      </c>
      <c r="B306" s="8" t="s">
        <v>569</v>
      </c>
      <c r="C306" s="8" t="s">
        <v>570</v>
      </c>
      <c r="D306" s="59">
        <v>46056.0</v>
      </c>
      <c r="F306" s="8">
        <v>0.0</v>
      </c>
      <c r="G306" s="8">
        <v>-2.086286111E7</v>
      </c>
      <c r="H306" s="8">
        <v>2.2581403E7</v>
      </c>
      <c r="I306" s="147">
        <f t="shared" si="1"/>
        <v>1718541.89</v>
      </c>
    </row>
    <row r="307">
      <c r="A307" s="150">
        <v>46059.0</v>
      </c>
      <c r="B307" s="8" t="s">
        <v>581</v>
      </c>
      <c r="C307" s="8" t="s">
        <v>582</v>
      </c>
      <c r="D307" s="59">
        <v>46058.0</v>
      </c>
      <c r="E307" s="8">
        <v>0.0</v>
      </c>
      <c r="F307" s="8">
        <v>1.216542895E7</v>
      </c>
      <c r="G307" s="8">
        <v>-8697433.16</v>
      </c>
      <c r="H307" s="8">
        <v>1.0267134E7</v>
      </c>
      <c r="I307" s="147">
        <f t="shared" si="1"/>
        <v>1569700.84</v>
      </c>
    </row>
    <row r="308">
      <c r="A308" s="59">
        <v>46062.0</v>
      </c>
      <c r="B308" s="8" t="s">
        <v>583</v>
      </c>
      <c r="C308" s="8" t="s">
        <v>584</v>
      </c>
      <c r="D308" s="59">
        <v>46059.0</v>
      </c>
      <c r="E308" s="8">
        <v>1.152140817E7</v>
      </c>
      <c r="F308" s="8">
        <v>0.0</v>
      </c>
      <c r="G308" s="8">
        <v>-2.021884133E7</v>
      </c>
      <c r="H308" s="8">
        <v>2.1950068E7</v>
      </c>
      <c r="I308" s="147">
        <f t="shared" si="1"/>
        <v>1731226.67</v>
      </c>
    </row>
    <row r="309">
      <c r="A309" s="59">
        <v>46063.0</v>
      </c>
      <c r="B309" s="8" t="s">
        <v>583</v>
      </c>
      <c r="C309" s="8" t="s">
        <v>584</v>
      </c>
      <c r="D309" s="59">
        <v>46062.0</v>
      </c>
      <c r="F309" s="8">
        <v>0.0</v>
      </c>
      <c r="G309" s="8">
        <v>-2.021884133E7</v>
      </c>
      <c r="H309" s="8">
        <v>2.2486391E7</v>
      </c>
      <c r="I309" s="147">
        <f t="shared" si="1"/>
        <v>2267549.67</v>
      </c>
    </row>
    <row r="310">
      <c r="A310" s="59">
        <v>46064.0</v>
      </c>
      <c r="B310" s="8" t="s">
        <v>583</v>
      </c>
      <c r="C310" s="8" t="s">
        <v>584</v>
      </c>
      <c r="D310" s="59">
        <v>46063.0</v>
      </c>
      <c r="F310" s="8">
        <v>0.0</v>
      </c>
      <c r="G310" s="8">
        <v>-2.021884133E7</v>
      </c>
      <c r="H310" s="8">
        <v>2.2598477E7</v>
      </c>
      <c r="I310" s="147">
        <f t="shared" si="1"/>
        <v>2379635.67</v>
      </c>
    </row>
    <row r="311">
      <c r="A311" s="59">
        <v>46065.0</v>
      </c>
      <c r="B311" s="8" t="s">
        <v>583</v>
      </c>
      <c r="C311" s="8" t="s">
        <v>584</v>
      </c>
      <c r="D311" s="59">
        <v>46064.0</v>
      </c>
      <c r="F311" s="8">
        <v>0.0</v>
      </c>
      <c r="G311" s="8">
        <v>-2.021884133E7</v>
      </c>
      <c r="H311" s="8">
        <v>2.2708868E7</v>
      </c>
      <c r="I311" s="147">
        <f t="shared" si="1"/>
        <v>2490026.67</v>
      </c>
    </row>
    <row r="312">
      <c r="A312" s="59">
        <v>46066.0</v>
      </c>
      <c r="B312" s="8" t="s">
        <v>583</v>
      </c>
      <c r="C312" s="8" t="s">
        <v>584</v>
      </c>
      <c r="D312" s="59">
        <v>46065.0</v>
      </c>
      <c r="F312" s="8">
        <v>0.0</v>
      </c>
      <c r="G312" s="8">
        <v>-2.021884133E7</v>
      </c>
      <c r="H312" s="8">
        <v>2.2669393E7</v>
      </c>
      <c r="I312" s="147">
        <f t="shared" si="1"/>
        <v>2450551.67</v>
      </c>
    </row>
    <row r="313">
      <c r="A313" s="59">
        <v>46069.0</v>
      </c>
      <c r="B313" s="8" t="s">
        <v>583</v>
      </c>
      <c r="C313" s="8" t="s">
        <v>584</v>
      </c>
      <c r="D313" s="59">
        <v>46066.0</v>
      </c>
      <c r="F313" s="8">
        <v>0.0</v>
      </c>
      <c r="G313" s="8">
        <v>-2.021884133E7</v>
      </c>
      <c r="H313" s="8">
        <v>2.213568E7</v>
      </c>
      <c r="I313" s="147">
        <f t="shared" si="1"/>
        <v>1916838.67</v>
      </c>
    </row>
    <row r="314">
      <c r="A314" s="59">
        <v>46070.0</v>
      </c>
      <c r="B314" s="8" t="s">
        <v>583</v>
      </c>
      <c r="C314" s="8" t="s">
        <v>584</v>
      </c>
      <c r="D314" s="59">
        <v>46069.0</v>
      </c>
      <c r="F314" s="8">
        <v>0.0</v>
      </c>
      <c r="G314" s="8">
        <v>-2.021884133E7</v>
      </c>
      <c r="H314" s="8">
        <v>2.2205848E7</v>
      </c>
      <c r="I314" s="147">
        <f t="shared" si="1"/>
        <v>1987006.67</v>
      </c>
    </row>
    <row r="315">
      <c r="A315" s="59">
        <v>46071.0</v>
      </c>
      <c r="B315" s="8" t="s">
        <v>583</v>
      </c>
      <c r="C315" s="8" t="s">
        <v>584</v>
      </c>
      <c r="D315" s="59">
        <v>46070.0</v>
      </c>
      <c r="F315" s="8">
        <v>0.0</v>
      </c>
      <c r="G315" s="8">
        <v>-2.021884133E7</v>
      </c>
      <c r="H315" s="8">
        <v>2.223013E7</v>
      </c>
      <c r="I315" s="147">
        <f t="shared" si="1"/>
        <v>2011288.67</v>
      </c>
    </row>
    <row r="316">
      <c r="A316" s="59">
        <v>46072.0</v>
      </c>
      <c r="B316" s="8" t="s">
        <v>583</v>
      </c>
      <c r="C316" s="8" t="s">
        <v>584</v>
      </c>
      <c r="D316" s="59">
        <v>46071.0</v>
      </c>
      <c r="F316" s="8">
        <v>0.0</v>
      </c>
      <c r="G316" s="8">
        <v>-2.021884133E7</v>
      </c>
      <c r="H316" s="8">
        <v>2.2586152E7</v>
      </c>
      <c r="I316" s="147">
        <f t="shared" si="1"/>
        <v>2367310.67</v>
      </c>
    </row>
    <row r="317">
      <c r="A317" s="59">
        <v>46073.0</v>
      </c>
      <c r="B317" s="8" t="s">
        <v>583</v>
      </c>
      <c r="C317" s="8" t="s">
        <v>584</v>
      </c>
      <c r="D317" s="59">
        <v>46072.0</v>
      </c>
      <c r="F317" s="8">
        <v>0.0</v>
      </c>
      <c r="G317" s="8">
        <v>-2.021884133E7</v>
      </c>
      <c r="H317" s="8">
        <v>2.2245331E7</v>
      </c>
      <c r="I317" s="147">
        <f t="shared" si="1"/>
        <v>2026489.67</v>
      </c>
    </row>
    <row r="318">
      <c r="A318" s="59">
        <v>46076.0</v>
      </c>
      <c r="B318" s="8" t="s">
        <v>583</v>
      </c>
      <c r="C318" s="8" t="s">
        <v>584</v>
      </c>
      <c r="D318" s="59">
        <v>46073.0</v>
      </c>
      <c r="F318" s="8">
        <v>0.0</v>
      </c>
      <c r="G318" s="8">
        <v>-2.021884133E7</v>
      </c>
      <c r="H318" s="8">
        <v>2.2460319E7</v>
      </c>
      <c r="I318" s="147">
        <f t="shared" si="1"/>
        <v>2241477.67</v>
      </c>
    </row>
    <row r="319">
      <c r="A319" s="59">
        <v>46077.0</v>
      </c>
      <c r="B319" s="8" t="s">
        <v>583</v>
      </c>
      <c r="C319" s="8" t="s">
        <v>584</v>
      </c>
      <c r="D319" s="59">
        <v>46076.0</v>
      </c>
      <c r="F319" s="8">
        <v>0.0</v>
      </c>
      <c r="G319" s="8">
        <v>-2.021884133E7</v>
      </c>
      <c r="H319" s="8">
        <v>2.2458544E7</v>
      </c>
      <c r="I319" s="147">
        <f t="shared" si="1"/>
        <v>2239702.67</v>
      </c>
    </row>
    <row r="320">
      <c r="A320" s="59">
        <v>46078.0</v>
      </c>
      <c r="B320" s="8" t="s">
        <v>583</v>
      </c>
      <c r="C320" s="8" t="s">
        <v>584</v>
      </c>
      <c r="D320" s="59">
        <v>46077.0</v>
      </c>
      <c r="F320" s="8">
        <v>0.0</v>
      </c>
      <c r="G320" s="8">
        <v>-2.021884133E7</v>
      </c>
      <c r="H320" s="8">
        <v>2.2578968E7</v>
      </c>
      <c r="I320" s="147">
        <f t="shared" si="1"/>
        <v>2360126.67</v>
      </c>
    </row>
    <row r="321">
      <c r="A321" s="59">
        <v>46079.0</v>
      </c>
      <c r="B321" s="8" t="s">
        <v>583</v>
      </c>
      <c r="C321" s="8" t="s">
        <v>584</v>
      </c>
      <c r="D321" s="59">
        <v>46078.0</v>
      </c>
      <c r="F321" s="8">
        <v>0.0</v>
      </c>
      <c r="G321" s="8">
        <v>-2.021884133E7</v>
      </c>
      <c r="H321" s="8">
        <v>2.2798918E7</v>
      </c>
      <c r="I321" s="147">
        <f t="shared" si="1"/>
        <v>2580076.67</v>
      </c>
    </row>
    <row r="322">
      <c r="A322" s="59">
        <v>46080.0</v>
      </c>
      <c r="B322" s="8" t="s">
        <v>583</v>
      </c>
      <c r="C322" s="8" t="s">
        <v>584</v>
      </c>
      <c r="D322" s="59">
        <v>46079.0</v>
      </c>
      <c r="F322" s="8">
        <v>0.0</v>
      </c>
      <c r="G322" s="8">
        <v>-2.021884133E7</v>
      </c>
      <c r="H322" s="8">
        <v>2.2919814E7</v>
      </c>
      <c r="I322" s="147">
        <f t="shared" si="1"/>
        <v>2700972.67</v>
      </c>
    </row>
    <row r="323">
      <c r="A323" s="59">
        <v>46083.0</v>
      </c>
      <c r="B323" s="8" t="s">
        <v>583</v>
      </c>
      <c r="C323" s="8" t="s">
        <v>584</v>
      </c>
      <c r="D323" s="59">
        <v>46080.0</v>
      </c>
      <c r="F323" s="8">
        <v>0.0</v>
      </c>
      <c r="G323" s="8">
        <v>-2.021884133E7</v>
      </c>
      <c r="H323" s="8">
        <v>2.2538601E7</v>
      </c>
      <c r="I323" s="147">
        <f t="shared" si="1"/>
        <v>2319759.67</v>
      </c>
    </row>
    <row r="324">
      <c r="A324" s="59">
        <v>46085.0</v>
      </c>
      <c r="B324" s="8" t="s">
        <v>583</v>
      </c>
      <c r="C324" s="8" t="s">
        <v>584</v>
      </c>
      <c r="D324" s="59">
        <v>46083.0</v>
      </c>
      <c r="F324" s="8">
        <v>0.0</v>
      </c>
      <c r="G324" s="8">
        <v>-2.021884133E7</v>
      </c>
      <c r="H324" s="8">
        <v>2.2232323E7</v>
      </c>
      <c r="I324" s="147">
        <f t="shared" si="1"/>
        <v>2013481.67</v>
      </c>
    </row>
    <row r="325">
      <c r="A325" s="59">
        <v>46086.0</v>
      </c>
      <c r="B325" s="8" t="s">
        <v>583</v>
      </c>
      <c r="C325" s="8" t="s">
        <v>584</v>
      </c>
      <c r="D325" s="59">
        <v>46085.0</v>
      </c>
      <c r="F325" s="8">
        <v>0.0</v>
      </c>
      <c r="G325" s="8">
        <v>-2.021884133E7</v>
      </c>
      <c r="H325" s="8">
        <v>2.1586681E7</v>
      </c>
      <c r="I325" s="147">
        <f t="shared" si="1"/>
        <v>1367839.67</v>
      </c>
    </row>
    <row r="326">
      <c r="A326" s="59">
        <v>46087.0</v>
      </c>
      <c r="B326" s="8" t="s">
        <v>583</v>
      </c>
      <c r="C326" s="8" t="s">
        <v>584</v>
      </c>
      <c r="D326" s="59">
        <v>46086.0</v>
      </c>
      <c r="F326" s="8">
        <v>0.0</v>
      </c>
      <c r="G326" s="8">
        <v>-2.021884133E7</v>
      </c>
      <c r="H326" s="8">
        <v>2.192569E7</v>
      </c>
      <c r="I326" s="147">
        <f t="shared" si="1"/>
        <v>1706848.67</v>
      </c>
    </row>
    <row r="327">
      <c r="A327" s="59">
        <v>46090.0</v>
      </c>
      <c r="B327" s="8" t="s">
        <v>583</v>
      </c>
      <c r="C327" s="8" t="s">
        <v>584</v>
      </c>
      <c r="D327" s="59">
        <v>46087.0</v>
      </c>
      <c r="F327" s="8">
        <v>0.0</v>
      </c>
      <c r="G327" s="8">
        <v>-2.021884133E7</v>
      </c>
      <c r="H327" s="8">
        <v>2.1790103E7</v>
      </c>
      <c r="I327" s="147">
        <f t="shared" si="1"/>
        <v>1571261.67</v>
      </c>
    </row>
    <row r="328">
      <c r="A328" s="59">
        <v>46091.0</v>
      </c>
      <c r="B328" s="8" t="s">
        <v>583</v>
      </c>
      <c r="C328" s="8" t="s">
        <v>584</v>
      </c>
      <c r="D328" s="59">
        <v>46090.0</v>
      </c>
      <c r="F328" s="8">
        <v>0.0</v>
      </c>
      <c r="G328" s="8">
        <v>-2.021884133E7</v>
      </c>
      <c r="H328" s="8">
        <v>2.1282345E7</v>
      </c>
      <c r="I328" s="147">
        <f t="shared" si="1"/>
        <v>1063503.67</v>
      </c>
    </row>
    <row r="329">
      <c r="A329" s="59">
        <v>46092.0</v>
      </c>
      <c r="B329" s="8" t="s">
        <v>583</v>
      </c>
      <c r="C329" s="8" t="s">
        <v>584</v>
      </c>
      <c r="D329" s="59">
        <v>46091.0</v>
      </c>
      <c r="F329" s="8">
        <v>0.0</v>
      </c>
      <c r="G329" s="8">
        <v>-2.021884133E7</v>
      </c>
      <c r="H329" s="8">
        <v>2.1837223E7</v>
      </c>
      <c r="I329" s="147">
        <f t="shared" si="1"/>
        <v>1618381.67</v>
      </c>
    </row>
    <row r="330">
      <c r="A330" s="59">
        <v>46093.0</v>
      </c>
      <c r="B330" s="8" t="s">
        <v>583</v>
      </c>
      <c r="C330" s="8" t="s">
        <v>584</v>
      </c>
      <c r="D330" s="59">
        <v>46092.0</v>
      </c>
      <c r="F330" s="8">
        <v>0.0</v>
      </c>
      <c r="G330" s="8">
        <v>-2.021884133E7</v>
      </c>
      <c r="H330" s="8">
        <v>2.1444261E7</v>
      </c>
      <c r="I330" s="147">
        <f t="shared" si="1"/>
        <v>1225419.67</v>
      </c>
    </row>
    <row r="331">
      <c r="A331" s="59">
        <v>46094.0</v>
      </c>
      <c r="B331" s="8" t="s">
        <v>583</v>
      </c>
      <c r="C331" s="8" t="s">
        <v>584</v>
      </c>
      <c r="D331" s="59">
        <v>46093.0</v>
      </c>
      <c r="F331" s="8">
        <v>0.0</v>
      </c>
      <c r="G331" s="8">
        <v>-2.021884133E7</v>
      </c>
      <c r="H331" s="8">
        <v>2.1418014E7</v>
      </c>
      <c r="I331" s="147">
        <f t="shared" si="1"/>
        <v>1199172.67</v>
      </c>
    </row>
    <row r="332">
      <c r="A332" s="59">
        <v>46097.0</v>
      </c>
      <c r="B332" s="8" t="s">
        <v>583</v>
      </c>
      <c r="C332" s="8" t="s">
        <v>584</v>
      </c>
      <c r="D332" s="59">
        <v>46094.0</v>
      </c>
      <c r="F332" s="8">
        <v>0.0</v>
      </c>
      <c r="G332" s="8">
        <v>-2.021884133E7</v>
      </c>
      <c r="H332" s="8">
        <v>2.0471216E7</v>
      </c>
      <c r="I332" s="147">
        <f t="shared" si="1"/>
        <v>252374.67</v>
      </c>
    </row>
    <row r="333">
      <c r="A333" s="59">
        <v>46098.0</v>
      </c>
      <c r="B333" s="8" t="s">
        <v>583</v>
      </c>
      <c r="C333" s="8" t="s">
        <v>584</v>
      </c>
      <c r="D333" s="59">
        <v>46097.0</v>
      </c>
      <c r="F333" s="8">
        <v>0.0</v>
      </c>
      <c r="G333" s="8">
        <v>-2.021884133E7</v>
      </c>
      <c r="H333" s="8">
        <v>2.058432E7</v>
      </c>
      <c r="I333" s="147">
        <f t="shared" si="1"/>
        <v>365478.67</v>
      </c>
    </row>
    <row r="334">
      <c r="A334" s="59">
        <v>46099.0</v>
      </c>
      <c r="B334" s="8" t="s">
        <v>583</v>
      </c>
      <c r="C334" s="8" t="s">
        <v>584</v>
      </c>
      <c r="D334" s="59">
        <v>46098.0</v>
      </c>
      <c r="F334" s="8">
        <v>0.0</v>
      </c>
      <c r="G334" s="8">
        <v>-2.021884133E7</v>
      </c>
      <c r="H334" s="8">
        <v>2.1031817E7</v>
      </c>
      <c r="I334" s="147">
        <f t="shared" si="1"/>
        <v>812975.67</v>
      </c>
    </row>
    <row r="335">
      <c r="A335" s="59">
        <v>46100.0</v>
      </c>
      <c r="B335" s="8" t="s">
        <v>583</v>
      </c>
      <c r="C335" s="8" t="s">
        <v>584</v>
      </c>
      <c r="D335" s="59">
        <v>46099.0</v>
      </c>
      <c r="F335" s="8">
        <v>0.0</v>
      </c>
      <c r="G335" s="8">
        <v>-2.021884133E7</v>
      </c>
      <c r="H335" s="8">
        <v>2.1231416E7</v>
      </c>
      <c r="I335" s="147">
        <f t="shared" si="1"/>
        <v>1012574.67</v>
      </c>
    </row>
    <row r="336">
      <c r="A336" s="59">
        <v>46101.0</v>
      </c>
      <c r="B336" s="8" t="s">
        <v>583</v>
      </c>
      <c r="C336" s="8" t="s">
        <v>584</v>
      </c>
      <c r="D336" s="59">
        <v>46100.0</v>
      </c>
      <c r="F336" s="8">
        <v>0.0</v>
      </c>
      <c r="G336" s="8">
        <v>-2.021884133E7</v>
      </c>
      <c r="H336" s="8">
        <v>2.0577741E7</v>
      </c>
      <c r="I336" s="147">
        <f t="shared" si="1"/>
        <v>358899.67</v>
      </c>
    </row>
    <row r="337">
      <c r="A337" s="59">
        <v>46104.0</v>
      </c>
      <c r="B337" s="8" t="s">
        <v>583</v>
      </c>
      <c r="C337" s="8" t="s">
        <v>584</v>
      </c>
      <c r="D337" s="59">
        <v>46101.0</v>
      </c>
      <c r="F337" s="8">
        <v>0.0</v>
      </c>
      <c r="G337" s="8">
        <v>-2.021884133E7</v>
      </c>
      <c r="H337" s="8">
        <v>2.0787535E7</v>
      </c>
      <c r="I337" s="147">
        <f t="shared" si="1"/>
        <v>568693.67</v>
      </c>
    </row>
    <row r="338">
      <c r="A338" s="59">
        <v>46105.0</v>
      </c>
      <c r="B338" s="8" t="s">
        <v>583</v>
      </c>
      <c r="C338" s="8" t="s">
        <v>584</v>
      </c>
      <c r="D338" s="59">
        <v>46104.0</v>
      </c>
      <c r="F338" s="8">
        <v>0.0</v>
      </c>
      <c r="G338" s="8">
        <v>-2.021884133E7</v>
      </c>
      <c r="H338" s="8">
        <v>1.9822093E7</v>
      </c>
      <c r="I338" s="147">
        <f t="shared" si="1"/>
        <v>-396748.33</v>
      </c>
    </row>
    <row r="339">
      <c r="A339" s="59">
        <v>46106.0</v>
      </c>
      <c r="B339" s="8" t="s">
        <v>583</v>
      </c>
      <c r="C339" s="8" t="s">
        <v>584</v>
      </c>
      <c r="D339" s="59">
        <v>46105.0</v>
      </c>
      <c r="F339" s="8">
        <v>0.0</v>
      </c>
      <c r="G339" s="8">
        <v>-2.021884133E7</v>
      </c>
      <c r="H339" s="8">
        <v>2.0336428E7</v>
      </c>
      <c r="I339" s="147">
        <f t="shared" si="1"/>
        <v>117586.67</v>
      </c>
    </row>
    <row r="340">
      <c r="A340" s="59">
        <v>46108.0</v>
      </c>
      <c r="B340" s="8" t="s">
        <v>583</v>
      </c>
      <c r="C340" s="8" t="s">
        <v>584</v>
      </c>
      <c r="D340" s="59">
        <v>46106.0</v>
      </c>
      <c r="F340" s="8">
        <v>0.0</v>
      </c>
      <c r="G340" s="8">
        <v>-2.021884133E7</v>
      </c>
      <c r="H340" s="8">
        <v>2.0844392E7</v>
      </c>
      <c r="I340" s="147">
        <f t="shared" si="1"/>
        <v>625550.67</v>
      </c>
    </row>
    <row r="341">
      <c r="A341" s="59">
        <v>46111.0</v>
      </c>
      <c r="B341" s="8" t="s">
        <v>583</v>
      </c>
      <c r="C341" s="8" t="s">
        <v>584</v>
      </c>
      <c r="D341" s="59">
        <v>46108.0</v>
      </c>
      <c r="F341" s="8">
        <v>0.0</v>
      </c>
      <c r="G341" s="8">
        <v>-2.021884133E7</v>
      </c>
      <c r="H341" s="8">
        <v>2.0344141E7</v>
      </c>
      <c r="I341" s="147">
        <f t="shared" si="1"/>
        <v>125299.67</v>
      </c>
    </row>
    <row r="342">
      <c r="A342" s="59">
        <v>46113.0</v>
      </c>
      <c r="B342" s="8" t="s">
        <v>583</v>
      </c>
      <c r="C342" s="8" t="s">
        <v>584</v>
      </c>
      <c r="D342" s="59">
        <v>46111.0</v>
      </c>
      <c r="F342" s="8">
        <v>0.0</v>
      </c>
      <c r="G342" s="8">
        <v>-2.021884133E7</v>
      </c>
      <c r="H342" s="8">
        <v>1.9761917E7</v>
      </c>
      <c r="I342" s="147">
        <f t="shared" si="1"/>
        <v>-456924.33</v>
      </c>
      <c r="K342" s="14">
        <f>H368/H342</f>
        <v>1.222852722</v>
      </c>
    </row>
    <row r="343">
      <c r="A343" s="59">
        <v>46114.0</v>
      </c>
      <c r="B343" s="8" t="s">
        <v>583</v>
      </c>
      <c r="C343" s="8" t="s">
        <v>584</v>
      </c>
      <c r="D343" s="59">
        <v>46113.0</v>
      </c>
      <c r="F343" s="8">
        <v>0.0</v>
      </c>
      <c r="G343" s="8">
        <v>-2.021884133E7</v>
      </c>
      <c r="H343" s="8">
        <v>1.9761917E7</v>
      </c>
      <c r="I343" s="147">
        <f t="shared" si="1"/>
        <v>-456924.33</v>
      </c>
    </row>
    <row r="344">
      <c r="A344" s="59">
        <v>46118.0</v>
      </c>
      <c r="B344" s="8" t="s">
        <v>583</v>
      </c>
      <c r="C344" s="8" t="s">
        <v>584</v>
      </c>
      <c r="D344" s="59">
        <v>46114.0</v>
      </c>
      <c r="F344" s="8">
        <v>0.0</v>
      </c>
      <c r="G344" s="8">
        <v>-2.021884133E7</v>
      </c>
      <c r="H344" s="8">
        <v>2.0588267E7</v>
      </c>
      <c r="I344" s="147">
        <f t="shared" si="1"/>
        <v>369425.67</v>
      </c>
    </row>
    <row r="345">
      <c r="A345" s="59">
        <v>46119.0</v>
      </c>
      <c r="B345" s="8" t="s">
        <v>583</v>
      </c>
      <c r="C345" s="8" t="s">
        <v>584</v>
      </c>
      <c r="D345" s="59">
        <v>46118.0</v>
      </c>
      <c r="F345" s="8">
        <v>0.0</v>
      </c>
      <c r="G345" s="8">
        <v>-2.021884133E7</v>
      </c>
      <c r="H345" s="8">
        <v>2.090716E7</v>
      </c>
      <c r="I345" s="147">
        <f t="shared" si="1"/>
        <v>688318.67</v>
      </c>
    </row>
    <row r="346">
      <c r="A346" s="59">
        <v>46120.0</v>
      </c>
      <c r="B346" s="8" t="s">
        <v>583</v>
      </c>
      <c r="C346" s="8" t="s">
        <v>584</v>
      </c>
      <c r="D346" s="59">
        <v>46119.0</v>
      </c>
      <c r="F346" s="8">
        <v>0.0</v>
      </c>
      <c r="G346" s="8">
        <v>-2.021884133E7</v>
      </c>
      <c r="H346" s="8">
        <v>2.0788335E7</v>
      </c>
      <c r="I346" s="147">
        <f t="shared" si="1"/>
        <v>569493.67</v>
      </c>
    </row>
    <row r="347">
      <c r="A347" s="59">
        <v>46121.0</v>
      </c>
      <c r="B347" s="8" t="s">
        <v>583</v>
      </c>
      <c r="C347" s="8" t="s">
        <v>584</v>
      </c>
      <c r="D347" s="59">
        <v>46120.0</v>
      </c>
      <c r="F347" s="8">
        <v>0.0</v>
      </c>
      <c r="G347" s="8">
        <v>-2.021884133E7</v>
      </c>
      <c r="H347" s="8">
        <v>2.1820629E7</v>
      </c>
      <c r="I347" s="147">
        <f t="shared" si="1"/>
        <v>1601787.67</v>
      </c>
    </row>
    <row r="348">
      <c r="A348" s="59">
        <v>46122.0</v>
      </c>
      <c r="B348" s="8" t="s">
        <v>583</v>
      </c>
      <c r="C348" s="8" t="s">
        <v>584</v>
      </c>
      <c r="D348" s="59">
        <v>46121.0</v>
      </c>
      <c r="F348" s="8">
        <v>0.0</v>
      </c>
      <c r="G348" s="8">
        <v>-2.021884133E7</v>
      </c>
      <c r="H348" s="8">
        <v>2.1947489E7</v>
      </c>
      <c r="I348" s="147">
        <f t="shared" si="1"/>
        <v>1728647.67</v>
      </c>
    </row>
    <row r="349">
      <c r="A349" s="59">
        <v>46125.0</v>
      </c>
      <c r="B349" s="8" t="s">
        <v>583</v>
      </c>
      <c r="C349" s="8" t="s">
        <v>584</v>
      </c>
      <c r="D349" s="59">
        <v>46122.0</v>
      </c>
      <c r="F349" s="8">
        <v>0.0</v>
      </c>
      <c r="G349" s="8">
        <v>-2.021884133E7</v>
      </c>
      <c r="H349" s="8">
        <v>2.2298438E7</v>
      </c>
      <c r="I349" s="147">
        <f t="shared" si="1"/>
        <v>2079596.67</v>
      </c>
    </row>
    <row r="350">
      <c r="A350" s="59">
        <v>46127.0</v>
      </c>
      <c r="B350" s="8" t="s">
        <v>583</v>
      </c>
      <c r="C350" s="8" t="s">
        <v>584</v>
      </c>
      <c r="D350" s="59">
        <v>46125.0</v>
      </c>
      <c r="F350" s="8">
        <v>0.0</v>
      </c>
      <c r="G350" s="8">
        <v>-2.021884133E7</v>
      </c>
      <c r="H350" s="8">
        <v>2.2108894E7</v>
      </c>
      <c r="I350" s="147">
        <f t="shared" si="1"/>
        <v>1890052.67</v>
      </c>
    </row>
    <row r="351">
      <c r="A351" s="59">
        <v>46128.0</v>
      </c>
      <c r="B351" s="8" t="s">
        <v>583</v>
      </c>
      <c r="C351" s="8" t="s">
        <v>584</v>
      </c>
      <c r="D351" s="59">
        <v>46127.0</v>
      </c>
      <c r="F351" s="8">
        <v>0.0</v>
      </c>
      <c r="G351" s="8">
        <v>-2.021884133E7</v>
      </c>
      <c r="H351" s="8">
        <v>2.2718378E7</v>
      </c>
      <c r="I351" s="147">
        <f t="shared" si="1"/>
        <v>2499536.67</v>
      </c>
    </row>
    <row r="352">
      <c r="A352" s="59">
        <v>46129.0</v>
      </c>
      <c r="B352" s="8" t="s">
        <v>583</v>
      </c>
      <c r="C352" s="8" t="s">
        <v>584</v>
      </c>
      <c r="D352" s="59">
        <v>46128.0</v>
      </c>
      <c r="F352" s="8">
        <v>0.0</v>
      </c>
      <c r="G352" s="8">
        <v>-2.021884133E7</v>
      </c>
      <c r="H352" s="8">
        <v>2.3039422E7</v>
      </c>
      <c r="I352" s="147">
        <f t="shared" si="1"/>
        <v>2820580.67</v>
      </c>
    </row>
    <row r="353">
      <c r="A353" s="59">
        <v>46132.0</v>
      </c>
      <c r="B353" s="8" t="s">
        <v>583</v>
      </c>
      <c r="C353" s="8" t="s">
        <v>584</v>
      </c>
      <c r="D353" s="59">
        <v>46129.0</v>
      </c>
      <c r="F353" s="8">
        <v>0.0</v>
      </c>
      <c r="G353" s="8">
        <v>-2.021884133E7</v>
      </c>
      <c r="H353" s="8">
        <v>2.3343922E7</v>
      </c>
      <c r="I353" s="147">
        <f t="shared" si="1"/>
        <v>3125080.67</v>
      </c>
    </row>
    <row r="354">
      <c r="A354" s="59">
        <v>46133.0</v>
      </c>
      <c r="B354" s="8" t="s">
        <v>583</v>
      </c>
      <c r="C354" s="8" t="s">
        <v>584</v>
      </c>
      <c r="D354" s="59">
        <v>46132.0</v>
      </c>
      <c r="F354" s="8">
        <v>0.0</v>
      </c>
      <c r="G354" s="8">
        <v>-2.021884133E7</v>
      </c>
      <c r="H354" s="8">
        <v>2.3187889E7</v>
      </c>
      <c r="I354" s="147">
        <f t="shared" si="1"/>
        <v>2969047.67</v>
      </c>
    </row>
    <row r="355">
      <c r="A355" s="59">
        <v>46134.0</v>
      </c>
      <c r="B355" s="8" t="s">
        <v>583</v>
      </c>
      <c r="C355" s="8" t="s">
        <v>584</v>
      </c>
      <c r="D355" s="59">
        <v>46133.0</v>
      </c>
      <c r="F355" s="8">
        <v>0.0</v>
      </c>
      <c r="G355" s="8">
        <v>-2.021884133E7</v>
      </c>
      <c r="H355" s="8">
        <v>2.3296062E7</v>
      </c>
      <c r="I355" s="147">
        <f t="shared" si="1"/>
        <v>3077220.67</v>
      </c>
    </row>
    <row r="356">
      <c r="A356" s="59">
        <v>46135.0</v>
      </c>
      <c r="B356" s="8" t="s">
        <v>583</v>
      </c>
      <c r="C356" s="8" t="s">
        <v>584</v>
      </c>
      <c r="D356" s="59">
        <v>46134.0</v>
      </c>
      <c r="F356" s="8">
        <v>0.0</v>
      </c>
      <c r="G356" s="8">
        <v>-2.021884133E7</v>
      </c>
      <c r="H356" s="8">
        <v>2.3464196E7</v>
      </c>
      <c r="I356" s="147">
        <f t="shared" si="1"/>
        <v>3245354.67</v>
      </c>
    </row>
    <row r="357">
      <c r="A357" s="59">
        <v>46136.0</v>
      </c>
      <c r="B357" s="8" t="s">
        <v>583</v>
      </c>
      <c r="C357" s="8" t="s">
        <v>584</v>
      </c>
      <c r="D357" s="59">
        <v>46135.0</v>
      </c>
      <c r="F357" s="8">
        <v>0.0</v>
      </c>
      <c r="G357" s="8">
        <v>-2.021884133E7</v>
      </c>
      <c r="H357" s="8">
        <v>2.3312224E7</v>
      </c>
      <c r="I357" s="147">
        <f t="shared" si="1"/>
        <v>3093382.67</v>
      </c>
    </row>
    <row r="358">
      <c r="A358" s="59">
        <v>46139.0</v>
      </c>
      <c r="B358" s="8" t="s">
        <v>583</v>
      </c>
      <c r="C358" s="8" t="s">
        <v>584</v>
      </c>
      <c r="D358" s="59">
        <v>46136.0</v>
      </c>
      <c r="F358" s="8">
        <v>0.0</v>
      </c>
      <c r="G358" s="8">
        <v>-2.021884133E7</v>
      </c>
      <c r="H358" s="8">
        <v>2.309244E7</v>
      </c>
      <c r="I358" s="147">
        <f t="shared" si="1"/>
        <v>2873598.67</v>
      </c>
    </row>
    <row r="359">
      <c r="A359" s="59">
        <v>46140.0</v>
      </c>
      <c r="B359" s="8" t="s">
        <v>583</v>
      </c>
      <c r="C359" s="8" t="s">
        <v>584</v>
      </c>
      <c r="D359" s="59">
        <v>46139.0</v>
      </c>
      <c r="F359" s="8">
        <v>0.0</v>
      </c>
      <c r="G359" s="8">
        <v>-2.021884133E7</v>
      </c>
      <c r="H359" s="8">
        <v>2.3195892E7</v>
      </c>
      <c r="I359" s="147">
        <f t="shared" si="1"/>
        <v>2977050.67</v>
      </c>
    </row>
    <row r="360">
      <c r="A360" s="59">
        <v>46141.0</v>
      </c>
      <c r="B360" s="8" t="s">
        <v>583</v>
      </c>
      <c r="C360" s="8" t="s">
        <v>584</v>
      </c>
      <c r="D360" s="59">
        <v>46140.0</v>
      </c>
      <c r="F360" s="8">
        <v>0.0</v>
      </c>
      <c r="G360" s="8">
        <v>-2.021884133E7</v>
      </c>
      <c r="H360" s="8">
        <v>2.3316516E7</v>
      </c>
      <c r="I360" s="147">
        <f t="shared" si="1"/>
        <v>3097674.67</v>
      </c>
    </row>
    <row r="361">
      <c r="A361" s="59">
        <v>46142.0</v>
      </c>
      <c r="B361" s="8" t="s">
        <v>583</v>
      </c>
      <c r="C361" s="8" t="s">
        <v>584</v>
      </c>
      <c r="D361" s="59">
        <v>46141.0</v>
      </c>
      <c r="F361" s="8">
        <v>0.0</v>
      </c>
      <c r="G361" s="8">
        <v>-2.021884133E7</v>
      </c>
      <c r="H361" s="8">
        <v>2.3556434E7</v>
      </c>
      <c r="I361" s="147">
        <f t="shared" si="1"/>
        <v>3337592.67</v>
      </c>
    </row>
    <row r="362">
      <c r="A362" s="59">
        <v>46146.0</v>
      </c>
      <c r="B362" s="8" t="s">
        <v>583</v>
      </c>
      <c r="C362" s="8" t="s">
        <v>584</v>
      </c>
      <c r="D362" s="59">
        <v>46142.0</v>
      </c>
      <c r="F362" s="8">
        <v>0.0</v>
      </c>
      <c r="G362" s="8">
        <v>-2.021884133E7</v>
      </c>
      <c r="H362" s="8">
        <v>2.3215067E7</v>
      </c>
      <c r="I362" s="147">
        <f t="shared" si="1"/>
        <v>2996225.67</v>
      </c>
    </row>
    <row r="363">
      <c r="A363" s="59">
        <v>46147.0</v>
      </c>
      <c r="B363" s="8" t="s">
        <v>583</v>
      </c>
      <c r="C363" s="8" t="s">
        <v>584</v>
      </c>
      <c r="D363" s="59">
        <v>46146.0</v>
      </c>
      <c r="F363" s="8">
        <v>0.0</v>
      </c>
      <c r="G363" s="8">
        <v>-2.021884133E7</v>
      </c>
      <c r="H363" s="8">
        <v>2.3154656E7</v>
      </c>
      <c r="I363" s="147">
        <f t="shared" si="1"/>
        <v>2935814.67</v>
      </c>
    </row>
    <row r="364">
      <c r="A364" s="59">
        <v>46148.0</v>
      </c>
      <c r="B364" s="8" t="s">
        <v>599</v>
      </c>
      <c r="C364" s="8" t="s">
        <v>600</v>
      </c>
      <c r="D364" s="59">
        <v>46147.0</v>
      </c>
      <c r="E364" s="8">
        <v>0.0</v>
      </c>
      <c r="F364" s="8">
        <v>456798.38</v>
      </c>
      <c r="G364" s="8">
        <v>-1.976204307E7</v>
      </c>
      <c r="H364" s="8">
        <v>2.3677077E7</v>
      </c>
      <c r="I364" s="147">
        <f t="shared" si="1"/>
        <v>3915033.93</v>
      </c>
    </row>
    <row r="365">
      <c r="A365" s="59">
        <v>46148.0</v>
      </c>
      <c r="B365" s="8" t="s">
        <v>601</v>
      </c>
      <c r="C365" s="8" t="s">
        <v>602</v>
      </c>
      <c r="D365" s="59">
        <v>46147.0</v>
      </c>
      <c r="E365" s="8">
        <v>873130.76</v>
      </c>
      <c r="F365" s="8">
        <v>0.0</v>
      </c>
      <c r="G365" s="8">
        <v>-2.063517383E7</v>
      </c>
      <c r="H365" s="8">
        <v>2.3677077E7</v>
      </c>
      <c r="I365" s="147">
        <f t="shared" si="1"/>
        <v>3041903.17</v>
      </c>
    </row>
    <row r="366">
      <c r="A366" s="59">
        <v>46149.0</v>
      </c>
      <c r="B366" s="8" t="s">
        <v>601</v>
      </c>
      <c r="C366" s="8" t="s">
        <v>602</v>
      </c>
      <c r="D366" s="59">
        <v>46148.0</v>
      </c>
      <c r="F366" s="8">
        <v>0.0</v>
      </c>
      <c r="G366" s="8">
        <v>-2.063517383E7</v>
      </c>
      <c r="H366" s="8">
        <v>2.3784643E7</v>
      </c>
      <c r="I366" s="147">
        <f t="shared" si="1"/>
        <v>3149469.17</v>
      </c>
    </row>
    <row r="367">
      <c r="A367" s="59">
        <v>46150.0</v>
      </c>
      <c r="B367" s="8" t="s">
        <v>601</v>
      </c>
      <c r="C367" s="8" t="s">
        <v>602</v>
      </c>
      <c r="D367" s="59">
        <v>46149.0</v>
      </c>
      <c r="F367" s="8">
        <v>0.0</v>
      </c>
      <c r="G367" s="8">
        <v>-2.063517383E7</v>
      </c>
      <c r="H367" s="8">
        <v>2.4235615E7</v>
      </c>
      <c r="I367" s="147">
        <f t="shared" si="1"/>
        <v>3600441.17</v>
      </c>
    </row>
    <row r="368">
      <c r="A368" s="59">
        <v>46153.0</v>
      </c>
      <c r="B368" s="8" t="s">
        <v>601</v>
      </c>
      <c r="C368" s="8" t="s">
        <v>602</v>
      </c>
      <c r="D368" s="59">
        <v>46150.0</v>
      </c>
      <c r="F368" s="8">
        <v>0.0</v>
      </c>
      <c r="G368" s="8">
        <v>-2.063517383E7</v>
      </c>
      <c r="H368" s="8">
        <v>2.4165914E7</v>
      </c>
      <c r="I368" s="147">
        <f t="shared" si="1"/>
        <v>3530740.17</v>
      </c>
    </row>
    <row r="369">
      <c r="A369" s="59">
        <v>46154.0</v>
      </c>
      <c r="B369" s="8" t="s">
        <v>601</v>
      </c>
      <c r="C369" s="8" t="s">
        <v>602</v>
      </c>
      <c r="D369" s="59">
        <v>46153.0</v>
      </c>
      <c r="F369" s="8">
        <v>0.0</v>
      </c>
      <c r="G369" s="8">
        <v>-2.063517383E7</v>
      </c>
      <c r="H369" s="8">
        <v>2.3924073E7</v>
      </c>
      <c r="I369" s="147">
        <f t="shared" si="1"/>
        <v>3288899.17</v>
      </c>
    </row>
    <row r="370">
      <c r="A370" s="59">
        <v>46155.0</v>
      </c>
      <c r="B370" s="8" t="s">
        <v>601</v>
      </c>
      <c r="C370" s="8" t="s">
        <v>602</v>
      </c>
      <c r="D370" s="59">
        <v>46154.0</v>
      </c>
      <c r="F370" s="8">
        <v>0.0</v>
      </c>
      <c r="G370" s="8">
        <v>-2.063517383E7</v>
      </c>
      <c r="H370" s="8">
        <v>2.3158047E7</v>
      </c>
      <c r="I370" s="147">
        <f t="shared" si="1"/>
        <v>2522873.17</v>
      </c>
    </row>
    <row r="371">
      <c r="A371" s="59">
        <v>46156.0</v>
      </c>
      <c r="B371" s="8" t="s">
        <v>601</v>
      </c>
      <c r="C371" s="8" t="s">
        <v>602</v>
      </c>
      <c r="D371" s="59">
        <v>46155.0</v>
      </c>
      <c r="F371" s="8">
        <v>0.0</v>
      </c>
      <c r="G371" s="8">
        <v>-2.063517383E7</v>
      </c>
      <c r="H371" s="8">
        <v>2.339489E7</v>
      </c>
      <c r="I371" s="147">
        <f t="shared" si="1"/>
        <v>2759716.17</v>
      </c>
    </row>
    <row r="372">
      <c r="A372" s="59">
        <v>46157.0</v>
      </c>
      <c r="B372" s="8" t="s">
        <v>601</v>
      </c>
      <c r="C372" s="8" t="s">
        <v>602</v>
      </c>
      <c r="D372" s="59">
        <v>46156.0</v>
      </c>
      <c r="F372" s="8">
        <v>0.0</v>
      </c>
      <c r="G372" s="8">
        <v>-2.063517383E7</v>
      </c>
      <c r="H372" s="8">
        <v>2.3523576E7</v>
      </c>
      <c r="I372" s="147">
        <f t="shared" si="1"/>
        <v>2888402.17</v>
      </c>
    </row>
    <row r="373">
      <c r="A373" s="59">
        <v>46160.0</v>
      </c>
      <c r="B373" s="8" t="s">
        <v>601</v>
      </c>
      <c r="C373" s="8" t="s">
        <v>602</v>
      </c>
      <c r="D373" s="59">
        <v>46157.0</v>
      </c>
      <c r="F373" s="8">
        <v>0.0</v>
      </c>
      <c r="G373" s="8">
        <v>-2.063517383E7</v>
      </c>
      <c r="H373" s="8">
        <v>2.3382716E7</v>
      </c>
      <c r="I373" s="147">
        <f t="shared" si="1"/>
        <v>2747542.17</v>
      </c>
    </row>
    <row r="374">
      <c r="A374" s="59">
        <v>46161.0</v>
      </c>
      <c r="B374" s="8" t="s">
        <v>601</v>
      </c>
      <c r="C374" s="8" t="s">
        <v>602</v>
      </c>
      <c r="D374" s="59">
        <v>46160.0</v>
      </c>
      <c r="F374" s="8">
        <v>0.0</v>
      </c>
      <c r="G374" s="8">
        <v>-2.063517383E7</v>
      </c>
      <c r="H374" s="8">
        <v>2.3071319E7</v>
      </c>
      <c r="I374" s="147">
        <f t="shared" si="1"/>
        <v>2436145.17</v>
      </c>
    </row>
    <row r="375">
      <c r="A375" s="59">
        <v>46162.0</v>
      </c>
      <c r="B375" s="8" t="s">
        <v>601</v>
      </c>
      <c r="C375" s="8" t="s">
        <v>602</v>
      </c>
      <c r="D375" s="59">
        <v>46161.0</v>
      </c>
      <c r="F375" s="8">
        <v>0.0</v>
      </c>
      <c r="G375" s="8">
        <v>-2.063517383E7</v>
      </c>
      <c r="H375" s="8">
        <v>2.311339E7</v>
      </c>
      <c r="I375" s="147">
        <f t="shared" si="1"/>
        <v>2478216.17</v>
      </c>
    </row>
    <row r="376">
      <c r="A376" s="59">
        <v>46163.0</v>
      </c>
      <c r="B376" s="8" t="s">
        <v>601</v>
      </c>
      <c r="C376" s="8" t="s">
        <v>602</v>
      </c>
      <c r="D376" s="59">
        <v>46162.0</v>
      </c>
      <c r="F376" s="8">
        <v>0.0</v>
      </c>
      <c r="G376" s="8">
        <v>-2.063517383E7</v>
      </c>
      <c r="H376" s="8">
        <v>2.3422957E7</v>
      </c>
      <c r="I376" s="147">
        <f t="shared" si="1"/>
        <v>2787783.17</v>
      </c>
    </row>
    <row r="377">
      <c r="A377" s="59">
        <v>46164.0</v>
      </c>
      <c r="B377" s="8" t="s">
        <v>601</v>
      </c>
      <c r="C377" s="8" t="s">
        <v>602</v>
      </c>
      <c r="D377" s="59">
        <v>46163.0</v>
      </c>
      <c r="F377" s="8">
        <v>0.0</v>
      </c>
      <c r="G377" s="8">
        <v>-2.063517383E7</v>
      </c>
      <c r="H377" s="8">
        <v>2.3578288E7</v>
      </c>
      <c r="I377" s="147">
        <f t="shared" si="1"/>
        <v>2943114.17</v>
      </c>
    </row>
    <row r="378">
      <c r="A378" s="59">
        <v>46167.0</v>
      </c>
      <c r="B378" s="8" t="s">
        <v>601</v>
      </c>
      <c r="C378" s="8" t="s">
        <v>602</v>
      </c>
      <c r="D378" s="59">
        <v>46164.0</v>
      </c>
      <c r="F378" s="8">
        <v>0.0</v>
      </c>
      <c r="G378" s="8">
        <v>-2.063517383E7</v>
      </c>
      <c r="H378" s="8">
        <v>2.349795E7</v>
      </c>
      <c r="I378" s="147">
        <f t="shared" si="1"/>
        <v>2862776.17</v>
      </c>
    </row>
    <row r="379">
      <c r="A379" s="59">
        <v>46168.0</v>
      </c>
      <c r="B379" s="8" t="s">
        <v>601</v>
      </c>
      <c r="C379" s="8" t="s">
        <v>602</v>
      </c>
      <c r="D379" s="59">
        <v>46167.0</v>
      </c>
      <c r="F379" s="8">
        <v>0.0</v>
      </c>
      <c r="G379" s="8">
        <v>-2.063517383E7</v>
      </c>
      <c r="H379" s="8">
        <v>2.3625679E7</v>
      </c>
      <c r="I379" s="147">
        <f t="shared" si="1"/>
        <v>2990505.17</v>
      </c>
    </row>
    <row r="380">
      <c r="A380" s="59">
        <v>46169.0</v>
      </c>
      <c r="B380" s="8" t="s">
        <v>601</v>
      </c>
      <c r="C380" s="8" t="s">
        <v>602</v>
      </c>
      <c r="D380" s="59">
        <v>46168.0</v>
      </c>
      <c r="F380" s="8">
        <v>0.0</v>
      </c>
      <c r="G380" s="8">
        <v>-2.063517383E7</v>
      </c>
      <c r="H380" s="8">
        <v>2.3867963E7</v>
      </c>
      <c r="I380" s="147">
        <f t="shared" si="1"/>
        <v>3232789.17</v>
      </c>
    </row>
    <row r="381">
      <c r="A381" s="59">
        <v>46171.0</v>
      </c>
      <c r="B381" s="8" t="s">
        <v>601</v>
      </c>
      <c r="C381" s="8" t="s">
        <v>602</v>
      </c>
      <c r="D381" s="59">
        <v>46169.0</v>
      </c>
      <c r="F381" s="8">
        <v>0.0</v>
      </c>
      <c r="G381" s="8">
        <v>-2.063517383E7</v>
      </c>
      <c r="H381" s="8">
        <v>2.4211527E7</v>
      </c>
      <c r="I381" s="147">
        <f t="shared" si="1"/>
        <v>3576353.17</v>
      </c>
    </row>
    <row r="382">
      <c r="A382" s="59">
        <v>46174.0</v>
      </c>
      <c r="B382" s="8" t="s">
        <v>601</v>
      </c>
      <c r="C382" s="8" t="s">
        <v>602</v>
      </c>
      <c r="D382" s="59">
        <v>46171.0</v>
      </c>
      <c r="F382" s="8">
        <v>0.0</v>
      </c>
      <c r="G382" s="8">
        <v>-2.063517383E7</v>
      </c>
      <c r="H382" s="8">
        <v>2.4073114E7</v>
      </c>
      <c r="I382" s="147">
        <f t="shared" si="1"/>
        <v>3437940.17</v>
      </c>
    </row>
    <row r="383">
      <c r="A383" s="59">
        <v>46175.0</v>
      </c>
      <c r="B383" s="8" t="s">
        <v>601</v>
      </c>
      <c r="C383" s="8" t="s">
        <v>602</v>
      </c>
      <c r="D383" s="59">
        <v>46174.0</v>
      </c>
      <c r="F383" s="8">
        <v>0.0</v>
      </c>
      <c r="G383" s="8">
        <v>-2.063517383E7</v>
      </c>
      <c r="H383" s="8">
        <v>2.3683649E7</v>
      </c>
      <c r="I383" s="147">
        <f t="shared" si="1"/>
        <v>3048475.17</v>
      </c>
    </row>
    <row r="384">
      <c r="A384" s="59">
        <v>46176.0</v>
      </c>
      <c r="B384" s="8" t="s">
        <v>601</v>
      </c>
      <c r="C384" s="8" t="s">
        <v>602</v>
      </c>
      <c r="D384" s="59">
        <v>46175.0</v>
      </c>
      <c r="F384" s="8">
        <v>0.0</v>
      </c>
      <c r="G384" s="8">
        <v>-2.063517383E7</v>
      </c>
      <c r="H384" s="8">
        <v>2.3804738E7</v>
      </c>
      <c r="I384" s="147">
        <f t="shared" si="1"/>
        <v>3169564.17</v>
      </c>
    </row>
    <row r="385">
      <c r="A385" s="59">
        <v>46177.0</v>
      </c>
      <c r="B385" s="8" t="s">
        <v>601</v>
      </c>
      <c r="C385" s="8" t="s">
        <v>602</v>
      </c>
      <c r="D385" s="59">
        <v>46176.0</v>
      </c>
      <c r="F385" s="8">
        <v>0.0</v>
      </c>
      <c r="G385" s="8">
        <v>-2.063517383E7</v>
      </c>
      <c r="H385" s="8">
        <v>2.3468218E7</v>
      </c>
      <c r="I385" s="147">
        <f t="shared" si="1"/>
        <v>2833044.17</v>
      </c>
    </row>
    <row r="386">
      <c r="A386" s="59">
        <v>46178.0</v>
      </c>
      <c r="B386" s="8" t="s">
        <v>601</v>
      </c>
      <c r="C386" s="8" t="s">
        <v>602</v>
      </c>
      <c r="D386" s="59">
        <v>46177.0</v>
      </c>
      <c r="F386" s="8">
        <v>0.0</v>
      </c>
      <c r="G386" s="8">
        <v>-2.063517383E7</v>
      </c>
      <c r="H386" s="8">
        <v>2.3736952E7</v>
      </c>
      <c r="I386" s="147">
        <f t="shared" si="1"/>
        <v>3101778.17</v>
      </c>
    </row>
    <row r="387">
      <c r="A387" s="59">
        <v>46181.0</v>
      </c>
      <c r="B387" s="8" t="s">
        <v>601</v>
      </c>
      <c r="C387" s="8" t="s">
        <v>602</v>
      </c>
      <c r="D387" s="59">
        <v>46178.0</v>
      </c>
      <c r="F387" s="8">
        <v>0.0</v>
      </c>
      <c r="G387" s="8">
        <v>-2.063517383E7</v>
      </c>
      <c r="H387" s="8">
        <v>2.3527924E7</v>
      </c>
      <c r="I387" s="147">
        <f t="shared" si="1"/>
        <v>2892750.17</v>
      </c>
    </row>
    <row r="388">
      <c r="A388" s="59">
        <v>46182.0</v>
      </c>
      <c r="B388" s="8" t="s">
        <v>601</v>
      </c>
      <c r="C388" s="8" t="s">
        <v>602</v>
      </c>
      <c r="D388" s="59">
        <v>46181.0</v>
      </c>
      <c r="F388" s="8">
        <v>0.0</v>
      </c>
      <c r="G388" s="8">
        <v>-2.063517383E7</v>
      </c>
      <c r="H388" s="8">
        <v>2.2821186E7</v>
      </c>
      <c r="I388" s="147">
        <f t="shared" si="1"/>
        <v>2186012.17</v>
      </c>
    </row>
    <row r="389">
      <c r="A389" s="59">
        <v>46183.0</v>
      </c>
      <c r="B389" s="8" t="s">
        <v>601</v>
      </c>
      <c r="C389" s="8" t="s">
        <v>602</v>
      </c>
      <c r="D389" s="59">
        <v>46182.0</v>
      </c>
      <c r="F389" s="8">
        <v>0.0</v>
      </c>
      <c r="G389" s="8">
        <v>-2.063517383E7</v>
      </c>
      <c r="H389" s="8">
        <v>2.3279742E7</v>
      </c>
      <c r="I389" s="147">
        <f t="shared" si="1"/>
        <v>2644568.17</v>
      </c>
    </row>
    <row r="390">
      <c r="A390" s="59">
        <v>46184.0</v>
      </c>
      <c r="B390" s="8" t="s">
        <v>601</v>
      </c>
      <c r="C390" s="8" t="s">
        <v>602</v>
      </c>
      <c r="D390" s="59">
        <v>46183.0</v>
      </c>
      <c r="F390" s="8">
        <v>0.0</v>
      </c>
      <c r="G390" s="8">
        <v>-2.063517383E7</v>
      </c>
      <c r="H390" s="8">
        <v>2.2829027E7</v>
      </c>
      <c r="I390" s="147">
        <f t="shared" si="1"/>
        <v>2193853.17</v>
      </c>
    </row>
    <row r="391">
      <c r="A391" s="59">
        <v>46185.0</v>
      </c>
      <c r="B391" s="8" t="s">
        <v>601</v>
      </c>
      <c r="C391" s="8" t="s">
        <v>602</v>
      </c>
      <c r="D391" s="59">
        <v>46184.0</v>
      </c>
      <c r="F391" s="8">
        <v>0.0</v>
      </c>
      <c r="G391" s="8">
        <v>-2.063517383E7</v>
      </c>
      <c r="H391" s="8">
        <v>2.2665171E7</v>
      </c>
      <c r="I391" s="147">
        <f t="shared" si="1"/>
        <v>2029997.17</v>
      </c>
    </row>
    <row r="392">
      <c r="A392" s="59">
        <v>46188.0</v>
      </c>
      <c r="B392" s="8" t="s">
        <v>601</v>
      </c>
      <c r="C392" s="8" t="s">
        <v>602</v>
      </c>
      <c r="D392" s="59">
        <v>46185.0</v>
      </c>
      <c r="F392" s="8">
        <v>0.0</v>
      </c>
      <c r="G392" s="8">
        <v>-2.063517383E7</v>
      </c>
      <c r="H392" s="8">
        <v>2.3415748E7</v>
      </c>
      <c r="I392" s="147">
        <f t="shared" si="1"/>
        <v>2780574.17</v>
      </c>
    </row>
    <row r="393">
      <c r="A393" s="59">
        <v>46189.0</v>
      </c>
      <c r="B393" s="8" t="s">
        <v>601</v>
      </c>
      <c r="C393" s="8" t="s">
        <v>602</v>
      </c>
      <c r="D393" s="59">
        <v>46188.0</v>
      </c>
      <c r="F393" s="8">
        <v>0.0</v>
      </c>
      <c r="G393" s="8">
        <v>-2.063517383E7</v>
      </c>
      <c r="H393" s="8">
        <v>2.3834986E7</v>
      </c>
      <c r="I393" s="147">
        <f t="shared" si="1"/>
        <v>3199812.17</v>
      </c>
    </row>
    <row r="394">
      <c r="A394" s="59">
        <v>46190.0</v>
      </c>
      <c r="B394" s="8" t="s">
        <v>601</v>
      </c>
      <c r="C394" s="8" t="s">
        <v>602</v>
      </c>
      <c r="D394" s="59">
        <v>46189.0</v>
      </c>
      <c r="F394" s="8">
        <v>0.0</v>
      </c>
      <c r="G394" s="8">
        <v>-2.063517383E7</v>
      </c>
      <c r="H394" s="8">
        <v>2.386449E7</v>
      </c>
      <c r="I394" s="147">
        <f t="shared" si="1"/>
        <v>3229316.17</v>
      </c>
    </row>
    <row r="395">
      <c r="A395" s="59">
        <v>46191.0</v>
      </c>
      <c r="B395" s="8" t="s">
        <v>601</v>
      </c>
      <c r="C395" s="8" t="s">
        <v>602</v>
      </c>
      <c r="D395" s="59">
        <v>46190.0</v>
      </c>
      <c r="F395" s="8">
        <v>0.0</v>
      </c>
      <c r="G395" s="8">
        <v>-2.063517383E7</v>
      </c>
      <c r="H395" s="8">
        <v>2.4139962E7</v>
      </c>
      <c r="I395" s="147">
        <f t="shared" si="1"/>
        <v>3504788.17</v>
      </c>
    </row>
    <row r="396">
      <c r="A396" s="59">
        <v>46192.0</v>
      </c>
      <c r="B396" s="8" t="s">
        <v>601</v>
      </c>
      <c r="C396" s="8" t="s">
        <v>602</v>
      </c>
      <c r="D396" s="59">
        <v>46191.0</v>
      </c>
      <c r="F396" s="8">
        <v>0.0</v>
      </c>
      <c r="G396" s="8">
        <v>-2.063517383E7</v>
      </c>
      <c r="H396" s="8">
        <v>2.4301968E7</v>
      </c>
      <c r="I396" s="147">
        <f t="shared" si="1"/>
        <v>3666794.17</v>
      </c>
    </row>
    <row r="397">
      <c r="A397" s="59">
        <v>46195.0</v>
      </c>
      <c r="B397" s="8" t="s">
        <v>601</v>
      </c>
      <c r="C397" s="8" t="s">
        <v>602</v>
      </c>
      <c r="D397" s="59">
        <v>46192.0</v>
      </c>
      <c r="F397" s="8">
        <v>0.0</v>
      </c>
      <c r="G397" s="8">
        <v>-2.063517383E7</v>
      </c>
      <c r="H397" s="8">
        <v>2.4524836E7</v>
      </c>
      <c r="I397" s="147">
        <f t="shared" si="1"/>
        <v>3889662.17</v>
      </c>
    </row>
    <row r="398">
      <c r="A398" s="59">
        <v>46196.0</v>
      </c>
      <c r="B398" s="8" t="s">
        <v>601</v>
      </c>
      <c r="C398" s="8" t="s">
        <v>602</v>
      </c>
      <c r="D398" s="59">
        <v>46195.0</v>
      </c>
      <c r="F398" s="8">
        <v>0.0</v>
      </c>
      <c r="G398" s="8">
        <v>-2.063517383E7</v>
      </c>
      <c r="H398" s="8">
        <v>2.4985805E7</v>
      </c>
      <c r="I398" s="147">
        <f t="shared" si="1"/>
        <v>4350631.17</v>
      </c>
    </row>
    <row r="399">
      <c r="A399" s="59">
        <v>46197.0</v>
      </c>
      <c r="B399" s="8" t="s">
        <v>601</v>
      </c>
      <c r="C399" s="8" t="s">
        <v>602</v>
      </c>
      <c r="D399" s="59">
        <v>46196.0</v>
      </c>
      <c r="F399" s="8">
        <v>0.0</v>
      </c>
      <c r="G399" s="8">
        <v>-2.063517383E7</v>
      </c>
      <c r="H399" s="8">
        <v>2.4849687E7</v>
      </c>
      <c r="I399" s="147">
        <f t="shared" si="1"/>
        <v>4214513.17</v>
      </c>
    </row>
    <row r="400">
      <c r="A400" s="59">
        <v>46198.0</v>
      </c>
      <c r="B400" s="8" t="s">
        <v>601</v>
      </c>
      <c r="C400" s="8" t="s">
        <v>602</v>
      </c>
      <c r="D400" s="59">
        <v>46197.0</v>
      </c>
      <c r="F400" s="8">
        <v>0.0</v>
      </c>
      <c r="G400" s="8">
        <v>-2.063517383E7</v>
      </c>
      <c r="H400" s="8">
        <v>2.4710059E7</v>
      </c>
      <c r="I400" s="147">
        <f t="shared" si="1"/>
        <v>4074885.17</v>
      </c>
    </row>
    <row r="401">
      <c r="A401" s="59">
        <v>46202.0</v>
      </c>
      <c r="B401" s="8" t="s">
        <v>601</v>
      </c>
      <c r="C401" s="8" t="s">
        <v>602</v>
      </c>
      <c r="D401" s="59">
        <v>46198.0</v>
      </c>
      <c r="F401" s="8">
        <v>0.0</v>
      </c>
      <c r="G401" s="8">
        <v>-2.063517383E7</v>
      </c>
      <c r="H401" s="8">
        <v>2.4447797E7</v>
      </c>
      <c r="I401" s="147">
        <f t="shared" si="1"/>
        <v>3812623.17</v>
      </c>
    </row>
    <row r="402">
      <c r="A402" s="59">
        <v>46203.0</v>
      </c>
      <c r="B402" s="8" t="s">
        <v>601</v>
      </c>
      <c r="C402" s="8" t="s">
        <v>602</v>
      </c>
      <c r="D402" s="59">
        <v>46202.0</v>
      </c>
      <c r="F402" s="8">
        <v>0.0</v>
      </c>
      <c r="G402" s="8">
        <v>-2.063517383E7</v>
      </c>
      <c r="H402" s="8">
        <v>2.4416755E7</v>
      </c>
      <c r="I402" s="147">
        <f t="shared" si="1"/>
        <v>3781581.17</v>
      </c>
    </row>
    <row r="403">
      <c r="A403" s="59">
        <v>46204.0</v>
      </c>
      <c r="B403" s="8" t="s">
        <v>601</v>
      </c>
      <c r="C403" s="8" t="s">
        <v>602</v>
      </c>
      <c r="D403" s="59">
        <v>46203.0</v>
      </c>
      <c r="F403" s="8">
        <v>0.0</v>
      </c>
      <c r="G403" s="8">
        <v>-2.063517383E7</v>
      </c>
      <c r="H403" s="8">
        <v>2.43702E7</v>
      </c>
      <c r="I403" s="147">
        <f t="shared" si="1"/>
        <v>3735026.17</v>
      </c>
    </row>
    <row r="404">
      <c r="A404" s="59">
        <v>46205.0</v>
      </c>
      <c r="B404" s="8" t="s">
        <v>601</v>
      </c>
      <c r="C404" s="8" t="s">
        <v>602</v>
      </c>
      <c r="D404" s="59">
        <v>46204.0</v>
      </c>
      <c r="F404" s="8">
        <v>0.0</v>
      </c>
      <c r="G404" s="8">
        <v>-2.063517383E7</v>
      </c>
      <c r="H404" s="8">
        <v>2.4271609E7</v>
      </c>
      <c r="I404" s="147">
        <f t="shared" si="1"/>
        <v>3636435.17</v>
      </c>
    </row>
    <row r="405">
      <c r="A405" s="59">
        <v>46206.0</v>
      </c>
      <c r="B405" s="8" t="s">
        <v>601</v>
      </c>
      <c r="C405" s="8" t="s">
        <v>602</v>
      </c>
      <c r="D405" s="59">
        <v>46205.0</v>
      </c>
      <c r="F405" s="8">
        <v>0.0</v>
      </c>
      <c r="G405" s="8">
        <v>-2.063517383E7</v>
      </c>
      <c r="H405" s="8">
        <v>2.4345898E7</v>
      </c>
      <c r="I405" s="147">
        <f t="shared" si="1"/>
        <v>3710724.17</v>
      </c>
    </row>
    <row r="406">
      <c r="A406" s="59">
        <v>46209.0</v>
      </c>
      <c r="B406" s="8" t="s">
        <v>601</v>
      </c>
      <c r="C406" s="8" t="s">
        <v>602</v>
      </c>
      <c r="D406" s="59">
        <v>46206.0</v>
      </c>
      <c r="F406" s="8">
        <v>0.0</v>
      </c>
      <c r="G406" s="8">
        <v>-2.063517383E7</v>
      </c>
      <c r="H406" s="8">
        <v>2.3935488E7</v>
      </c>
      <c r="I406" s="147">
        <f t="shared" si="1"/>
        <v>3300314.17</v>
      </c>
    </row>
    <row r="407">
      <c r="A407" s="59">
        <v>46210.0</v>
      </c>
      <c r="B407" s="8" t="s">
        <v>601</v>
      </c>
      <c r="C407" s="8" t="s">
        <v>602</v>
      </c>
      <c r="D407" s="59">
        <v>46209.0</v>
      </c>
      <c r="F407" s="8">
        <v>0.0</v>
      </c>
      <c r="G407" s="8">
        <v>-2.063517383E7</v>
      </c>
      <c r="H407" s="8">
        <v>2.4159752E7</v>
      </c>
      <c r="I407" s="147">
        <f t="shared" si="1"/>
        <v>3524578.17</v>
      </c>
    </row>
    <row r="408">
      <c r="A408" s="59">
        <v>46211.0</v>
      </c>
      <c r="B408" s="8" t="s">
        <v>601</v>
      </c>
      <c r="C408" s="8" t="s">
        <v>602</v>
      </c>
      <c r="D408" s="59">
        <v>46210.0</v>
      </c>
      <c r="F408" s="8">
        <v>0.0</v>
      </c>
      <c r="G408" s="8">
        <v>-2.063517383E7</v>
      </c>
      <c r="H408" s="8">
        <v>2.3724082E7</v>
      </c>
      <c r="I408" s="147">
        <f t="shared" si="1"/>
        <v>3088908.17</v>
      </c>
    </row>
    <row r="409">
      <c r="A409" s="59">
        <v>46212.0</v>
      </c>
      <c r="B409" s="8" t="s">
        <v>601</v>
      </c>
      <c r="C409" s="8" t="s">
        <v>602</v>
      </c>
      <c r="D409" s="59">
        <v>46211.0</v>
      </c>
      <c r="F409" s="8">
        <v>0.0</v>
      </c>
      <c r="G409" s="8">
        <v>-2.063517383E7</v>
      </c>
      <c r="H409" s="8">
        <v>2.3487568E7</v>
      </c>
      <c r="I409" s="147">
        <f t="shared" si="1"/>
        <v>2852394.17</v>
      </c>
    </row>
    <row r="410">
      <c r="A410" s="59">
        <v>46213.0</v>
      </c>
      <c r="B410" s="8" t="s">
        <v>601</v>
      </c>
      <c r="C410" s="8" t="s">
        <v>602</v>
      </c>
      <c r="D410" s="59">
        <v>46212.0</v>
      </c>
      <c r="F410" s="8">
        <v>0.0</v>
      </c>
      <c r="G410" s="8">
        <v>-2.063517383E7</v>
      </c>
      <c r="H410" s="8">
        <v>2.3958332E7</v>
      </c>
      <c r="I410" s="147">
        <f t="shared" si="1"/>
        <v>3323158.17</v>
      </c>
    </row>
    <row r="411">
      <c r="A411" s="59">
        <v>46216.0</v>
      </c>
      <c r="B411" s="8" t="s">
        <v>601</v>
      </c>
      <c r="C411" s="8" t="s">
        <v>602</v>
      </c>
      <c r="D411" s="59">
        <v>46213.0</v>
      </c>
      <c r="F411" s="8">
        <v>0.0</v>
      </c>
      <c r="G411" s="8">
        <v>-2.063517383E7</v>
      </c>
      <c r="H411" s="8">
        <v>2.4139885E7</v>
      </c>
      <c r="I411" s="147">
        <f t="shared" si="1"/>
        <v>3504711.17</v>
      </c>
    </row>
    <row r="412">
      <c r="A412" s="59">
        <v>46217.0</v>
      </c>
      <c r="B412" s="8" t="s">
        <v>601</v>
      </c>
      <c r="C412" s="8" t="s">
        <v>602</v>
      </c>
      <c r="D412" s="59">
        <v>46216.0</v>
      </c>
      <c r="F412" s="8">
        <v>0.0</v>
      </c>
      <c r="G412" s="8">
        <v>-2.063517383E7</v>
      </c>
      <c r="H412" s="8">
        <v>2.399895E7</v>
      </c>
      <c r="I412" s="147">
        <f t="shared" si="1"/>
        <v>3363776.17</v>
      </c>
    </row>
    <row r="413">
      <c r="A413" s="59">
        <v>46218.0</v>
      </c>
      <c r="B413" s="8" t="s">
        <v>601</v>
      </c>
      <c r="C413" s="8" t="s">
        <v>602</v>
      </c>
      <c r="D413" s="59">
        <v>46217.0</v>
      </c>
      <c r="F413" s="8">
        <v>0.0</v>
      </c>
      <c r="G413" s="8">
        <v>-2.063517383E7</v>
      </c>
      <c r="H413" s="8">
        <v>2.3880724E7</v>
      </c>
      <c r="I413" s="147">
        <f t="shared" si="1"/>
        <v>3245550.17</v>
      </c>
    </row>
    <row r="414">
      <c r="A414" s="59">
        <v>46219.0</v>
      </c>
      <c r="B414" s="8" t="s">
        <v>601</v>
      </c>
      <c r="C414" s="8" t="s">
        <v>602</v>
      </c>
      <c r="D414" s="59">
        <v>46218.0</v>
      </c>
      <c r="F414" s="8">
        <v>0.0</v>
      </c>
      <c r="G414" s="8">
        <v>-2.063517383E7</v>
      </c>
      <c r="H414" s="8">
        <v>2.4163606E7</v>
      </c>
      <c r="I414" s="147">
        <f t="shared" si="1"/>
        <v>3528432.17</v>
      </c>
    </row>
    <row r="415">
      <c r="A415" s="59">
        <v>46220.0</v>
      </c>
      <c r="B415" s="8" t="s">
        <v>601</v>
      </c>
      <c r="C415" s="8" t="s">
        <v>602</v>
      </c>
      <c r="D415" s="59">
        <v>46219.0</v>
      </c>
      <c r="F415" s="8">
        <v>0.0</v>
      </c>
      <c r="G415" s="8">
        <v>-2.063517383E7</v>
      </c>
      <c r="H415" s="8">
        <v>2.4022909E7</v>
      </c>
      <c r="I415" s="147">
        <f t="shared" si="1"/>
        <v>3387735.17</v>
      </c>
    </row>
    <row r="416">
      <c r="A416" s="59">
        <v>46223.0</v>
      </c>
      <c r="B416" s="8" t="s">
        <v>601</v>
      </c>
      <c r="C416" s="8" t="s">
        <v>602</v>
      </c>
      <c r="D416" s="59">
        <v>46220.0</v>
      </c>
      <c r="F416" s="8">
        <v>0.0</v>
      </c>
      <c r="G416" s="8">
        <v>-2.063517383E7</v>
      </c>
      <c r="H416" s="8">
        <v>2.3418274E7</v>
      </c>
      <c r="I416" s="147">
        <f t="shared" si="1"/>
        <v>2783100.17</v>
      </c>
    </row>
    <row r="417">
      <c r="A417" s="59">
        <v>46224.0</v>
      </c>
      <c r="B417" s="8" t="s">
        <v>601</v>
      </c>
      <c r="C417" s="8" t="s">
        <v>602</v>
      </c>
      <c r="D417" s="59">
        <v>46223.0</v>
      </c>
      <c r="F417" s="8">
        <v>0.0</v>
      </c>
      <c r="G417" s="8">
        <v>-2.063517383E7</v>
      </c>
      <c r="H417" s="8">
        <v>2.3532572E7</v>
      </c>
      <c r="I417" s="147">
        <f t="shared" si="1"/>
        <v>2897398.17</v>
      </c>
    </row>
    <row r="418">
      <c r="A418" s="59">
        <v>46225.0</v>
      </c>
      <c r="B418" s="8" t="s">
        <v>601</v>
      </c>
      <c r="C418" s="8" t="s">
        <v>602</v>
      </c>
      <c r="D418" s="59">
        <v>46224.0</v>
      </c>
      <c r="F418" s="8">
        <v>0.0</v>
      </c>
      <c r="G418" s="8">
        <v>-2.063517383E7</v>
      </c>
      <c r="H418" s="8">
        <v>2.3780407E7</v>
      </c>
      <c r="I418" s="147">
        <f t="shared" si="1"/>
        <v>3145233.17</v>
      </c>
    </row>
    <row r="419">
      <c r="A419" s="59">
        <v>46226.0</v>
      </c>
      <c r="B419" s="8" t="s">
        <v>601</v>
      </c>
      <c r="C419" s="8" t="s">
        <v>602</v>
      </c>
      <c r="D419" s="59">
        <v>46225.0</v>
      </c>
      <c r="F419" s="8">
        <v>0.0</v>
      </c>
      <c r="G419" s="8">
        <v>-2.063517383E7</v>
      </c>
      <c r="H419" s="8">
        <v>2.3646452E7</v>
      </c>
      <c r="I419" s="147">
        <f t="shared" si="1"/>
        <v>3011278.17</v>
      </c>
    </row>
    <row r="420">
      <c r="A420" s="59">
        <v>46227.0</v>
      </c>
      <c r="B420" s="8" t="s">
        <v>601</v>
      </c>
      <c r="C420" s="8" t="s">
        <v>602</v>
      </c>
      <c r="D420" s="59">
        <v>46226.0</v>
      </c>
      <c r="F420" s="8">
        <v>0.0</v>
      </c>
      <c r="G420" s="8">
        <v>-2.063517383E7</v>
      </c>
      <c r="H420" s="8">
        <v>2.339267E7</v>
      </c>
      <c r="I420" s="147">
        <f t="shared" si="1"/>
        <v>2757496.17</v>
      </c>
    </row>
    <row r="421">
      <c r="A421" s="59">
        <v>46230.0</v>
      </c>
      <c r="B421" s="8" t="s">
        <v>601</v>
      </c>
      <c r="C421" s="8" t="s">
        <v>602</v>
      </c>
      <c r="D421" s="59">
        <v>46227.0</v>
      </c>
      <c r="F421" s="8">
        <v>0.0</v>
      </c>
      <c r="G421" s="8">
        <v>-2.063517383E7</v>
      </c>
      <c r="H421" s="8">
        <v>2.3217926E7</v>
      </c>
      <c r="I421" s="147">
        <f t="shared" si="1"/>
        <v>2582752.17</v>
      </c>
    </row>
    <row r="422">
      <c r="A422" s="59">
        <v>46231.0</v>
      </c>
      <c r="B422" s="8" t="s">
        <v>601</v>
      </c>
      <c r="C422" s="8" t="s">
        <v>602</v>
      </c>
      <c r="D422" s="59">
        <v>46230.0</v>
      </c>
      <c r="F422" s="8">
        <v>0.0</v>
      </c>
      <c r="G422" s="8">
        <v>-2.063517383E7</v>
      </c>
      <c r="H422" s="8">
        <v>2.3520723E7</v>
      </c>
      <c r="I422" s="147">
        <f t="shared" si="1"/>
        <v>2885549.17</v>
      </c>
    </row>
    <row r="423">
      <c r="A423" s="59">
        <v>46232.0</v>
      </c>
      <c r="B423" s="8" t="s">
        <v>601</v>
      </c>
      <c r="C423" s="8" t="s">
        <v>602</v>
      </c>
      <c r="D423" s="59">
        <v>46231.0</v>
      </c>
      <c r="F423" s="8">
        <v>0.0</v>
      </c>
      <c r="G423" s="8">
        <v>-2.063517383E7</v>
      </c>
      <c r="H423" s="8">
        <v>2.3253055E7</v>
      </c>
      <c r="I423" s="147">
        <f t="shared" si="1"/>
        <v>2617881.17</v>
      </c>
    </row>
    <row r="424">
      <c r="A424" s="59">
        <v>46233.0</v>
      </c>
      <c r="B424" s="8" t="s">
        <v>601</v>
      </c>
      <c r="C424" s="8" t="s">
        <v>602</v>
      </c>
      <c r="D424" s="59">
        <v>46232.0</v>
      </c>
      <c r="F424" s="8">
        <v>0.0</v>
      </c>
      <c r="G424" s="8">
        <v>-2.063517383E7</v>
      </c>
      <c r="H424" s="8">
        <v>2.3526093E7</v>
      </c>
      <c r="I424" s="147">
        <f t="shared" si="1"/>
        <v>2890919.17</v>
      </c>
    </row>
    <row r="425">
      <c r="A425" s="59">
        <v>46234.0</v>
      </c>
      <c r="B425" s="8" t="s">
        <v>601</v>
      </c>
      <c r="C425" s="8" t="s">
        <v>602</v>
      </c>
      <c r="D425" s="59">
        <v>46233.0</v>
      </c>
      <c r="F425" s="8">
        <v>0.0</v>
      </c>
      <c r="G425" s="8">
        <v>-2.063517383E7</v>
      </c>
      <c r="H425" s="8">
        <v>2.3409731E7</v>
      </c>
      <c r="I425" s="147">
        <f t="shared" si="1"/>
        <v>2774557.17</v>
      </c>
    </row>
    <row r="426">
      <c r="A426" s="59">
        <v>46237.0</v>
      </c>
      <c r="B426" s="8" t="s">
        <v>601</v>
      </c>
      <c r="C426" s="8" t="s">
        <v>602</v>
      </c>
      <c r="D426" s="59">
        <v>46234.0</v>
      </c>
      <c r="F426" s="8">
        <v>0.0</v>
      </c>
      <c r="G426" s="8">
        <v>-2.063517383E7</v>
      </c>
      <c r="H426" s="8">
        <v>2.3816177E7</v>
      </c>
      <c r="I426" s="147">
        <f t="shared" si="1"/>
        <v>3181003.17</v>
      </c>
    </row>
    <row r="427">
      <c r="A427" s="59">
        <v>46238.0</v>
      </c>
      <c r="B427" s="8" t="s">
        <v>601</v>
      </c>
      <c r="C427" s="8" t="s">
        <v>602</v>
      </c>
      <c r="D427" s="59">
        <v>46237.0</v>
      </c>
      <c r="F427" s="8">
        <v>0.0</v>
      </c>
      <c r="G427" s="8">
        <v>-2.063517383E7</v>
      </c>
      <c r="H427" s="8">
        <v>2.4168174E7</v>
      </c>
      <c r="I427" s="147">
        <f t="shared" si="1"/>
        <v>3533000.17</v>
      </c>
    </row>
    <row r="428">
      <c r="A428" s="59">
        <v>46239.0</v>
      </c>
      <c r="B428" s="8" t="s">
        <v>601</v>
      </c>
      <c r="C428" s="8" t="s">
        <v>602</v>
      </c>
      <c r="D428" s="59">
        <v>46238.0</v>
      </c>
      <c r="F428" s="8">
        <v>0.0</v>
      </c>
      <c r="G428" s="8">
        <v>-2.063517383E7</v>
      </c>
      <c r="H428" s="8">
        <v>2.4168174E7</v>
      </c>
      <c r="I428" s="147">
        <f t="shared" si="1"/>
        <v>3533000.17</v>
      </c>
    </row>
    <row r="429">
      <c r="A429" s="59">
        <v>46240.0</v>
      </c>
      <c r="B429" s="8" t="s">
        <v>678</v>
      </c>
      <c r="C429" s="8" t="s">
        <v>679</v>
      </c>
      <c r="D429" s="59">
        <v>46239.0</v>
      </c>
      <c r="E429" s="8">
        <v>0.0</v>
      </c>
      <c r="F429" s="8">
        <v>107053.34</v>
      </c>
      <c r="G429" s="8">
        <v>-2.052811949E7</v>
      </c>
      <c r="H429" s="8">
        <v>2.4478239E7</v>
      </c>
      <c r="I429" s="147">
        <f t="shared" si="1"/>
        <v>3950119.51</v>
      </c>
    </row>
    <row r="430">
      <c r="A430" s="59">
        <v>46241.0</v>
      </c>
      <c r="B430" s="8" t="s">
        <v>678</v>
      </c>
      <c r="C430" s="8" t="s">
        <v>679</v>
      </c>
      <c r="D430" s="59">
        <v>46240.0</v>
      </c>
      <c r="E430" s="8">
        <v>0.0</v>
      </c>
      <c r="G430" s="8">
        <v>-2.052811949E7</v>
      </c>
      <c r="H430" s="8">
        <v>2.4356369E7</v>
      </c>
      <c r="I430" s="147">
        <f t="shared" si="1"/>
        <v>3828249.51</v>
      </c>
    </row>
    <row r="431">
      <c r="A431" s="59">
        <v>46244.0</v>
      </c>
      <c r="B431" s="8" t="s">
        <v>678</v>
      </c>
      <c r="C431" s="8" t="s">
        <v>679</v>
      </c>
      <c r="D431" s="59">
        <v>46241.0</v>
      </c>
      <c r="E431" s="8">
        <v>0.0</v>
      </c>
      <c r="G431" s="8">
        <v>-2.052811949E7</v>
      </c>
      <c r="H431" s="8">
        <v>2.4447202E7</v>
      </c>
      <c r="I431" s="147">
        <f t="shared" si="1"/>
        <v>3919082.51</v>
      </c>
    </row>
    <row r="432">
      <c r="A432" s="59">
        <v>46245.0</v>
      </c>
      <c r="B432" s="8" t="s">
        <v>678</v>
      </c>
      <c r="C432" s="8" t="s">
        <v>679</v>
      </c>
      <c r="D432" s="59">
        <v>46244.0</v>
      </c>
      <c r="E432" s="8">
        <v>0.0</v>
      </c>
      <c r="G432" s="8">
        <v>-2.052811949E7</v>
      </c>
      <c r="H432" s="8">
        <v>2.445036E7</v>
      </c>
      <c r="I432" s="147">
        <f t="shared" si="1"/>
        <v>3922240.51</v>
      </c>
    </row>
    <row r="433">
      <c r="A433" s="59">
        <v>46246.0</v>
      </c>
      <c r="B433" s="8" t="s">
        <v>678</v>
      </c>
      <c r="C433" s="8" t="s">
        <v>679</v>
      </c>
      <c r="D433" s="59">
        <v>46245.0</v>
      </c>
      <c r="E433" s="8">
        <v>0.0</v>
      </c>
      <c r="G433" s="8">
        <v>-2.052811949E7</v>
      </c>
      <c r="H433" s="8">
        <v>2.4583404E7</v>
      </c>
      <c r="I433" s="147">
        <f t="shared" si="1"/>
        <v>4055284.51</v>
      </c>
    </row>
    <row r="434">
      <c r="A434" s="59">
        <v>46247.0</v>
      </c>
      <c r="B434" s="8" t="s">
        <v>678</v>
      </c>
      <c r="C434" s="8" t="s">
        <v>679</v>
      </c>
      <c r="D434" s="59">
        <v>46246.0</v>
      </c>
      <c r="E434" s="8">
        <v>0.0</v>
      </c>
      <c r="G434" s="8">
        <v>-2.052811949E7</v>
      </c>
      <c r="H434" s="8">
        <v>2.4768902E7</v>
      </c>
      <c r="I434" s="147">
        <f t="shared" si="1"/>
        <v>4240782.51</v>
      </c>
    </row>
    <row r="435">
      <c r="A435" s="59">
        <v>46248.0</v>
      </c>
      <c r="B435" s="8" t="s">
        <v>678</v>
      </c>
      <c r="C435" s="8" t="s">
        <v>679</v>
      </c>
      <c r="D435" s="59">
        <v>46247.0</v>
      </c>
      <c r="E435" s="8">
        <v>0.0</v>
      </c>
      <c r="G435" s="8">
        <v>-2.052811949E7</v>
      </c>
      <c r="H435" s="8">
        <v>2.4714294E7</v>
      </c>
      <c r="I435" s="147">
        <f t="shared" si="1"/>
        <v>4186174.51</v>
      </c>
    </row>
    <row r="436">
      <c r="A436" s="59">
        <v>46251.0</v>
      </c>
      <c r="B436" s="8" t="s">
        <v>678</v>
      </c>
      <c r="C436" s="8" t="s">
        <v>679</v>
      </c>
      <c r="D436" s="59">
        <v>46248.0</v>
      </c>
      <c r="E436" s="8">
        <v>0.0</v>
      </c>
      <c r="G436" s="8">
        <v>-2.052811949E7</v>
      </c>
      <c r="H436" s="8">
        <v>2.4604121E7</v>
      </c>
      <c r="I436" s="147">
        <f t="shared" si="1"/>
        <v>4076001.51</v>
      </c>
    </row>
    <row r="437">
      <c r="A437" s="59">
        <v>46252.0</v>
      </c>
      <c r="B437" s="8" t="s">
        <v>678</v>
      </c>
      <c r="C437" s="8" t="s">
        <v>679</v>
      </c>
      <c r="D437" s="59">
        <v>46251.0</v>
      </c>
      <c r="E437" s="8">
        <v>0.0</v>
      </c>
      <c r="G437" s="8">
        <v>-2.052811949E7</v>
      </c>
      <c r="H437" s="8">
        <v>2.4660231E7</v>
      </c>
      <c r="I437" s="147">
        <f t="shared" si="1"/>
        <v>4132111.51</v>
      </c>
    </row>
    <row r="438">
      <c r="A438" s="59">
        <v>46253.0</v>
      </c>
      <c r="B438" s="8" t="s">
        <v>678</v>
      </c>
      <c r="C438" s="8" t="s">
        <v>679</v>
      </c>
      <c r="D438" s="59">
        <v>46252.0</v>
      </c>
      <c r="E438" s="8">
        <v>0.0</v>
      </c>
      <c r="G438" s="8">
        <v>-2.052811949E7</v>
      </c>
      <c r="H438" s="8">
        <v>2.5069114E7</v>
      </c>
      <c r="I438" s="147">
        <f t="shared" si="1"/>
        <v>4540994.51</v>
      </c>
    </row>
    <row r="439">
      <c r="A439" s="59">
        <v>46254.0</v>
      </c>
      <c r="B439" s="8" t="s">
        <v>678</v>
      </c>
      <c r="C439" s="8" t="s">
        <v>679</v>
      </c>
      <c r="D439" s="59">
        <v>46253.0</v>
      </c>
      <c r="E439" s="8">
        <v>0.0</v>
      </c>
      <c r="G439" s="8">
        <v>-2.052811949E7</v>
      </c>
      <c r="H439" s="8">
        <v>2.4767313E7</v>
      </c>
      <c r="I439" s="147">
        <f t="shared" si="1"/>
        <v>4239193.51</v>
      </c>
    </row>
    <row r="440">
      <c r="A440" s="59">
        <v>46255.0</v>
      </c>
      <c r="B440" s="8" t="s">
        <v>678</v>
      </c>
      <c r="C440" s="8" t="s">
        <v>679</v>
      </c>
      <c r="D440" s="59">
        <v>46254.0</v>
      </c>
      <c r="E440" s="8">
        <v>0.0</v>
      </c>
      <c r="G440" s="8">
        <v>-2.052811949E7</v>
      </c>
      <c r="H440" s="8">
        <v>2.4869906E7</v>
      </c>
      <c r="I440" s="147">
        <f t="shared" si="1"/>
        <v>4341786.51</v>
      </c>
    </row>
    <row r="441">
      <c r="A441" s="59">
        <v>46258.0</v>
      </c>
      <c r="B441" s="8" t="s">
        <v>678</v>
      </c>
      <c r="C441" s="8" t="s">
        <v>679</v>
      </c>
      <c r="D441" s="59">
        <v>46255.0</v>
      </c>
      <c r="E441" s="8">
        <v>0.0</v>
      </c>
      <c r="G441" s="8">
        <v>-2.052811949E7</v>
      </c>
      <c r="H441" s="8">
        <v>2.5206818E7</v>
      </c>
      <c r="I441" s="147">
        <f t="shared" si="1"/>
        <v>4678698.51</v>
      </c>
    </row>
    <row r="442">
      <c r="A442" s="59">
        <v>46259.0</v>
      </c>
      <c r="B442" s="8" t="s">
        <v>678</v>
      </c>
      <c r="C442" s="8" t="s">
        <v>679</v>
      </c>
      <c r="D442" s="59">
        <v>46258.0</v>
      </c>
      <c r="E442" s="8">
        <v>0.0</v>
      </c>
      <c r="G442" s="8">
        <v>-2.052811949E7</v>
      </c>
      <c r="H442" s="8">
        <v>2.5240566E7</v>
      </c>
      <c r="I442" s="147">
        <f t="shared" si="1"/>
        <v>4712446.51</v>
      </c>
    </row>
    <row r="443">
      <c r="A443" s="59">
        <v>46260.0</v>
      </c>
      <c r="B443" s="8" t="s">
        <v>678</v>
      </c>
      <c r="C443" s="8" t="s">
        <v>679</v>
      </c>
      <c r="D443" s="59">
        <v>46259.0</v>
      </c>
      <c r="E443" s="8">
        <v>0.0</v>
      </c>
      <c r="G443" s="8">
        <v>-2.052811949E7</v>
      </c>
      <c r="H443" s="8">
        <v>2.5171877E7</v>
      </c>
      <c r="I443" s="147">
        <f t="shared" si="1"/>
        <v>4643757.51</v>
      </c>
    </row>
    <row r="444">
      <c r="A444" s="59">
        <v>46261.0</v>
      </c>
      <c r="B444" s="8" t="s">
        <v>678</v>
      </c>
      <c r="C444" s="8" t="s">
        <v>679</v>
      </c>
      <c r="D444" s="59">
        <v>46260.0</v>
      </c>
      <c r="E444" s="8">
        <v>0.0</v>
      </c>
      <c r="G444" s="8">
        <v>-2.052811949E7</v>
      </c>
      <c r="H444" s="8">
        <v>2.5216645E7</v>
      </c>
      <c r="I444" s="147">
        <f t="shared" si="1"/>
        <v>4688525.51</v>
      </c>
    </row>
    <row r="445">
      <c r="A445" s="59">
        <v>46262.0</v>
      </c>
      <c r="B445" s="8" t="s">
        <v>678</v>
      </c>
      <c r="C445" s="8" t="s">
        <v>679</v>
      </c>
      <c r="D445" s="59">
        <v>46261.0</v>
      </c>
      <c r="E445" s="8">
        <v>0.0</v>
      </c>
      <c r="G445" s="8">
        <v>-2.052811949E7</v>
      </c>
      <c r="H445" s="8">
        <v>2.5390929E7</v>
      </c>
      <c r="I445" s="147">
        <f t="shared" si="1"/>
        <v>4862809.51</v>
      </c>
    </row>
    <row r="446">
      <c r="A446" s="59">
        <v>46265.0</v>
      </c>
      <c r="B446" s="8" t="s">
        <v>678</v>
      </c>
      <c r="C446" s="8" t="s">
        <v>679</v>
      </c>
      <c r="D446" s="59">
        <v>46262.0</v>
      </c>
      <c r="E446" s="8">
        <v>0.0</v>
      </c>
      <c r="G446" s="8">
        <v>-2.052811949E7</v>
      </c>
      <c r="H446" s="8">
        <v>2.5460902E7</v>
      </c>
      <c r="I446" s="147">
        <f t="shared" si="1"/>
        <v>4932782.51</v>
      </c>
    </row>
    <row r="447">
      <c r="A447" s="59">
        <v>46266.0</v>
      </c>
      <c r="B447" s="8" t="s">
        <v>678</v>
      </c>
      <c r="C447" s="8" t="s">
        <v>679</v>
      </c>
      <c r="D447" s="59">
        <v>46265.0</v>
      </c>
      <c r="E447" s="8">
        <v>0.0</v>
      </c>
      <c r="G447" s="8">
        <v>-2.052811949E7</v>
      </c>
      <c r="H447" s="8">
        <v>2.5278893E7</v>
      </c>
      <c r="I447" s="147">
        <f t="shared" si="1"/>
        <v>4750773.51</v>
      </c>
    </row>
    <row r="448">
      <c r="A448" s="59">
        <v>46267.0</v>
      </c>
      <c r="B448" s="8" t="s">
        <v>678</v>
      </c>
      <c r="C448" s="8" t="s">
        <v>679</v>
      </c>
      <c r="D448" s="59">
        <v>46266.0</v>
      </c>
      <c r="E448" s="8">
        <v>0.0</v>
      </c>
      <c r="G448" s="8">
        <v>-2.052811949E7</v>
      </c>
      <c r="H448" s="8">
        <v>2.5086359E7</v>
      </c>
      <c r="I448" s="147">
        <f t="shared" si="1"/>
        <v>4558239.51</v>
      </c>
    </row>
    <row r="449">
      <c r="A449" s="59">
        <v>46268.0</v>
      </c>
      <c r="B449" s="8" t="s">
        <v>678</v>
      </c>
      <c r="C449" s="8" t="s">
        <v>679</v>
      </c>
      <c r="D449" s="59">
        <v>46267.0</v>
      </c>
      <c r="E449" s="8">
        <v>0.0</v>
      </c>
      <c r="G449" s="8">
        <v>-2.052811949E7</v>
      </c>
      <c r="H449" s="8">
        <v>2.4862646E7</v>
      </c>
      <c r="I449" s="147">
        <f t="shared" si="1"/>
        <v>4334526.51</v>
      </c>
    </row>
    <row r="450">
      <c r="A450" s="59">
        <v>46269.0</v>
      </c>
      <c r="B450" s="8" t="s">
        <v>678</v>
      </c>
      <c r="C450" s="8" t="s">
        <v>679</v>
      </c>
      <c r="D450" s="59">
        <v>46268.0</v>
      </c>
      <c r="E450" s="8">
        <v>0.0</v>
      </c>
      <c r="G450" s="8">
        <v>-2.052811949E7</v>
      </c>
      <c r="H450" s="8">
        <v>2.511746E7</v>
      </c>
      <c r="I450" s="147">
        <f t="shared" si="1"/>
        <v>4589340.51</v>
      </c>
    </row>
    <row r="451">
      <c r="A451" s="59">
        <v>46272.0</v>
      </c>
      <c r="B451" s="8" t="s">
        <v>678</v>
      </c>
      <c r="C451" s="8" t="s">
        <v>679</v>
      </c>
      <c r="D451" s="59">
        <v>46269.0</v>
      </c>
      <c r="E451" s="8">
        <v>0.0</v>
      </c>
      <c r="G451" s="8">
        <v>-2.052811949E7</v>
      </c>
      <c r="H451" s="8">
        <v>2.5053969E7</v>
      </c>
      <c r="I451" s="147">
        <f t="shared" si="1"/>
        <v>4525849.51</v>
      </c>
    </row>
    <row r="452">
      <c r="A452" s="59">
        <v>46273.0</v>
      </c>
      <c r="B452" s="8" t="s">
        <v>678</v>
      </c>
      <c r="C452" s="8" t="s">
        <v>679</v>
      </c>
      <c r="D452" s="59">
        <v>46272.0</v>
      </c>
      <c r="E452" s="8">
        <v>0.0</v>
      </c>
      <c r="G452" s="8">
        <v>-2.052811949E7</v>
      </c>
      <c r="H452" s="8">
        <v>2.519177E7</v>
      </c>
      <c r="I452" s="147">
        <f t="shared" si="1"/>
        <v>4663650.51</v>
      </c>
    </row>
    <row r="453">
      <c r="A453" s="59">
        <v>46274.0</v>
      </c>
      <c r="B453" s="8" t="s">
        <v>678</v>
      </c>
      <c r="C453" s="8" t="s">
        <v>679</v>
      </c>
      <c r="D453" s="59">
        <v>46273.0</v>
      </c>
      <c r="E453" s="8">
        <v>0.0</v>
      </c>
      <c r="G453" s="8">
        <v>-2.052811949E7</v>
      </c>
      <c r="H453" s="8">
        <v>2.5482419E7</v>
      </c>
      <c r="I453" s="147">
        <f t="shared" si="1"/>
        <v>4954299.51</v>
      </c>
    </row>
    <row r="454">
      <c r="A454" s="59">
        <v>46275.0</v>
      </c>
      <c r="B454" s="8" t="s">
        <v>678</v>
      </c>
      <c r="C454" s="8" t="s">
        <v>679</v>
      </c>
      <c r="D454" s="59">
        <v>46274.0</v>
      </c>
      <c r="E454" s="8">
        <v>0.0</v>
      </c>
      <c r="G454" s="8">
        <v>-2.052811949E7</v>
      </c>
      <c r="H454" s="8">
        <v>2.5550453E7</v>
      </c>
      <c r="I454" s="147">
        <f t="shared" si="1"/>
        <v>5022333.51</v>
      </c>
    </row>
    <row r="455">
      <c r="A455" s="59">
        <v>46276.0</v>
      </c>
      <c r="B455" s="8" t="s">
        <v>678</v>
      </c>
      <c r="C455" s="8" t="s">
        <v>679</v>
      </c>
      <c r="D455" s="59">
        <v>46275.0</v>
      </c>
      <c r="E455" s="8">
        <v>0.0</v>
      </c>
      <c r="G455" s="8">
        <v>-2.052811949E7</v>
      </c>
      <c r="H455" s="8">
        <v>2.5581781E7</v>
      </c>
      <c r="I455" s="147">
        <f t="shared" si="1"/>
        <v>5053661.51</v>
      </c>
    </row>
    <row r="456">
      <c r="A456" s="59">
        <v>46280.0</v>
      </c>
      <c r="B456" s="8" t="s">
        <v>678</v>
      </c>
      <c r="C456" s="8" t="s">
        <v>679</v>
      </c>
      <c r="D456" s="59">
        <v>46276.0</v>
      </c>
      <c r="E456" s="8">
        <v>0.0</v>
      </c>
      <c r="G456" s="8">
        <v>-2.052811949E7</v>
      </c>
      <c r="H456" s="8">
        <v>2.5396417E7</v>
      </c>
      <c r="I456" s="147">
        <f t="shared" si="1"/>
        <v>4868297.51</v>
      </c>
    </row>
    <row r="457">
      <c r="A457" s="59">
        <v>46281.0</v>
      </c>
      <c r="B457" s="8" t="s">
        <v>678</v>
      </c>
      <c r="C457" s="8" t="s">
        <v>679</v>
      </c>
      <c r="D457" s="59">
        <v>46280.0</v>
      </c>
      <c r="E457" s="8">
        <v>0.0</v>
      </c>
      <c r="G457" s="8">
        <v>-2.052811949E7</v>
      </c>
      <c r="H457" s="8">
        <v>2.4384874E7</v>
      </c>
      <c r="I457" s="147">
        <f t="shared" si="1"/>
        <v>3856754.51</v>
      </c>
    </row>
    <row r="458">
      <c r="A458" s="59">
        <v>46282.0</v>
      </c>
      <c r="B458" s="8" t="s">
        <v>678</v>
      </c>
      <c r="C458" s="8" t="s">
        <v>679</v>
      </c>
      <c r="D458" s="59">
        <v>46281.0</v>
      </c>
      <c r="E458" s="8">
        <v>0.0</v>
      </c>
      <c r="G458" s="8">
        <v>-2.052811949E7</v>
      </c>
      <c r="H458" s="8">
        <v>2.4377781E7</v>
      </c>
      <c r="I458" s="147">
        <f t="shared" si="1"/>
        <v>3849661.51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sheetData>
    <row r="1">
      <c r="E1" s="8" t="s">
        <v>353</v>
      </c>
      <c r="F1" s="8" t="s">
        <v>353</v>
      </c>
      <c r="G1" s="8" t="s">
        <v>355</v>
      </c>
      <c r="H1" s="8" t="s">
        <v>356</v>
      </c>
      <c r="I1" s="8" t="s">
        <v>357</v>
      </c>
    </row>
    <row r="2">
      <c r="A2" s="59">
        <v>45660.0</v>
      </c>
      <c r="B2" s="8" t="s">
        <v>544</v>
      </c>
      <c r="C2" s="8" t="s">
        <v>545</v>
      </c>
      <c r="D2" s="59">
        <v>45659.0</v>
      </c>
      <c r="E2" s="8">
        <v>2.00639877E7</v>
      </c>
      <c r="F2" s="8">
        <v>0.0</v>
      </c>
      <c r="G2" s="8">
        <v>-2.00639877E7</v>
      </c>
      <c r="H2" s="8">
        <v>2.0272262E7</v>
      </c>
      <c r="I2" s="14">
        <f t="shared" ref="I2:I424" si="1">G2+H2</f>
        <v>208274.3</v>
      </c>
    </row>
    <row r="3">
      <c r="A3" s="59">
        <v>45663.0</v>
      </c>
      <c r="B3" s="8" t="s">
        <v>544</v>
      </c>
      <c r="C3" s="8" t="s">
        <v>545</v>
      </c>
      <c r="D3" s="59">
        <v>45660.0</v>
      </c>
      <c r="F3" s="8">
        <v>0.0</v>
      </c>
      <c r="G3" s="8">
        <v>-2.00639877E7</v>
      </c>
      <c r="H3" s="8">
        <v>2.015415E7</v>
      </c>
      <c r="I3" s="14">
        <f t="shared" si="1"/>
        <v>90162.3</v>
      </c>
    </row>
    <row r="4">
      <c r="A4" s="59">
        <v>45664.0</v>
      </c>
      <c r="B4" s="8" t="s">
        <v>544</v>
      </c>
      <c r="C4" s="8" t="s">
        <v>545</v>
      </c>
      <c r="D4" s="59">
        <v>45663.0</v>
      </c>
      <c r="F4" s="8">
        <v>0.0</v>
      </c>
      <c r="G4" s="8">
        <v>-2.00639877E7</v>
      </c>
      <c r="H4" s="8">
        <v>1.947731E7</v>
      </c>
      <c r="I4" s="14">
        <f t="shared" si="1"/>
        <v>-586677.7</v>
      </c>
    </row>
    <row r="5">
      <c r="A5" s="59">
        <v>45665.0</v>
      </c>
      <c r="B5" s="8" t="s">
        <v>544</v>
      </c>
      <c r="C5" s="8" t="s">
        <v>545</v>
      </c>
      <c r="D5" s="59">
        <v>45664.0</v>
      </c>
      <c r="F5" s="8">
        <v>0.0</v>
      </c>
      <c r="G5" s="8">
        <v>-2.00639877E7</v>
      </c>
      <c r="H5" s="8">
        <v>1.9602556E7</v>
      </c>
      <c r="I5" s="14">
        <f t="shared" si="1"/>
        <v>-461431.7</v>
      </c>
    </row>
    <row r="6">
      <c r="A6" s="59">
        <v>45666.0</v>
      </c>
      <c r="B6" s="8" t="s">
        <v>544</v>
      </c>
      <c r="C6" s="8" t="s">
        <v>545</v>
      </c>
      <c r="D6" s="59">
        <v>45665.0</v>
      </c>
      <c r="F6" s="8">
        <v>0.0</v>
      </c>
      <c r="G6" s="8">
        <v>-2.00639877E7</v>
      </c>
      <c r="H6" s="8">
        <v>1.9166293E7</v>
      </c>
      <c r="I6" s="14">
        <f t="shared" si="1"/>
        <v>-897694.7</v>
      </c>
    </row>
    <row r="7">
      <c r="A7" s="59">
        <v>45667.0</v>
      </c>
      <c r="B7" s="8" t="s">
        <v>544</v>
      </c>
      <c r="C7" s="8" t="s">
        <v>545</v>
      </c>
      <c r="D7" s="59">
        <v>45666.0</v>
      </c>
      <c r="F7" s="8">
        <v>0.0</v>
      </c>
      <c r="G7" s="8">
        <v>-2.00639877E7</v>
      </c>
      <c r="H7" s="8">
        <v>1.87412E7</v>
      </c>
      <c r="I7" s="14">
        <f t="shared" si="1"/>
        <v>-1322787.7</v>
      </c>
    </row>
    <row r="8">
      <c r="A8" s="59">
        <v>45670.0</v>
      </c>
      <c r="B8" s="8" t="s">
        <v>544</v>
      </c>
      <c r="C8" s="8" t="s">
        <v>545</v>
      </c>
      <c r="D8" s="59">
        <v>45667.0</v>
      </c>
      <c r="F8" s="8">
        <v>0.0</v>
      </c>
      <c r="G8" s="8">
        <v>-2.00639877E7</v>
      </c>
      <c r="H8" s="8">
        <v>1.8269488E7</v>
      </c>
      <c r="I8" s="14">
        <f t="shared" si="1"/>
        <v>-1794499.7</v>
      </c>
    </row>
    <row r="9">
      <c r="A9" s="59">
        <v>45671.0</v>
      </c>
      <c r="B9" s="8" t="s">
        <v>544</v>
      </c>
      <c r="C9" s="8" t="s">
        <v>545</v>
      </c>
      <c r="D9" s="59">
        <v>45670.0</v>
      </c>
      <c r="F9" s="8">
        <v>0.0</v>
      </c>
      <c r="G9" s="8">
        <v>-2.00639877E7</v>
      </c>
      <c r="H9" s="8">
        <v>1.7439136E7</v>
      </c>
      <c r="I9" s="14">
        <f t="shared" si="1"/>
        <v>-2624851.7</v>
      </c>
    </row>
    <row r="10">
      <c r="A10" s="59">
        <v>45672.0</v>
      </c>
      <c r="B10" s="8" t="s">
        <v>544</v>
      </c>
      <c r="C10" s="8" t="s">
        <v>545</v>
      </c>
      <c r="D10" s="59">
        <v>45671.0</v>
      </c>
      <c r="F10" s="8">
        <v>0.0</v>
      </c>
      <c r="G10" s="8">
        <v>-2.00639877E7</v>
      </c>
      <c r="H10" s="8">
        <v>1.7814808E7</v>
      </c>
      <c r="I10" s="14">
        <f t="shared" si="1"/>
        <v>-2249179.7</v>
      </c>
    </row>
    <row r="11">
      <c r="A11" s="59">
        <v>45673.0</v>
      </c>
      <c r="B11" s="8" t="s">
        <v>544</v>
      </c>
      <c r="C11" s="8" t="s">
        <v>545</v>
      </c>
      <c r="D11" s="59">
        <v>45672.0</v>
      </c>
      <c r="F11" s="8">
        <v>0.0</v>
      </c>
      <c r="G11" s="8">
        <v>-2.00639877E7</v>
      </c>
      <c r="H11" s="8">
        <v>1.8077302E7</v>
      </c>
      <c r="I11" s="14">
        <f t="shared" si="1"/>
        <v>-1986685.7</v>
      </c>
    </row>
    <row r="12">
      <c r="A12" s="59">
        <v>45674.0</v>
      </c>
      <c r="B12" s="8" t="s">
        <v>544</v>
      </c>
      <c r="C12" s="8" t="s">
        <v>545</v>
      </c>
      <c r="D12" s="59">
        <v>45673.0</v>
      </c>
      <c r="F12" s="8">
        <v>0.0</v>
      </c>
      <c r="G12" s="8">
        <v>-2.00639877E7</v>
      </c>
      <c r="H12" s="8">
        <v>1.8179033E7</v>
      </c>
      <c r="I12" s="14">
        <f t="shared" si="1"/>
        <v>-1884954.7</v>
      </c>
    </row>
    <row r="13">
      <c r="A13" s="59">
        <v>45677.0</v>
      </c>
      <c r="B13" s="8" t="s">
        <v>544</v>
      </c>
      <c r="C13" s="8" t="s">
        <v>545</v>
      </c>
      <c r="D13" s="59">
        <v>45674.0</v>
      </c>
      <c r="F13" s="8">
        <v>0.0</v>
      </c>
      <c r="G13" s="8">
        <v>-2.00639877E7</v>
      </c>
      <c r="H13" s="8">
        <v>1.8129827E7</v>
      </c>
      <c r="I13" s="14">
        <f t="shared" si="1"/>
        <v>-1934160.7</v>
      </c>
    </row>
    <row r="14">
      <c r="A14" s="59">
        <v>45678.0</v>
      </c>
      <c r="B14" s="8" t="s">
        <v>544</v>
      </c>
      <c r="C14" s="8" t="s">
        <v>545</v>
      </c>
      <c r="D14" s="59">
        <v>45677.0</v>
      </c>
      <c r="F14" s="8">
        <v>0.0</v>
      </c>
      <c r="G14" s="8">
        <v>-2.00639877E7</v>
      </c>
      <c r="H14" s="8">
        <v>1.8165273E7</v>
      </c>
      <c r="I14" s="14">
        <f t="shared" si="1"/>
        <v>-1898714.7</v>
      </c>
    </row>
    <row r="15">
      <c r="A15" s="59">
        <v>45679.0</v>
      </c>
      <c r="B15" s="8" t="s">
        <v>544</v>
      </c>
      <c r="C15" s="8" t="s">
        <v>545</v>
      </c>
      <c r="D15" s="59">
        <v>45678.0</v>
      </c>
      <c r="F15" s="8">
        <v>0.0</v>
      </c>
      <c r="G15" s="8">
        <v>-2.00639877E7</v>
      </c>
      <c r="H15" s="8">
        <v>1.7288042E7</v>
      </c>
      <c r="I15" s="14">
        <f t="shared" si="1"/>
        <v>-2775945.7</v>
      </c>
    </row>
    <row r="16">
      <c r="A16" s="59">
        <v>45680.0</v>
      </c>
      <c r="B16" s="8" t="s">
        <v>544</v>
      </c>
      <c r="C16" s="8" t="s">
        <v>545</v>
      </c>
      <c r="D16" s="59">
        <v>45679.0</v>
      </c>
      <c r="F16" s="8">
        <v>0.0</v>
      </c>
      <c r="G16" s="8">
        <v>-2.00639877E7</v>
      </c>
      <c r="H16" s="8">
        <v>1.711098E7</v>
      </c>
      <c r="I16" s="14">
        <f t="shared" si="1"/>
        <v>-2953007.7</v>
      </c>
    </row>
    <row r="17">
      <c r="A17" s="59">
        <v>45681.0</v>
      </c>
      <c r="B17" s="8" t="s">
        <v>544</v>
      </c>
      <c r="C17" s="8" t="s">
        <v>545</v>
      </c>
      <c r="D17" s="59">
        <v>45680.0</v>
      </c>
      <c r="F17" s="8">
        <v>0.0</v>
      </c>
      <c r="G17" s="8">
        <v>-2.00639877E7</v>
      </c>
      <c r="H17" s="8">
        <v>1.7450947E7</v>
      </c>
      <c r="I17" s="14">
        <f t="shared" si="1"/>
        <v>-2613040.7</v>
      </c>
    </row>
    <row r="18">
      <c r="A18" s="59">
        <v>45684.0</v>
      </c>
      <c r="B18" s="8" t="s">
        <v>544</v>
      </c>
      <c r="C18" s="8" t="s">
        <v>545</v>
      </c>
      <c r="D18" s="59">
        <v>45681.0</v>
      </c>
      <c r="F18" s="8">
        <v>0.0</v>
      </c>
      <c r="G18" s="8">
        <v>-2.00639877E7</v>
      </c>
      <c r="H18" s="8">
        <v>1.7129843E7</v>
      </c>
      <c r="I18" s="14">
        <f t="shared" si="1"/>
        <v>-2934144.7</v>
      </c>
    </row>
    <row r="19">
      <c r="A19" s="59">
        <v>45685.0</v>
      </c>
      <c r="B19" s="8" t="s">
        <v>544</v>
      </c>
      <c r="C19" s="8" t="s">
        <v>545</v>
      </c>
      <c r="D19" s="59">
        <v>45684.0</v>
      </c>
      <c r="F19" s="8">
        <v>0.0</v>
      </c>
      <c r="G19" s="8">
        <v>-2.00639877E7</v>
      </c>
      <c r="H19" s="8">
        <v>1.6479652E7</v>
      </c>
      <c r="I19" s="14">
        <f t="shared" si="1"/>
        <v>-3584335.7</v>
      </c>
    </row>
    <row r="20">
      <c r="A20" s="59">
        <v>45686.0</v>
      </c>
      <c r="B20" s="8" t="s">
        <v>544</v>
      </c>
      <c r="C20" s="8" t="s">
        <v>545</v>
      </c>
      <c r="D20" s="59">
        <v>45685.0</v>
      </c>
      <c r="F20" s="8">
        <v>0.0</v>
      </c>
      <c r="G20" s="8">
        <v>-2.00639877E7</v>
      </c>
      <c r="H20" s="8">
        <v>1.6200561E7</v>
      </c>
      <c r="I20" s="14">
        <f t="shared" si="1"/>
        <v>-3863426.7</v>
      </c>
    </row>
    <row r="21">
      <c r="A21" s="59">
        <v>45687.0</v>
      </c>
      <c r="B21" s="8" t="s">
        <v>544</v>
      </c>
      <c r="C21" s="8" t="s">
        <v>545</v>
      </c>
      <c r="D21" s="59">
        <v>45686.0</v>
      </c>
      <c r="F21" s="8">
        <v>0.0</v>
      </c>
      <c r="G21" s="8">
        <v>-2.00639877E7</v>
      </c>
      <c r="H21" s="8">
        <v>1.673018E7</v>
      </c>
      <c r="I21" s="14">
        <f t="shared" si="1"/>
        <v>-3333807.7</v>
      </c>
    </row>
    <row r="22">
      <c r="A22" s="59">
        <v>45688.0</v>
      </c>
      <c r="B22" s="8" t="s">
        <v>544</v>
      </c>
      <c r="C22" s="8" t="s">
        <v>545</v>
      </c>
      <c r="D22" s="59">
        <v>45687.0</v>
      </c>
      <c r="F22" s="8">
        <v>0.0</v>
      </c>
      <c r="G22" s="8">
        <v>-2.00639877E7</v>
      </c>
      <c r="H22" s="8">
        <v>1.6356072E7</v>
      </c>
      <c r="I22" s="14">
        <f t="shared" si="1"/>
        <v>-3707915.7</v>
      </c>
    </row>
    <row r="23">
      <c r="A23" s="59">
        <v>45689.0</v>
      </c>
      <c r="B23" s="8" t="s">
        <v>544</v>
      </c>
      <c r="C23" s="8" t="s">
        <v>545</v>
      </c>
      <c r="D23" s="59">
        <v>45688.0</v>
      </c>
      <c r="F23" s="8">
        <v>0.0</v>
      </c>
      <c r="G23" s="8">
        <v>-2.00639877E7</v>
      </c>
      <c r="H23" s="8">
        <v>1.6709689E7</v>
      </c>
      <c r="I23" s="14">
        <f t="shared" si="1"/>
        <v>-3354298.7</v>
      </c>
    </row>
    <row r="24">
      <c r="A24" s="59">
        <v>45691.0</v>
      </c>
      <c r="B24" s="8" t="s">
        <v>544</v>
      </c>
      <c r="C24" s="8" t="s">
        <v>545</v>
      </c>
      <c r="D24" s="59">
        <v>45689.0</v>
      </c>
      <c r="F24" s="8">
        <v>0.0</v>
      </c>
      <c r="G24" s="8">
        <v>-2.00639877E7</v>
      </c>
      <c r="H24" s="8">
        <v>1.6774139E7</v>
      </c>
      <c r="I24" s="14">
        <f t="shared" si="1"/>
        <v>-3289848.7</v>
      </c>
    </row>
    <row r="25">
      <c r="A25" s="59">
        <v>45692.0</v>
      </c>
      <c r="B25" s="8" t="s">
        <v>544</v>
      </c>
      <c r="C25" s="8" t="s">
        <v>545</v>
      </c>
      <c r="D25" s="59">
        <v>45691.0</v>
      </c>
      <c r="F25" s="8">
        <v>0.0</v>
      </c>
      <c r="G25" s="8">
        <v>-2.00639877E7</v>
      </c>
      <c r="H25" s="8">
        <v>1.6653473E7</v>
      </c>
      <c r="I25" s="14">
        <f t="shared" si="1"/>
        <v>-3410514.7</v>
      </c>
    </row>
    <row r="26">
      <c r="A26" s="59">
        <v>45693.0</v>
      </c>
      <c r="B26" s="8" t="s">
        <v>544</v>
      </c>
      <c r="C26" s="8" t="s">
        <v>545</v>
      </c>
      <c r="D26" s="59">
        <v>45692.0</v>
      </c>
      <c r="F26" s="8">
        <v>0.0</v>
      </c>
      <c r="G26" s="8">
        <v>-2.00639877E7</v>
      </c>
      <c r="H26" s="8">
        <v>1.6969347E7</v>
      </c>
      <c r="I26" s="14">
        <f t="shared" si="1"/>
        <v>-3094640.7</v>
      </c>
    </row>
    <row r="27">
      <c r="A27" s="59">
        <v>45694.0</v>
      </c>
      <c r="B27" s="8" t="s">
        <v>544</v>
      </c>
      <c r="C27" s="8" t="s">
        <v>545</v>
      </c>
      <c r="D27" s="59">
        <v>45693.0</v>
      </c>
      <c r="F27" s="8">
        <v>0.0</v>
      </c>
      <c r="G27" s="8">
        <v>-2.00639877E7</v>
      </c>
      <c r="H27" s="8">
        <v>1.7322097E7</v>
      </c>
      <c r="I27" s="14">
        <f t="shared" si="1"/>
        <v>-2741890.7</v>
      </c>
    </row>
    <row r="28">
      <c r="A28" s="59">
        <v>45695.0</v>
      </c>
      <c r="B28" s="8" t="s">
        <v>544</v>
      </c>
      <c r="C28" s="8" t="s">
        <v>545</v>
      </c>
      <c r="D28" s="59">
        <v>45694.0</v>
      </c>
      <c r="F28" s="8">
        <v>0.0</v>
      </c>
      <c r="G28" s="8">
        <v>-2.00639877E7</v>
      </c>
      <c r="H28" s="8">
        <v>1.694697E7</v>
      </c>
      <c r="I28" s="14">
        <f t="shared" si="1"/>
        <v>-3117017.7</v>
      </c>
    </row>
    <row r="29">
      <c r="A29" s="59">
        <v>45698.0</v>
      </c>
      <c r="B29" s="8" t="s">
        <v>544</v>
      </c>
      <c r="C29" s="8" t="s">
        <v>545</v>
      </c>
      <c r="D29" s="59">
        <v>45695.0</v>
      </c>
      <c r="F29" s="8">
        <v>0.0</v>
      </c>
      <c r="G29" s="8">
        <v>-2.00639877E7</v>
      </c>
      <c r="H29" s="8">
        <v>1.7201627E7</v>
      </c>
      <c r="I29" s="14">
        <f t="shared" si="1"/>
        <v>-2862360.7</v>
      </c>
    </row>
    <row r="30">
      <c r="A30" s="59">
        <v>45699.0</v>
      </c>
      <c r="B30" s="8" t="s">
        <v>544</v>
      </c>
      <c r="C30" s="8" t="s">
        <v>545</v>
      </c>
      <c r="D30" s="59">
        <v>45698.0</v>
      </c>
      <c r="F30" s="8">
        <v>0.0</v>
      </c>
      <c r="G30" s="8">
        <v>-2.00639877E7</v>
      </c>
      <c r="H30" s="8">
        <v>1.6701252E7</v>
      </c>
      <c r="I30" s="14">
        <f t="shared" si="1"/>
        <v>-3362735.7</v>
      </c>
    </row>
    <row r="31">
      <c r="A31" s="59">
        <v>45700.0</v>
      </c>
      <c r="B31" s="8" t="s">
        <v>544</v>
      </c>
      <c r="C31" s="8" t="s">
        <v>545</v>
      </c>
      <c r="D31" s="59">
        <v>45699.0</v>
      </c>
      <c r="F31" s="8">
        <v>0.0</v>
      </c>
      <c r="G31" s="8">
        <v>-2.00639877E7</v>
      </c>
      <c r="H31" s="8">
        <v>1.6119461E7</v>
      </c>
      <c r="I31" s="14">
        <f t="shared" si="1"/>
        <v>-3944526.7</v>
      </c>
    </row>
    <row r="32">
      <c r="A32" s="59">
        <v>45701.0</v>
      </c>
      <c r="B32" s="8" t="s">
        <v>544</v>
      </c>
      <c r="C32" s="8" t="s">
        <v>545</v>
      </c>
      <c r="D32" s="59">
        <v>45700.0</v>
      </c>
      <c r="F32" s="8">
        <v>0.0</v>
      </c>
      <c r="G32" s="8">
        <v>-2.00639877E7</v>
      </c>
      <c r="H32" s="8">
        <v>1.6124378E7</v>
      </c>
      <c r="I32" s="14">
        <f t="shared" si="1"/>
        <v>-3939609.7</v>
      </c>
    </row>
    <row r="33">
      <c r="A33" s="59">
        <v>45702.0</v>
      </c>
      <c r="B33" s="8" t="s">
        <v>544</v>
      </c>
      <c r="C33" s="8" t="s">
        <v>545</v>
      </c>
      <c r="D33" s="59">
        <v>45701.0</v>
      </c>
      <c r="F33" s="8">
        <v>0.0</v>
      </c>
      <c r="G33" s="8">
        <v>-2.00639877E7</v>
      </c>
      <c r="H33" s="8">
        <v>1.6128171E7</v>
      </c>
      <c r="I33" s="14">
        <f t="shared" si="1"/>
        <v>-3935816.7</v>
      </c>
    </row>
    <row r="34">
      <c r="A34" s="59">
        <v>45705.0</v>
      </c>
      <c r="B34" s="8" t="s">
        <v>544</v>
      </c>
      <c r="C34" s="8" t="s">
        <v>545</v>
      </c>
      <c r="D34" s="59">
        <v>45702.0</v>
      </c>
      <c r="F34" s="8">
        <v>0.0</v>
      </c>
      <c r="G34" s="8">
        <v>-2.00639877E7</v>
      </c>
      <c r="H34" s="8">
        <v>1.5625973E7</v>
      </c>
      <c r="I34" s="14">
        <f t="shared" si="1"/>
        <v>-4438014.7</v>
      </c>
    </row>
    <row r="35">
      <c r="A35" s="59">
        <v>45706.0</v>
      </c>
      <c r="B35" s="8" t="s">
        <v>544</v>
      </c>
      <c r="C35" s="8" t="s">
        <v>545</v>
      </c>
      <c r="D35" s="59">
        <v>45705.0</v>
      </c>
      <c r="F35" s="8">
        <v>0.0</v>
      </c>
      <c r="G35" s="8">
        <v>-2.00639877E7</v>
      </c>
      <c r="H35" s="8">
        <v>1.5697892E7</v>
      </c>
      <c r="I35" s="14">
        <f t="shared" si="1"/>
        <v>-4366095.7</v>
      </c>
    </row>
    <row r="36">
      <c r="A36" s="59">
        <v>45708.0</v>
      </c>
      <c r="B36" s="8" t="s">
        <v>544</v>
      </c>
      <c r="C36" s="8" t="s">
        <v>545</v>
      </c>
      <c r="D36" s="59">
        <v>45706.0</v>
      </c>
      <c r="F36" s="8">
        <v>0.0</v>
      </c>
      <c r="G36" s="8">
        <v>-2.00639877E7</v>
      </c>
      <c r="H36" s="8">
        <v>1.5608513E7</v>
      </c>
      <c r="I36" s="14">
        <f t="shared" si="1"/>
        <v>-4455474.7</v>
      </c>
    </row>
    <row r="37">
      <c r="A37" s="59">
        <v>45708.0</v>
      </c>
      <c r="B37" s="8" t="s">
        <v>544</v>
      </c>
      <c r="C37" s="8" t="s">
        <v>545</v>
      </c>
      <c r="D37" s="59">
        <v>45707.0</v>
      </c>
      <c r="F37" s="8">
        <v>0.0</v>
      </c>
      <c r="G37" s="8">
        <v>-2.00639877E7</v>
      </c>
      <c r="H37" s="8">
        <v>1.5902717E7</v>
      </c>
      <c r="I37" s="14">
        <f t="shared" si="1"/>
        <v>-4161270.7</v>
      </c>
    </row>
    <row r="38">
      <c r="A38" s="59">
        <v>45709.0</v>
      </c>
      <c r="B38" s="8" t="s">
        <v>544</v>
      </c>
      <c r="C38" s="8" t="s">
        <v>545</v>
      </c>
      <c r="D38" s="59">
        <v>45708.0</v>
      </c>
      <c r="F38" s="8">
        <v>0.0</v>
      </c>
      <c r="G38" s="8">
        <v>-2.00639877E7</v>
      </c>
      <c r="H38" s="8">
        <v>1.6139084E7</v>
      </c>
      <c r="I38" s="14">
        <f t="shared" si="1"/>
        <v>-3924903.7</v>
      </c>
    </row>
    <row r="39">
      <c r="A39" s="59">
        <v>45712.0</v>
      </c>
      <c r="B39" s="8" t="s">
        <v>544</v>
      </c>
      <c r="C39" s="8" t="s">
        <v>545</v>
      </c>
      <c r="D39" s="59">
        <v>45709.0</v>
      </c>
      <c r="F39" s="8">
        <v>0.0</v>
      </c>
      <c r="G39" s="8">
        <v>-2.00639877E7</v>
      </c>
      <c r="H39" s="8">
        <v>1.5899433E7</v>
      </c>
      <c r="I39" s="14">
        <f t="shared" si="1"/>
        <v>-4164554.7</v>
      </c>
    </row>
    <row r="40">
      <c r="A40" s="59">
        <v>45713.0</v>
      </c>
      <c r="B40" s="8" t="s">
        <v>544</v>
      </c>
      <c r="C40" s="8" t="s">
        <v>545</v>
      </c>
      <c r="D40" s="59">
        <v>45712.0</v>
      </c>
      <c r="F40" s="8">
        <v>0.0</v>
      </c>
      <c r="G40" s="8">
        <v>-2.00639877E7</v>
      </c>
      <c r="H40" s="8">
        <v>1.5680253E7</v>
      </c>
      <c r="I40" s="14">
        <f t="shared" si="1"/>
        <v>-4383734.7</v>
      </c>
    </row>
    <row r="41">
      <c r="A41" s="59">
        <v>45715.0</v>
      </c>
      <c r="B41" s="8" t="s">
        <v>544</v>
      </c>
      <c r="C41" s="8" t="s">
        <v>545</v>
      </c>
      <c r="D41" s="59">
        <v>45713.0</v>
      </c>
      <c r="F41" s="8">
        <v>0.0</v>
      </c>
      <c r="G41" s="8">
        <v>-2.00639877E7</v>
      </c>
      <c r="H41" s="8">
        <v>1.5503391E7</v>
      </c>
      <c r="I41" s="14">
        <f t="shared" si="1"/>
        <v>-4560596.7</v>
      </c>
    </row>
    <row r="42">
      <c r="A42" s="59">
        <v>45716.0</v>
      </c>
      <c r="B42" s="8" t="s">
        <v>544</v>
      </c>
      <c r="C42" s="8" t="s">
        <v>545</v>
      </c>
      <c r="D42" s="59">
        <v>45715.0</v>
      </c>
      <c r="F42" s="8">
        <v>0.0</v>
      </c>
      <c r="G42" s="8">
        <v>-2.00639877E7</v>
      </c>
      <c r="H42" s="8">
        <v>1.5239137E7</v>
      </c>
      <c r="I42" s="14">
        <f t="shared" si="1"/>
        <v>-4824850.7</v>
      </c>
    </row>
    <row r="43">
      <c r="A43" s="59">
        <v>45719.0</v>
      </c>
      <c r="B43" s="8" t="s">
        <v>544</v>
      </c>
      <c r="C43" s="8" t="s">
        <v>545</v>
      </c>
      <c r="D43" s="59">
        <v>45716.0</v>
      </c>
      <c r="F43" s="8">
        <v>0.0</v>
      </c>
      <c r="G43" s="8">
        <v>-2.00639877E7</v>
      </c>
      <c r="H43" s="8">
        <v>1.4750574E7</v>
      </c>
      <c r="I43" s="14">
        <f t="shared" si="1"/>
        <v>-5313413.7</v>
      </c>
    </row>
    <row r="44">
      <c r="A44" s="59">
        <v>45720.0</v>
      </c>
      <c r="B44" s="8" t="s">
        <v>544</v>
      </c>
      <c r="C44" s="8" t="s">
        <v>545</v>
      </c>
      <c r="D44" s="59">
        <v>45719.0</v>
      </c>
      <c r="F44" s="8">
        <v>0.0</v>
      </c>
      <c r="G44" s="8">
        <v>-2.00639877E7</v>
      </c>
      <c r="H44" s="8">
        <v>1.4745404E7</v>
      </c>
      <c r="I44" s="14">
        <f t="shared" si="1"/>
        <v>-5318583.7</v>
      </c>
    </row>
    <row r="45">
      <c r="A45" s="59">
        <v>45721.0</v>
      </c>
      <c r="B45" s="8" t="s">
        <v>544</v>
      </c>
      <c r="C45" s="8" t="s">
        <v>545</v>
      </c>
      <c r="D45" s="59">
        <v>45720.0</v>
      </c>
      <c r="F45" s="8">
        <v>0.0</v>
      </c>
      <c r="G45" s="8">
        <v>-2.00639877E7</v>
      </c>
      <c r="H45" s="8">
        <v>1.4781016E7</v>
      </c>
      <c r="I45" s="14">
        <f t="shared" si="1"/>
        <v>-5282971.7</v>
      </c>
    </row>
    <row r="46">
      <c r="A46" s="59">
        <v>45722.0</v>
      </c>
      <c r="B46" s="8" t="s">
        <v>544</v>
      </c>
      <c r="C46" s="8" t="s">
        <v>545</v>
      </c>
      <c r="D46" s="59">
        <v>45721.0</v>
      </c>
      <c r="F46" s="8">
        <v>0.0</v>
      </c>
      <c r="G46" s="8">
        <v>-2.00639877E7</v>
      </c>
      <c r="H46" s="8">
        <v>1.5108102E7</v>
      </c>
      <c r="I46" s="14">
        <f t="shared" si="1"/>
        <v>-4955885.7</v>
      </c>
    </row>
    <row r="47">
      <c r="A47" s="59">
        <v>45723.0</v>
      </c>
      <c r="B47" s="8" t="s">
        <v>544</v>
      </c>
      <c r="C47" s="8" t="s">
        <v>545</v>
      </c>
      <c r="D47" s="59">
        <v>45722.0</v>
      </c>
      <c r="F47" s="8">
        <v>0.0</v>
      </c>
      <c r="G47" s="8">
        <v>-2.00639877E7</v>
      </c>
      <c r="H47" s="8">
        <v>1.5114352E7</v>
      </c>
      <c r="I47" s="14">
        <f t="shared" si="1"/>
        <v>-4949635.7</v>
      </c>
    </row>
    <row r="48">
      <c r="A48" s="59">
        <v>45726.0</v>
      </c>
      <c r="B48" s="8" t="s">
        <v>544</v>
      </c>
      <c r="C48" s="8" t="s">
        <v>545</v>
      </c>
      <c r="D48" s="59">
        <v>45723.0</v>
      </c>
      <c r="F48" s="8">
        <v>0.0</v>
      </c>
      <c r="G48" s="8">
        <v>-2.00639877E7</v>
      </c>
      <c r="H48" s="8">
        <v>1.4936119E7</v>
      </c>
      <c r="I48" s="14">
        <f t="shared" si="1"/>
        <v>-5127868.7</v>
      </c>
    </row>
    <row r="49">
      <c r="A49" s="59">
        <v>45727.0</v>
      </c>
      <c r="B49" s="8" t="s">
        <v>544</v>
      </c>
      <c r="C49" s="8" t="s">
        <v>545</v>
      </c>
      <c r="D49" s="59">
        <v>45726.0</v>
      </c>
      <c r="F49" s="8">
        <v>0.0</v>
      </c>
      <c r="G49" s="8">
        <v>-2.00639877E7</v>
      </c>
      <c r="H49" s="8">
        <v>1.4599919E7</v>
      </c>
      <c r="I49" s="14">
        <f t="shared" si="1"/>
        <v>-5464068.7</v>
      </c>
    </row>
    <row r="50">
      <c r="A50" s="59">
        <v>45728.0</v>
      </c>
      <c r="B50" s="8" t="s">
        <v>544</v>
      </c>
      <c r="C50" s="8" t="s">
        <v>545</v>
      </c>
      <c r="D50" s="59">
        <v>45727.0</v>
      </c>
      <c r="F50" s="8">
        <v>0.0</v>
      </c>
      <c r="G50" s="8">
        <v>-2.00639877E7</v>
      </c>
      <c r="H50" s="8">
        <v>1.4738218E7</v>
      </c>
      <c r="I50" s="14">
        <f t="shared" si="1"/>
        <v>-5325769.7</v>
      </c>
    </row>
    <row r="51">
      <c r="A51" s="59">
        <v>45729.0</v>
      </c>
      <c r="B51" s="8" t="s">
        <v>544</v>
      </c>
      <c r="C51" s="8" t="s">
        <v>545</v>
      </c>
      <c r="D51" s="59">
        <v>45728.0</v>
      </c>
      <c r="F51" s="8">
        <v>0.0</v>
      </c>
      <c r="G51" s="8">
        <v>-2.00639877E7</v>
      </c>
      <c r="H51" s="8">
        <v>1.4715871E7</v>
      </c>
      <c r="I51" s="14">
        <f t="shared" si="1"/>
        <v>-5348116.7</v>
      </c>
    </row>
    <row r="52">
      <c r="A52" s="59">
        <v>45733.0</v>
      </c>
      <c r="B52" s="8" t="s">
        <v>544</v>
      </c>
      <c r="C52" s="8" t="s">
        <v>545</v>
      </c>
      <c r="D52" s="59">
        <v>45729.0</v>
      </c>
      <c r="F52" s="8">
        <v>0.0</v>
      </c>
      <c r="G52" s="8">
        <v>-2.00639877E7</v>
      </c>
      <c r="H52" s="8">
        <v>1.4629499E7</v>
      </c>
      <c r="I52" s="14">
        <f t="shared" si="1"/>
        <v>-5434488.7</v>
      </c>
    </row>
    <row r="53">
      <c r="A53" s="59">
        <v>45734.0</v>
      </c>
      <c r="B53" s="8" t="s">
        <v>544</v>
      </c>
      <c r="C53" s="8" t="s">
        <v>545</v>
      </c>
      <c r="D53" s="59">
        <v>45733.0</v>
      </c>
      <c r="F53" s="8">
        <v>0.0</v>
      </c>
      <c r="G53" s="8">
        <v>-2.00639877E7</v>
      </c>
      <c r="H53" s="8">
        <v>1.4813748E7</v>
      </c>
      <c r="I53" s="14">
        <f t="shared" si="1"/>
        <v>-5250239.7</v>
      </c>
    </row>
    <row r="54">
      <c r="A54" s="59">
        <v>45735.0</v>
      </c>
      <c r="B54" s="8" t="s">
        <v>544</v>
      </c>
      <c r="C54" s="8" t="s">
        <v>545</v>
      </c>
      <c r="D54" s="59">
        <v>45734.0</v>
      </c>
      <c r="F54" s="8">
        <v>0.0</v>
      </c>
      <c r="G54" s="8">
        <v>-2.00639877E7</v>
      </c>
      <c r="H54" s="8">
        <v>1.5321076E7</v>
      </c>
      <c r="I54" s="14">
        <f t="shared" si="1"/>
        <v>-4742911.7</v>
      </c>
    </row>
    <row r="55">
      <c r="A55" s="59">
        <v>45736.0</v>
      </c>
      <c r="B55" s="8" t="s">
        <v>544</v>
      </c>
      <c r="C55" s="8" t="s">
        <v>545</v>
      </c>
      <c r="D55" s="59">
        <v>45735.0</v>
      </c>
      <c r="F55" s="8">
        <v>0.0</v>
      </c>
      <c r="G55" s="8">
        <v>-2.00639877E7</v>
      </c>
      <c r="H55" s="8">
        <v>1.5737312E7</v>
      </c>
      <c r="I55" s="14">
        <f t="shared" si="1"/>
        <v>-4326675.7</v>
      </c>
    </row>
    <row r="56">
      <c r="A56" s="59">
        <v>45737.0</v>
      </c>
      <c r="B56" s="8" t="s">
        <v>544</v>
      </c>
      <c r="C56" s="8" t="s">
        <v>545</v>
      </c>
      <c r="D56" s="59">
        <v>45736.0</v>
      </c>
      <c r="F56" s="8">
        <v>0.0</v>
      </c>
      <c r="G56" s="8">
        <v>-2.00639877E7</v>
      </c>
      <c r="H56" s="8">
        <v>1.5771677E7</v>
      </c>
      <c r="I56" s="14">
        <f t="shared" si="1"/>
        <v>-4292310.7</v>
      </c>
    </row>
    <row r="57">
      <c r="A57" s="59">
        <v>45740.0</v>
      </c>
      <c r="B57" s="8" t="s">
        <v>544</v>
      </c>
      <c r="C57" s="8" t="s">
        <v>545</v>
      </c>
      <c r="D57" s="59">
        <v>45737.0</v>
      </c>
      <c r="F57" s="8">
        <v>0.0</v>
      </c>
      <c r="G57" s="8">
        <v>-2.00639877E7</v>
      </c>
      <c r="H57" s="8">
        <v>1.6004827E7</v>
      </c>
      <c r="I57" s="14">
        <f t="shared" si="1"/>
        <v>-4059160.7</v>
      </c>
    </row>
    <row r="58">
      <c r="A58" s="59">
        <v>45741.0</v>
      </c>
      <c r="B58" s="8" t="s">
        <v>544</v>
      </c>
      <c r="C58" s="8" t="s">
        <v>545</v>
      </c>
      <c r="D58" s="59">
        <v>45740.0</v>
      </c>
      <c r="F58" s="8">
        <v>0.0</v>
      </c>
      <c r="G58" s="8">
        <v>-2.00639877E7</v>
      </c>
      <c r="H58" s="8">
        <v>1.6173356E7</v>
      </c>
      <c r="I58" s="14">
        <f t="shared" si="1"/>
        <v>-3890631.7</v>
      </c>
    </row>
    <row r="59">
      <c r="A59" s="59">
        <v>45742.0</v>
      </c>
      <c r="B59" s="8" t="s">
        <v>544</v>
      </c>
      <c r="C59" s="8" t="s">
        <v>545</v>
      </c>
      <c r="D59" s="59">
        <v>45741.0</v>
      </c>
      <c r="F59" s="8">
        <v>0.0</v>
      </c>
      <c r="G59" s="8">
        <v>-2.00639877E7</v>
      </c>
      <c r="H59" s="8">
        <v>1.5835896E7</v>
      </c>
      <c r="I59" s="14">
        <f t="shared" si="1"/>
        <v>-4228091.7</v>
      </c>
    </row>
    <row r="60">
      <c r="A60" s="59">
        <v>45743.0</v>
      </c>
      <c r="B60" s="8" t="s">
        <v>544</v>
      </c>
      <c r="C60" s="8" t="s">
        <v>545</v>
      </c>
      <c r="D60" s="59">
        <v>45742.0</v>
      </c>
      <c r="F60" s="8">
        <v>0.0</v>
      </c>
      <c r="G60" s="8">
        <v>-2.00639877E7</v>
      </c>
      <c r="H60" s="8">
        <v>1.5670061E7</v>
      </c>
      <c r="I60" s="14">
        <f t="shared" si="1"/>
        <v>-4393926.7</v>
      </c>
    </row>
    <row r="61">
      <c r="A61" s="59">
        <v>45744.0</v>
      </c>
      <c r="B61" s="8" t="s">
        <v>544</v>
      </c>
      <c r="C61" s="8" t="s">
        <v>545</v>
      </c>
      <c r="D61" s="59">
        <v>45743.0</v>
      </c>
      <c r="F61" s="8">
        <v>0.0</v>
      </c>
      <c r="G61" s="8">
        <v>-2.00639877E7</v>
      </c>
      <c r="H61" s="8">
        <v>1.5876539E7</v>
      </c>
      <c r="I61" s="14">
        <f t="shared" si="1"/>
        <v>-4187448.7</v>
      </c>
    </row>
    <row r="62">
      <c r="A62" s="59">
        <v>45749.0</v>
      </c>
      <c r="B62" s="8" t="s">
        <v>544</v>
      </c>
      <c r="C62" s="8" t="s">
        <v>545</v>
      </c>
      <c r="D62" s="59">
        <v>45744.0</v>
      </c>
      <c r="F62" s="8">
        <v>0.0</v>
      </c>
      <c r="G62" s="8">
        <v>-2.00639877E7</v>
      </c>
      <c r="H62" s="8">
        <v>1.5963759E7</v>
      </c>
      <c r="I62" s="14">
        <f t="shared" si="1"/>
        <v>-4100228.7</v>
      </c>
    </row>
    <row r="63">
      <c r="A63" s="59">
        <v>45749.0</v>
      </c>
      <c r="B63" s="8" t="s">
        <v>544</v>
      </c>
      <c r="C63" s="8" t="s">
        <v>545</v>
      </c>
      <c r="D63" s="59">
        <v>45748.0</v>
      </c>
      <c r="F63" s="8">
        <v>0.0</v>
      </c>
      <c r="G63" s="8">
        <v>-2.00639877E7</v>
      </c>
      <c r="H63" s="8">
        <v>1.5776175E7</v>
      </c>
      <c r="I63" s="14">
        <f t="shared" si="1"/>
        <v>-4287812.7</v>
      </c>
    </row>
    <row r="64">
      <c r="A64" s="135">
        <v>45750.0</v>
      </c>
      <c r="B64" s="100" t="s">
        <v>548</v>
      </c>
      <c r="C64" s="100" t="s">
        <v>549</v>
      </c>
      <c r="D64" s="135">
        <v>45749.0</v>
      </c>
      <c r="E64" s="101">
        <v>162389.72</v>
      </c>
      <c r="F64" s="101">
        <v>0.0</v>
      </c>
      <c r="G64" s="101">
        <v>-2.022637742E7</v>
      </c>
      <c r="H64" s="101">
        <v>1.6231498E7</v>
      </c>
      <c r="I64" s="14">
        <f t="shared" si="1"/>
        <v>-3994879.42</v>
      </c>
    </row>
    <row r="65">
      <c r="A65" s="135">
        <v>45751.0</v>
      </c>
      <c r="B65" s="100" t="s">
        <v>548</v>
      </c>
      <c r="C65" s="100" t="s">
        <v>549</v>
      </c>
      <c r="D65" s="135">
        <v>45750.0</v>
      </c>
      <c r="E65" s="101"/>
      <c r="F65" s="101">
        <v>0.0</v>
      </c>
      <c r="G65" s="101">
        <v>-2.022637742E7</v>
      </c>
      <c r="H65" s="101">
        <v>1.6190827E7</v>
      </c>
      <c r="I65" s="14">
        <f t="shared" si="1"/>
        <v>-4035550.42</v>
      </c>
    </row>
    <row r="66">
      <c r="A66" s="135">
        <v>45754.0</v>
      </c>
      <c r="B66" s="100" t="s">
        <v>548</v>
      </c>
      <c r="C66" s="100" t="s">
        <v>549</v>
      </c>
      <c r="D66" s="135">
        <v>45751.0</v>
      </c>
      <c r="E66" s="101"/>
      <c r="F66" s="101">
        <v>0.0</v>
      </c>
      <c r="G66" s="101">
        <v>-2.022637742E7</v>
      </c>
      <c r="H66" s="101">
        <v>1.5642204E7</v>
      </c>
      <c r="I66" s="14">
        <f t="shared" si="1"/>
        <v>-4584173.42</v>
      </c>
    </row>
    <row r="67">
      <c r="A67" s="135">
        <v>45755.0</v>
      </c>
      <c r="B67" s="100" t="s">
        <v>548</v>
      </c>
      <c r="C67" s="100" t="s">
        <v>549</v>
      </c>
      <c r="D67" s="135">
        <v>45754.0</v>
      </c>
      <c r="E67" s="101"/>
      <c r="F67" s="101">
        <v>0.0</v>
      </c>
      <c r="G67" s="101">
        <v>-2.022637742E7</v>
      </c>
      <c r="H67" s="101">
        <v>1.5053204E7</v>
      </c>
      <c r="I67" s="14">
        <f t="shared" si="1"/>
        <v>-5173173.42</v>
      </c>
    </row>
    <row r="68">
      <c r="A68" s="135">
        <v>45756.0</v>
      </c>
      <c r="B68" s="100" t="s">
        <v>548</v>
      </c>
      <c r="C68" s="100" t="s">
        <v>549</v>
      </c>
      <c r="D68" s="135">
        <v>45755.0</v>
      </c>
      <c r="E68" s="101"/>
      <c r="F68" s="101">
        <v>0.0</v>
      </c>
      <c r="G68" s="101">
        <v>-2.022637742E7</v>
      </c>
      <c r="H68" s="101">
        <v>1.5505424E7</v>
      </c>
      <c r="I68" s="14">
        <f t="shared" si="1"/>
        <v>-4720953.42</v>
      </c>
    </row>
    <row r="69">
      <c r="A69" s="135">
        <v>45758.0</v>
      </c>
      <c r="B69" s="100" t="s">
        <v>548</v>
      </c>
      <c r="C69" s="100" t="s">
        <v>549</v>
      </c>
      <c r="D69" s="135">
        <v>45756.0</v>
      </c>
      <c r="E69" s="101"/>
      <c r="F69" s="101">
        <v>0.0</v>
      </c>
      <c r="G69" s="101">
        <v>-2.022637742E7</v>
      </c>
      <c r="H69" s="101">
        <v>1.5275138E7</v>
      </c>
      <c r="I69" s="14">
        <f t="shared" si="1"/>
        <v>-4951239.42</v>
      </c>
    </row>
    <row r="70">
      <c r="A70" s="135">
        <v>45762.0</v>
      </c>
      <c r="B70" s="100" t="s">
        <v>548</v>
      </c>
      <c r="C70" s="100" t="s">
        <v>549</v>
      </c>
      <c r="D70" s="135">
        <v>45758.0</v>
      </c>
      <c r="E70" s="101"/>
      <c r="F70" s="101">
        <v>0.0</v>
      </c>
      <c r="G70" s="101">
        <v>-2.022637742E7</v>
      </c>
      <c r="H70" s="101">
        <v>1.5663841E7</v>
      </c>
      <c r="I70" s="14">
        <f t="shared" si="1"/>
        <v>-4562536.42</v>
      </c>
    </row>
    <row r="71">
      <c r="A71" s="135">
        <v>45763.0</v>
      </c>
      <c r="B71" s="100" t="s">
        <v>548</v>
      </c>
      <c r="C71" s="100" t="s">
        <v>549</v>
      </c>
      <c r="D71" s="135">
        <v>45762.0</v>
      </c>
      <c r="E71" s="101">
        <v>162389.72</v>
      </c>
      <c r="F71" s="101">
        <v>0.0</v>
      </c>
      <c r="G71" s="101">
        <v>-2.022637742E7</v>
      </c>
      <c r="H71" s="101">
        <v>1.6140748E7</v>
      </c>
      <c r="I71" s="14">
        <f t="shared" si="1"/>
        <v>-4085629.42</v>
      </c>
    </row>
    <row r="72">
      <c r="A72" s="135">
        <v>45764.0</v>
      </c>
      <c r="B72" s="100" t="s">
        <v>548</v>
      </c>
      <c r="C72" s="100" t="s">
        <v>549</v>
      </c>
      <c r="D72" s="135">
        <v>45763.0</v>
      </c>
      <c r="E72" s="101">
        <v>162389.72</v>
      </c>
      <c r="F72" s="101">
        <v>0.0</v>
      </c>
      <c r="G72" s="101">
        <v>-2.022637742E7</v>
      </c>
      <c r="H72" s="101">
        <v>1.6243323E7</v>
      </c>
      <c r="I72" s="14">
        <f t="shared" si="1"/>
        <v>-3983054.42</v>
      </c>
    </row>
    <row r="73">
      <c r="A73" s="135">
        <v>45768.0</v>
      </c>
      <c r="B73" s="100" t="s">
        <v>548</v>
      </c>
      <c r="C73" s="100" t="s">
        <v>549</v>
      </c>
      <c r="D73" s="135">
        <v>45764.0</v>
      </c>
      <c r="E73" s="101">
        <v>162389.72</v>
      </c>
      <c r="F73" s="101">
        <v>0.0</v>
      </c>
      <c r="G73" s="101">
        <v>-2.022637742E7</v>
      </c>
      <c r="H73" s="101">
        <v>1.6308863E7</v>
      </c>
      <c r="I73" s="14">
        <f t="shared" si="1"/>
        <v>-3917514.42</v>
      </c>
    </row>
    <row r="74">
      <c r="A74" s="135">
        <v>45769.0</v>
      </c>
      <c r="B74" s="100" t="s">
        <v>548</v>
      </c>
      <c r="C74" s="100" t="s">
        <v>549</v>
      </c>
      <c r="D74" s="135">
        <v>45768.0</v>
      </c>
      <c r="E74" s="101">
        <v>162389.72</v>
      </c>
      <c r="F74" s="101">
        <v>0.0</v>
      </c>
      <c r="G74" s="101">
        <v>-2.022637742E7</v>
      </c>
      <c r="H74" s="101">
        <v>1.682312E7</v>
      </c>
      <c r="I74" s="14">
        <f t="shared" si="1"/>
        <v>-3403257.42</v>
      </c>
    </row>
    <row r="75">
      <c r="A75" s="135">
        <v>45770.0</v>
      </c>
      <c r="B75" s="100" t="s">
        <v>548</v>
      </c>
      <c r="C75" s="100" t="s">
        <v>549</v>
      </c>
      <c r="D75" s="135">
        <v>45769.0</v>
      </c>
      <c r="E75" s="101">
        <v>162389.72</v>
      </c>
      <c r="F75" s="101">
        <v>0.0</v>
      </c>
      <c r="G75" s="101">
        <v>-2.022637742E7</v>
      </c>
      <c r="H75" s="101">
        <v>1.6935519E7</v>
      </c>
      <c r="I75" s="14">
        <f t="shared" si="1"/>
        <v>-3290858.42</v>
      </c>
    </row>
    <row r="76">
      <c r="A76" s="135">
        <v>45771.0</v>
      </c>
      <c r="B76" s="100" t="s">
        <v>548</v>
      </c>
      <c r="C76" s="100" t="s">
        <v>549</v>
      </c>
      <c r="D76" s="135">
        <v>45770.0</v>
      </c>
      <c r="E76" s="101">
        <v>162389.72</v>
      </c>
      <c r="F76" s="101">
        <v>0.0</v>
      </c>
      <c r="G76" s="101">
        <v>-2.022637742E7</v>
      </c>
      <c r="H76" s="101">
        <v>1.7108596E7</v>
      </c>
      <c r="I76" s="14">
        <f t="shared" si="1"/>
        <v>-3117781.42</v>
      </c>
    </row>
    <row r="77">
      <c r="A77" s="135">
        <v>45772.0</v>
      </c>
      <c r="B77" s="100" t="s">
        <v>548</v>
      </c>
      <c r="C77" s="100" t="s">
        <v>549</v>
      </c>
      <c r="D77" s="135">
        <v>45771.0</v>
      </c>
      <c r="E77" s="101">
        <v>162389.72</v>
      </c>
      <c r="F77" s="101">
        <v>0.0</v>
      </c>
      <c r="G77" s="101">
        <v>-2.022637742E7</v>
      </c>
      <c r="H77" s="101">
        <v>1.7203077E7</v>
      </c>
      <c r="I77" s="14">
        <f t="shared" si="1"/>
        <v>-3023300.42</v>
      </c>
    </row>
    <row r="78">
      <c r="A78" s="135">
        <v>45775.0</v>
      </c>
      <c r="B78" s="100" t="s">
        <v>548</v>
      </c>
      <c r="C78" s="100" t="s">
        <v>549</v>
      </c>
      <c r="D78" s="135">
        <v>45772.0</v>
      </c>
      <c r="E78" s="101">
        <v>162389.72</v>
      </c>
      <c r="F78" s="101">
        <v>0.0</v>
      </c>
      <c r="G78" s="101">
        <v>-2.022637742E7</v>
      </c>
      <c r="H78" s="101">
        <v>1.6755291E7</v>
      </c>
      <c r="I78" s="14">
        <f t="shared" si="1"/>
        <v>-3471086.42</v>
      </c>
    </row>
    <row r="79">
      <c r="A79" s="135">
        <v>45776.0</v>
      </c>
      <c r="B79" s="100" t="s">
        <v>548</v>
      </c>
      <c r="C79" s="100" t="s">
        <v>549</v>
      </c>
      <c r="D79" s="135">
        <v>45775.0</v>
      </c>
      <c r="E79" s="101">
        <v>162389.72</v>
      </c>
      <c r="F79" s="101">
        <v>0.0</v>
      </c>
      <c r="G79" s="101">
        <v>-2.022637742E7</v>
      </c>
      <c r="H79" s="101">
        <v>1.6979995E7</v>
      </c>
      <c r="I79" s="14">
        <f t="shared" si="1"/>
        <v>-3246382.42</v>
      </c>
    </row>
    <row r="80">
      <c r="A80" s="135">
        <v>45777.0</v>
      </c>
      <c r="B80" s="100" t="s">
        <v>548</v>
      </c>
      <c r="C80" s="100" t="s">
        <v>549</v>
      </c>
      <c r="D80" s="135">
        <v>45776.0</v>
      </c>
      <c r="E80" s="101">
        <v>162389.72</v>
      </c>
      <c r="F80" s="101">
        <v>0.0</v>
      </c>
      <c r="G80" s="101">
        <v>-2.022637742E7</v>
      </c>
      <c r="H80" s="101">
        <v>1.7062798E7</v>
      </c>
      <c r="I80" s="14">
        <f t="shared" si="1"/>
        <v>-3163579.42</v>
      </c>
    </row>
    <row r="81">
      <c r="A81" s="135">
        <v>45779.0</v>
      </c>
      <c r="B81" s="100" t="s">
        <v>548</v>
      </c>
      <c r="C81" s="100" t="s">
        <v>549</v>
      </c>
      <c r="D81" s="135">
        <v>45777.0</v>
      </c>
      <c r="E81" s="101">
        <v>162389.72</v>
      </c>
      <c r="F81" s="101">
        <v>0.0</v>
      </c>
      <c r="G81" s="101">
        <v>-2.022637742E7</v>
      </c>
      <c r="H81" s="101">
        <v>1.6885831E7</v>
      </c>
      <c r="I81" s="14">
        <f t="shared" si="1"/>
        <v>-3340546.42</v>
      </c>
    </row>
    <row r="82">
      <c r="A82" s="135">
        <v>45782.0</v>
      </c>
      <c r="B82" s="100" t="s">
        <v>548</v>
      </c>
      <c r="C82" s="100" t="s">
        <v>549</v>
      </c>
      <c r="D82" s="135">
        <v>45779.0</v>
      </c>
      <c r="E82" s="101">
        <v>162389.72</v>
      </c>
      <c r="F82" s="101">
        <v>0.0</v>
      </c>
      <c r="G82" s="101">
        <v>-2.022637742E7</v>
      </c>
      <c r="H82" s="101">
        <v>1.683731E7</v>
      </c>
      <c r="I82" s="14">
        <f t="shared" si="1"/>
        <v>-3389067.42</v>
      </c>
    </row>
    <row r="83">
      <c r="A83" s="135">
        <v>45783.0</v>
      </c>
      <c r="B83" s="100" t="s">
        <v>548</v>
      </c>
      <c r="C83" s="100" t="s">
        <v>549</v>
      </c>
      <c r="D83" s="135">
        <v>45782.0</v>
      </c>
      <c r="E83" s="101">
        <v>162389.72</v>
      </c>
      <c r="F83" s="101">
        <v>0.0</v>
      </c>
      <c r="G83" s="101">
        <v>-2.022637742E7</v>
      </c>
      <c r="H83" s="101">
        <v>1.7078614E7</v>
      </c>
      <c r="I83" s="14">
        <f t="shared" si="1"/>
        <v>-3147763.42</v>
      </c>
    </row>
    <row r="84">
      <c r="A84" s="135">
        <v>45784.0</v>
      </c>
      <c r="B84" s="100" t="s">
        <v>548</v>
      </c>
      <c r="C84" s="100" t="s">
        <v>549</v>
      </c>
      <c r="D84" s="135">
        <v>45783.0</v>
      </c>
      <c r="E84" s="101">
        <v>162389.72</v>
      </c>
      <c r="F84" s="101">
        <v>0.0</v>
      </c>
      <c r="G84" s="101">
        <v>-2.022637742E7</v>
      </c>
      <c r="H84" s="101">
        <v>1.6757143E7</v>
      </c>
      <c r="I84" s="14">
        <f t="shared" si="1"/>
        <v>-3469234.42</v>
      </c>
    </row>
    <row r="85">
      <c r="A85" s="135">
        <v>45785.0</v>
      </c>
      <c r="B85" s="100" t="s">
        <v>548</v>
      </c>
      <c r="C85" s="100" t="s">
        <v>549</v>
      </c>
      <c r="D85" s="135">
        <v>45784.0</v>
      </c>
      <c r="E85" s="101">
        <v>162389.72</v>
      </c>
      <c r="F85" s="101">
        <v>0.0</v>
      </c>
      <c r="G85" s="101">
        <v>-2.022637742E7</v>
      </c>
      <c r="H85" s="101">
        <v>1.7079889E7</v>
      </c>
      <c r="I85" s="14">
        <f t="shared" si="1"/>
        <v>-3146488.42</v>
      </c>
    </row>
    <row r="86">
      <c r="A86" s="135">
        <v>45786.0</v>
      </c>
      <c r="B86" s="100" t="s">
        <v>548</v>
      </c>
      <c r="C86" s="100" t="s">
        <v>549</v>
      </c>
      <c r="D86" s="135">
        <v>45785.0</v>
      </c>
      <c r="E86" s="101">
        <v>162389.72</v>
      </c>
      <c r="F86" s="101">
        <v>0.0</v>
      </c>
      <c r="G86" s="101">
        <v>-2.022637742E7</v>
      </c>
      <c r="H86" s="101">
        <v>1.6712426E7</v>
      </c>
      <c r="I86" s="14">
        <f t="shared" si="1"/>
        <v>-3513951.42</v>
      </c>
    </row>
    <row r="87">
      <c r="A87" s="135">
        <v>45789.0</v>
      </c>
      <c r="B87" s="100" t="s">
        <v>548</v>
      </c>
      <c r="C87" s="100" t="s">
        <v>549</v>
      </c>
      <c r="D87" s="135">
        <v>45786.0</v>
      </c>
      <c r="E87" s="101">
        <v>162389.72</v>
      </c>
      <c r="F87" s="101">
        <v>0.0</v>
      </c>
      <c r="G87" s="101">
        <v>-2.022637742E7</v>
      </c>
      <c r="H87" s="101">
        <v>1.6601977E7</v>
      </c>
      <c r="I87" s="14">
        <f t="shared" si="1"/>
        <v>-3624400.42</v>
      </c>
    </row>
    <row r="88">
      <c r="A88" s="135">
        <v>45790.0</v>
      </c>
      <c r="B88" s="100" t="s">
        <v>548</v>
      </c>
      <c r="C88" s="100" t="s">
        <v>549</v>
      </c>
      <c r="D88" s="135">
        <v>45789.0</v>
      </c>
      <c r="E88" s="101">
        <v>162389.72</v>
      </c>
      <c r="F88" s="101">
        <v>0.0</v>
      </c>
      <c r="G88" s="101">
        <v>-2.022637742E7</v>
      </c>
      <c r="H88" s="101">
        <v>1.7258691E7</v>
      </c>
      <c r="I88" s="14">
        <f t="shared" si="1"/>
        <v>-2967686.42</v>
      </c>
    </row>
    <row r="89">
      <c r="A89" s="135">
        <v>45791.0</v>
      </c>
      <c r="B89" s="100" t="s">
        <v>548</v>
      </c>
      <c r="C89" s="100" t="s">
        <v>549</v>
      </c>
      <c r="D89" s="135">
        <v>45790.0</v>
      </c>
      <c r="E89" s="101">
        <v>162389.72</v>
      </c>
      <c r="F89" s="101">
        <v>0.0</v>
      </c>
      <c r="G89" s="101">
        <v>-2.022637742E7</v>
      </c>
      <c r="H89" s="101">
        <v>1.7340157E7</v>
      </c>
      <c r="I89" s="14">
        <f t="shared" si="1"/>
        <v>-2886220.42</v>
      </c>
    </row>
    <row r="90">
      <c r="A90" s="135">
        <v>45792.0</v>
      </c>
      <c r="B90" s="100" t="s">
        <v>540</v>
      </c>
      <c r="C90" s="100" t="s">
        <v>554</v>
      </c>
      <c r="D90" s="135">
        <v>45791.0</v>
      </c>
      <c r="E90" s="101">
        <v>0.0</v>
      </c>
      <c r="F90" s="101">
        <v>40602.61</v>
      </c>
      <c r="G90" s="101">
        <v>-2.018577481E7</v>
      </c>
      <c r="H90" s="101">
        <v>1.7479864E7</v>
      </c>
      <c r="I90" s="14">
        <f t="shared" si="1"/>
        <v>-2705910.81</v>
      </c>
    </row>
    <row r="91">
      <c r="A91" s="135">
        <v>45793.0</v>
      </c>
      <c r="B91" s="100" t="s">
        <v>542</v>
      </c>
      <c r="C91" s="100" t="s">
        <v>555</v>
      </c>
      <c r="D91" s="135">
        <v>45792.0</v>
      </c>
      <c r="E91" s="101">
        <v>40508.15</v>
      </c>
      <c r="F91" s="101">
        <v>0.0</v>
      </c>
      <c r="G91" s="101">
        <v>-2.022628296E7</v>
      </c>
      <c r="H91" s="101">
        <v>1.7448624E7</v>
      </c>
      <c r="I91" s="14">
        <f t="shared" si="1"/>
        <v>-2777658.96</v>
      </c>
    </row>
    <row r="92">
      <c r="A92" s="135">
        <v>45796.0</v>
      </c>
      <c r="B92" s="100" t="s">
        <v>548</v>
      </c>
      <c r="C92" s="100" t="s">
        <v>549</v>
      </c>
      <c r="D92" s="135">
        <v>45793.0</v>
      </c>
      <c r="E92" s="101"/>
      <c r="F92" s="101">
        <v>0.0</v>
      </c>
      <c r="G92" s="101">
        <v>-2.022628296E7</v>
      </c>
      <c r="H92" s="101">
        <v>1.7574236E7</v>
      </c>
      <c r="I92" s="14">
        <f t="shared" si="1"/>
        <v>-2652046.96</v>
      </c>
    </row>
    <row r="93">
      <c r="A93" s="135">
        <v>45797.0</v>
      </c>
      <c r="B93" s="100" t="s">
        <v>548</v>
      </c>
      <c r="C93" s="100" t="s">
        <v>549</v>
      </c>
      <c r="D93" s="135">
        <v>45796.0</v>
      </c>
      <c r="E93" s="101"/>
      <c r="F93" s="101">
        <v>0.0</v>
      </c>
      <c r="G93" s="101">
        <v>-2.022628296E7</v>
      </c>
      <c r="H93" s="101">
        <v>1.76753E7</v>
      </c>
      <c r="I93" s="14">
        <f t="shared" si="1"/>
        <v>-2550982.96</v>
      </c>
    </row>
    <row r="94">
      <c r="A94" s="135">
        <v>45798.0</v>
      </c>
      <c r="B94" s="100" t="s">
        <v>548</v>
      </c>
      <c r="C94" s="100" t="s">
        <v>549</v>
      </c>
      <c r="D94" s="135">
        <v>45797.0</v>
      </c>
      <c r="E94" s="101"/>
      <c r="F94" s="101">
        <v>0.0</v>
      </c>
      <c r="G94" s="101">
        <v>-2.022628296E7</v>
      </c>
      <c r="H94" s="101">
        <v>1.740651E7</v>
      </c>
      <c r="I94" s="14">
        <f t="shared" si="1"/>
        <v>-2819772.96</v>
      </c>
    </row>
    <row r="95">
      <c r="A95" s="135">
        <v>45799.0</v>
      </c>
      <c r="B95" s="100" t="s">
        <v>548</v>
      </c>
      <c r="C95" s="100" t="s">
        <v>549</v>
      </c>
      <c r="D95" s="135">
        <v>45798.0</v>
      </c>
      <c r="E95" s="101"/>
      <c r="F95" s="101">
        <v>0.0</v>
      </c>
      <c r="G95" s="101">
        <v>-2.022628296E7</v>
      </c>
      <c r="H95" s="101">
        <v>1.7455883E7</v>
      </c>
      <c r="I95" s="14">
        <f t="shared" si="1"/>
        <v>-2770399.96</v>
      </c>
    </row>
    <row r="96">
      <c r="A96" s="135">
        <v>45800.0</v>
      </c>
      <c r="B96" s="100" t="s">
        <v>548</v>
      </c>
      <c r="C96" s="100" t="s">
        <v>549</v>
      </c>
      <c r="D96" s="135">
        <v>45799.0</v>
      </c>
      <c r="E96" s="101"/>
      <c r="F96" s="101">
        <v>0.0</v>
      </c>
      <c r="G96" s="101">
        <v>-2.022628296E7</v>
      </c>
      <c r="H96" s="101">
        <v>1.7280972E7</v>
      </c>
      <c r="I96" s="14">
        <f t="shared" si="1"/>
        <v>-2945310.96</v>
      </c>
    </row>
    <row r="97">
      <c r="A97" s="135">
        <v>45803.0</v>
      </c>
      <c r="B97" s="100" t="s">
        <v>548</v>
      </c>
      <c r="C97" s="100" t="s">
        <v>549</v>
      </c>
      <c r="D97" s="135">
        <v>45800.0</v>
      </c>
      <c r="E97" s="101"/>
      <c r="F97" s="101">
        <v>0.0</v>
      </c>
      <c r="G97" s="101">
        <v>-2.022628296E7</v>
      </c>
      <c r="H97" s="101">
        <v>1.6164991E7</v>
      </c>
      <c r="I97" s="14">
        <f t="shared" si="1"/>
        <v>-4061291.96</v>
      </c>
    </row>
    <row r="98">
      <c r="A98" s="135">
        <v>45804.0</v>
      </c>
      <c r="B98" s="100" t="s">
        <v>548</v>
      </c>
      <c r="C98" s="100" t="s">
        <v>549</v>
      </c>
      <c r="D98" s="135">
        <v>45803.0</v>
      </c>
      <c r="E98" s="101"/>
      <c r="F98" s="101">
        <v>0.0</v>
      </c>
      <c r="G98" s="101">
        <v>-2.022628296E7</v>
      </c>
      <c r="H98" s="101">
        <v>1.6267106E7</v>
      </c>
      <c r="I98" s="14">
        <f t="shared" si="1"/>
        <v>-3959176.96</v>
      </c>
    </row>
    <row r="99">
      <c r="A99" s="135">
        <v>45805.0</v>
      </c>
      <c r="B99" s="100" t="s">
        <v>546</v>
      </c>
      <c r="C99" s="100" t="s">
        <v>556</v>
      </c>
      <c r="D99" s="135">
        <v>45804.0</v>
      </c>
      <c r="E99" s="101">
        <v>0.52</v>
      </c>
      <c r="F99" s="101">
        <v>0.0</v>
      </c>
      <c r="G99" s="101">
        <v>-2.022628348E7</v>
      </c>
      <c r="H99" s="101">
        <v>1.6246876E7</v>
      </c>
      <c r="I99" s="14">
        <f t="shared" si="1"/>
        <v>-3979407.48</v>
      </c>
    </row>
    <row r="100">
      <c r="A100" s="135">
        <v>45806.0</v>
      </c>
      <c r="B100" s="100" t="s">
        <v>548</v>
      </c>
      <c r="C100" s="100" t="s">
        <v>549</v>
      </c>
      <c r="D100" s="135">
        <v>45805.0</v>
      </c>
      <c r="E100" s="101"/>
      <c r="F100" s="101">
        <v>0.0</v>
      </c>
      <c r="G100" s="101">
        <v>-2.022628348E7</v>
      </c>
      <c r="H100" s="101">
        <v>1.7466071E7</v>
      </c>
      <c r="I100" s="14">
        <f t="shared" si="1"/>
        <v>-2760212.48</v>
      </c>
    </row>
    <row r="101">
      <c r="A101" s="135">
        <v>45807.0</v>
      </c>
      <c r="B101" s="100" t="s">
        <v>548</v>
      </c>
      <c r="C101" s="100" t="s">
        <v>549</v>
      </c>
      <c r="D101" s="135">
        <v>45806.0</v>
      </c>
      <c r="E101" s="101"/>
      <c r="F101" s="101">
        <v>0.0</v>
      </c>
      <c r="G101" s="101">
        <v>-2.022628348E7</v>
      </c>
      <c r="H101" s="101">
        <v>1.7645574E7</v>
      </c>
      <c r="I101" s="14">
        <f t="shared" si="1"/>
        <v>-2580709.48</v>
      </c>
    </row>
    <row r="102">
      <c r="A102" s="135">
        <v>45810.0</v>
      </c>
      <c r="B102" s="100" t="s">
        <v>548</v>
      </c>
      <c r="C102" s="100" t="s">
        <v>549</v>
      </c>
      <c r="D102" s="135">
        <v>45807.0</v>
      </c>
      <c r="E102" s="101"/>
      <c r="F102" s="101">
        <v>0.0</v>
      </c>
      <c r="G102" s="101">
        <v>-2.022628348E7</v>
      </c>
      <c r="H102" s="101">
        <v>1.7759734E7</v>
      </c>
      <c r="I102" s="14">
        <f t="shared" si="1"/>
        <v>-2466549.48</v>
      </c>
    </row>
    <row r="103">
      <c r="A103" s="135">
        <v>45811.0</v>
      </c>
      <c r="B103" s="100" t="s">
        <v>548</v>
      </c>
      <c r="C103" s="100" t="s">
        <v>549</v>
      </c>
      <c r="D103" s="135">
        <v>45810.0</v>
      </c>
      <c r="E103" s="101"/>
      <c r="F103" s="101">
        <v>0.0</v>
      </c>
      <c r="G103" s="101">
        <v>-2.022628348E7</v>
      </c>
      <c r="H103" s="101">
        <v>1.7939625E7</v>
      </c>
      <c r="I103" s="14">
        <f t="shared" si="1"/>
        <v>-2286658.48</v>
      </c>
    </row>
    <row r="104">
      <c r="A104" s="135">
        <v>45812.0</v>
      </c>
      <c r="B104" s="100" t="s">
        <v>548</v>
      </c>
      <c r="C104" s="100" t="s">
        <v>549</v>
      </c>
      <c r="D104" s="135">
        <v>45811.0</v>
      </c>
      <c r="E104" s="101"/>
      <c r="F104" s="101">
        <v>0.0</v>
      </c>
      <c r="G104" s="101">
        <v>-2.022628348E7</v>
      </c>
      <c r="H104" s="101">
        <v>1.8055328E7</v>
      </c>
      <c r="I104" s="14">
        <f t="shared" si="1"/>
        <v>-2170955.48</v>
      </c>
    </row>
    <row r="105">
      <c r="A105" s="135">
        <v>45813.0</v>
      </c>
      <c r="B105" s="100" t="s">
        <v>548</v>
      </c>
      <c r="C105" s="100" t="s">
        <v>549</v>
      </c>
      <c r="D105" s="135">
        <v>45812.0</v>
      </c>
      <c r="E105" s="101"/>
      <c r="F105" s="101">
        <v>0.0</v>
      </c>
      <c r="G105" s="101">
        <v>-2.022628348E7</v>
      </c>
      <c r="H105" s="101">
        <v>1.7643467E7</v>
      </c>
      <c r="I105" s="14">
        <f t="shared" si="1"/>
        <v>-2582816.48</v>
      </c>
    </row>
    <row r="106">
      <c r="A106" s="135">
        <v>45814.0</v>
      </c>
      <c r="B106" s="100" t="s">
        <v>548</v>
      </c>
      <c r="C106" s="100" t="s">
        <v>549</v>
      </c>
      <c r="D106" s="135">
        <v>45813.0</v>
      </c>
      <c r="E106" s="101"/>
      <c r="F106" s="101">
        <v>0.0</v>
      </c>
      <c r="G106" s="101">
        <v>-2.022628348E7</v>
      </c>
      <c r="H106" s="101">
        <v>1.7956743E7</v>
      </c>
      <c r="I106" s="14">
        <f t="shared" si="1"/>
        <v>-2269540.48</v>
      </c>
    </row>
    <row r="107">
      <c r="A107" s="135">
        <v>45817.0</v>
      </c>
      <c r="B107" s="100" t="s">
        <v>548</v>
      </c>
      <c r="C107" s="100" t="s">
        <v>549</v>
      </c>
      <c r="D107" s="135">
        <v>45814.0</v>
      </c>
      <c r="E107" s="101"/>
      <c r="F107" s="101">
        <v>0.0</v>
      </c>
      <c r="G107" s="101">
        <v>-2.022628348E7</v>
      </c>
      <c r="H107" s="101">
        <v>1.8238639E7</v>
      </c>
      <c r="I107" s="14">
        <f t="shared" si="1"/>
        <v>-1987644.48</v>
      </c>
    </row>
    <row r="108">
      <c r="A108" s="135">
        <v>45818.0</v>
      </c>
      <c r="B108" s="100" t="s">
        <v>548</v>
      </c>
      <c r="C108" s="100" t="s">
        <v>549</v>
      </c>
      <c r="D108" s="135">
        <v>45817.0</v>
      </c>
      <c r="E108" s="101"/>
      <c r="F108" s="101">
        <v>0.0</v>
      </c>
      <c r="G108" s="101">
        <v>-2.022628348E7</v>
      </c>
      <c r="H108" s="101">
        <v>1.9257274E7</v>
      </c>
      <c r="I108" s="14">
        <f t="shared" si="1"/>
        <v>-969009.48</v>
      </c>
    </row>
    <row r="109">
      <c r="A109" s="135">
        <v>45819.0</v>
      </c>
      <c r="B109" s="100" t="s">
        <v>548</v>
      </c>
      <c r="C109" s="100" t="s">
        <v>549</v>
      </c>
      <c r="D109" s="135">
        <v>45818.0</v>
      </c>
      <c r="E109" s="101"/>
      <c r="F109" s="101">
        <v>0.0</v>
      </c>
      <c r="G109" s="101">
        <v>-2.022628348E7</v>
      </c>
      <c r="H109" s="101">
        <v>1.9345166E7</v>
      </c>
      <c r="I109" s="14">
        <f t="shared" si="1"/>
        <v>-881117.48</v>
      </c>
    </row>
    <row r="110">
      <c r="A110" s="135">
        <v>45820.0</v>
      </c>
      <c r="B110" s="100" t="s">
        <v>548</v>
      </c>
      <c r="C110" s="100" t="s">
        <v>549</v>
      </c>
      <c r="D110" s="135">
        <v>45819.0</v>
      </c>
      <c r="E110" s="101"/>
      <c r="F110" s="101">
        <v>0.0</v>
      </c>
      <c r="G110" s="101">
        <v>-2.022628348E7</v>
      </c>
      <c r="H110" s="101">
        <v>1.9160631E7</v>
      </c>
      <c r="I110" s="14">
        <f t="shared" si="1"/>
        <v>-1065652.48</v>
      </c>
    </row>
    <row r="111">
      <c r="A111" s="135">
        <v>45821.0</v>
      </c>
      <c r="B111" s="100" t="s">
        <v>548</v>
      </c>
      <c r="C111" s="100" t="s">
        <v>549</v>
      </c>
      <c r="D111" s="135">
        <v>45820.0</v>
      </c>
      <c r="E111" s="101"/>
      <c r="F111" s="101">
        <v>0.0</v>
      </c>
      <c r="G111" s="101">
        <v>-2.022628348E7</v>
      </c>
      <c r="H111" s="101">
        <v>1.8712811E7</v>
      </c>
      <c r="I111" s="14">
        <f t="shared" si="1"/>
        <v>-1513472.48</v>
      </c>
    </row>
    <row r="112">
      <c r="A112" s="135">
        <v>45824.0</v>
      </c>
      <c r="B112" s="100" t="s">
        <v>548</v>
      </c>
      <c r="C112" s="100" t="s">
        <v>549</v>
      </c>
      <c r="D112" s="135">
        <v>45821.0</v>
      </c>
      <c r="E112" s="101"/>
      <c r="F112" s="101">
        <v>0.0</v>
      </c>
      <c r="G112" s="101">
        <v>-2.022628348E7</v>
      </c>
      <c r="H112" s="101">
        <v>1.8708883E7</v>
      </c>
      <c r="I112" s="14">
        <f t="shared" si="1"/>
        <v>-1517400.48</v>
      </c>
    </row>
    <row r="113">
      <c r="A113" s="135">
        <v>45825.0</v>
      </c>
      <c r="B113" s="100" t="s">
        <v>548</v>
      </c>
      <c r="C113" s="100" t="s">
        <v>549</v>
      </c>
      <c r="D113" s="135">
        <v>45824.0</v>
      </c>
      <c r="E113" s="101"/>
      <c r="F113" s="101">
        <v>0.0</v>
      </c>
      <c r="G113" s="101">
        <v>-2.022628348E7</v>
      </c>
      <c r="H113" s="101">
        <v>1.8886365E7</v>
      </c>
      <c r="I113" s="14">
        <f t="shared" si="1"/>
        <v>-1339918.48</v>
      </c>
    </row>
    <row r="114">
      <c r="A114" s="135">
        <v>45826.0</v>
      </c>
      <c r="B114" s="100" t="s">
        <v>548</v>
      </c>
      <c r="C114" s="100" t="s">
        <v>549</v>
      </c>
      <c r="D114" s="135">
        <v>45825.0</v>
      </c>
      <c r="E114" s="101"/>
      <c r="F114" s="101">
        <v>0.0</v>
      </c>
      <c r="G114" s="101">
        <v>-2.022628348E7</v>
      </c>
      <c r="H114" s="101">
        <v>1.8703614E7</v>
      </c>
      <c r="I114" s="14">
        <f t="shared" si="1"/>
        <v>-1522669.48</v>
      </c>
    </row>
    <row r="115">
      <c r="A115" s="135">
        <v>45827.0</v>
      </c>
      <c r="B115" s="100" t="s">
        <v>548</v>
      </c>
      <c r="C115" s="100" t="s">
        <v>549</v>
      </c>
      <c r="D115" s="135">
        <v>45826.0</v>
      </c>
      <c r="E115" s="101"/>
      <c r="F115" s="101">
        <v>0.0</v>
      </c>
      <c r="G115" s="101">
        <v>-2.022628348E7</v>
      </c>
      <c r="H115" s="101">
        <v>1.8603216E7</v>
      </c>
      <c r="I115" s="14">
        <f t="shared" si="1"/>
        <v>-1623067.48</v>
      </c>
    </row>
    <row r="116">
      <c r="A116" s="135">
        <v>45828.0</v>
      </c>
      <c r="B116" s="100" t="s">
        <v>548</v>
      </c>
      <c r="C116" s="100" t="s">
        <v>549</v>
      </c>
      <c r="D116" s="135">
        <v>45827.0</v>
      </c>
      <c r="E116" s="101"/>
      <c r="F116" s="101">
        <v>0.0</v>
      </c>
      <c r="G116" s="101">
        <v>-2.022628348E7</v>
      </c>
      <c r="H116" s="101">
        <v>1.8271655E7</v>
      </c>
      <c r="I116" s="14">
        <f t="shared" si="1"/>
        <v>-1954628.48</v>
      </c>
    </row>
    <row r="117">
      <c r="A117" s="135">
        <v>45831.0</v>
      </c>
      <c r="B117" s="100" t="s">
        <v>548</v>
      </c>
      <c r="C117" s="100" t="s">
        <v>549</v>
      </c>
      <c r="D117" s="135">
        <v>45828.0</v>
      </c>
      <c r="E117" s="101"/>
      <c r="F117" s="101">
        <v>0.0</v>
      </c>
      <c r="G117" s="101">
        <v>-2.022628348E7</v>
      </c>
      <c r="H117" s="101">
        <v>1.8589578E7</v>
      </c>
      <c r="I117" s="14">
        <f t="shared" si="1"/>
        <v>-1636705.48</v>
      </c>
    </row>
    <row r="118">
      <c r="A118" s="135">
        <v>45832.0</v>
      </c>
      <c r="B118" s="100" t="s">
        <v>548</v>
      </c>
      <c r="C118" s="100" t="s">
        <v>549</v>
      </c>
      <c r="D118" s="135">
        <v>45831.0</v>
      </c>
      <c r="E118" s="101"/>
      <c r="F118" s="101">
        <v>0.0</v>
      </c>
      <c r="G118" s="101">
        <v>-2.022628348E7</v>
      </c>
      <c r="H118" s="101">
        <v>1.8868834E7</v>
      </c>
      <c r="I118" s="14">
        <f t="shared" si="1"/>
        <v>-1357449.48</v>
      </c>
    </row>
    <row r="119">
      <c r="A119" s="135">
        <v>45833.0</v>
      </c>
      <c r="B119" s="100" t="s">
        <v>548</v>
      </c>
      <c r="C119" s="100" t="s">
        <v>549</v>
      </c>
      <c r="D119" s="135">
        <v>45832.0</v>
      </c>
      <c r="E119" s="101"/>
      <c r="F119" s="101">
        <v>0.0</v>
      </c>
      <c r="G119" s="101">
        <v>-2.022628348E7</v>
      </c>
      <c r="H119" s="101">
        <v>1.8886584E7</v>
      </c>
      <c r="I119" s="14">
        <f t="shared" si="1"/>
        <v>-1339699.48</v>
      </c>
    </row>
    <row r="120">
      <c r="A120" s="135">
        <v>45834.0</v>
      </c>
      <c r="B120" s="100" t="s">
        <v>548</v>
      </c>
      <c r="C120" s="100" t="s">
        <v>549</v>
      </c>
      <c r="D120" s="135">
        <v>45833.0</v>
      </c>
      <c r="E120" s="101"/>
      <c r="F120" s="101">
        <v>0.0</v>
      </c>
      <c r="G120" s="101">
        <v>-2.022628348E7</v>
      </c>
      <c r="H120" s="101">
        <v>1.8928185E7</v>
      </c>
      <c r="I120" s="14">
        <f t="shared" si="1"/>
        <v>-1298098.48</v>
      </c>
    </row>
    <row r="121">
      <c r="A121" s="135">
        <v>45835.0</v>
      </c>
      <c r="B121" s="100" t="s">
        <v>548</v>
      </c>
      <c r="C121" s="100" t="s">
        <v>549</v>
      </c>
      <c r="D121" s="135">
        <v>45834.0</v>
      </c>
      <c r="E121" s="101"/>
      <c r="F121" s="101">
        <v>0.0</v>
      </c>
      <c r="G121" s="101">
        <v>-2.022628348E7</v>
      </c>
      <c r="H121" s="101">
        <v>1.9128137E7</v>
      </c>
      <c r="I121" s="14">
        <f t="shared" si="1"/>
        <v>-1098146.48</v>
      </c>
    </row>
    <row r="122">
      <c r="A122" s="135">
        <v>45838.0</v>
      </c>
      <c r="B122" s="100" t="s">
        <v>548</v>
      </c>
      <c r="C122" s="100" t="s">
        <v>549</v>
      </c>
      <c r="D122" s="135">
        <v>45835.0</v>
      </c>
      <c r="E122" s="101"/>
      <c r="F122" s="101">
        <v>0.0</v>
      </c>
      <c r="G122" s="101">
        <v>-2.022628348E7</v>
      </c>
      <c r="H122" s="101">
        <v>1.9181775E7</v>
      </c>
      <c r="I122" s="14">
        <f t="shared" si="1"/>
        <v>-1044508.48</v>
      </c>
    </row>
    <row r="123">
      <c r="A123" s="135">
        <v>45839.0</v>
      </c>
      <c r="B123" s="100" t="s">
        <v>548</v>
      </c>
      <c r="C123" s="100" t="s">
        <v>549</v>
      </c>
      <c r="D123" s="135">
        <v>45838.0</v>
      </c>
      <c r="E123" s="101"/>
      <c r="F123" s="101">
        <v>0.0</v>
      </c>
      <c r="G123" s="101">
        <v>-2.022628348E7</v>
      </c>
      <c r="H123" s="101">
        <v>1.9374365E7</v>
      </c>
      <c r="I123" s="14">
        <f t="shared" si="1"/>
        <v>-851918.48</v>
      </c>
    </row>
    <row r="124">
      <c r="A124" s="135">
        <v>45840.0</v>
      </c>
      <c r="B124" s="100" t="s">
        <v>548</v>
      </c>
      <c r="C124" s="100" t="s">
        <v>549</v>
      </c>
      <c r="D124" s="135">
        <v>45839.0</v>
      </c>
      <c r="E124" s="101"/>
      <c r="F124" s="101">
        <v>0.0</v>
      </c>
      <c r="G124" s="101">
        <v>-2.022628348E7</v>
      </c>
      <c r="H124" s="101">
        <v>1.94509E7</v>
      </c>
      <c r="I124" s="14">
        <f t="shared" si="1"/>
        <v>-775383.48</v>
      </c>
    </row>
    <row r="125">
      <c r="A125" s="59">
        <v>45841.0</v>
      </c>
      <c r="B125" s="8" t="s">
        <v>557</v>
      </c>
      <c r="C125" s="8" t="s">
        <v>558</v>
      </c>
      <c r="D125" s="59">
        <v>45840.0</v>
      </c>
      <c r="E125" s="8">
        <v>0.0</v>
      </c>
      <c r="F125" s="8">
        <v>77773.19</v>
      </c>
      <c r="G125" s="8">
        <v>-2.014850964E7</v>
      </c>
      <c r="H125" s="8">
        <v>1.9347535E7</v>
      </c>
      <c r="I125" s="14">
        <f t="shared" si="1"/>
        <v>-800974.64</v>
      </c>
    </row>
    <row r="126">
      <c r="A126" s="59">
        <v>45842.0</v>
      </c>
      <c r="B126" s="8" t="s">
        <v>557</v>
      </c>
      <c r="C126" s="8" t="s">
        <v>558</v>
      </c>
      <c r="D126" s="59">
        <v>45841.0</v>
      </c>
      <c r="E126" s="8">
        <v>0.0</v>
      </c>
      <c r="G126" s="8">
        <v>-2.014850964E7</v>
      </c>
      <c r="H126" s="8">
        <v>1.9398791E7</v>
      </c>
      <c r="I126" s="14">
        <f t="shared" si="1"/>
        <v>-749718.64</v>
      </c>
    </row>
    <row r="127">
      <c r="A127" s="59">
        <v>45845.0</v>
      </c>
      <c r="B127" s="8" t="s">
        <v>557</v>
      </c>
      <c r="C127" s="8" t="s">
        <v>558</v>
      </c>
      <c r="D127" s="59">
        <v>45842.0</v>
      </c>
      <c r="E127" s="8">
        <v>0.0</v>
      </c>
      <c r="G127" s="8">
        <v>-2.014850964E7</v>
      </c>
      <c r="H127" s="8">
        <v>1.9284614E7</v>
      </c>
      <c r="I127" s="14">
        <f t="shared" si="1"/>
        <v>-863895.64</v>
      </c>
    </row>
    <row r="128">
      <c r="A128" s="59">
        <v>45846.0</v>
      </c>
      <c r="B128" s="8" t="s">
        <v>557</v>
      </c>
      <c r="C128" s="8" t="s">
        <v>558</v>
      </c>
      <c r="D128" s="59">
        <v>45845.0</v>
      </c>
      <c r="E128" s="8">
        <v>0.0</v>
      </c>
      <c r="G128" s="8">
        <v>-2.014850964E7</v>
      </c>
      <c r="H128" s="8">
        <v>1.9194168E7</v>
      </c>
      <c r="I128" s="14">
        <f t="shared" si="1"/>
        <v>-954341.64</v>
      </c>
    </row>
    <row r="129">
      <c r="A129" s="59">
        <v>45847.0</v>
      </c>
      <c r="B129" s="8" t="s">
        <v>557</v>
      </c>
      <c r="C129" s="8" t="s">
        <v>558</v>
      </c>
      <c r="D129" s="59">
        <v>45846.0</v>
      </c>
      <c r="E129" s="8">
        <v>0.0</v>
      </c>
      <c r="G129" s="8">
        <v>-2.014850964E7</v>
      </c>
      <c r="H129" s="8">
        <v>1.9000672E7</v>
      </c>
      <c r="I129" s="14">
        <f t="shared" si="1"/>
        <v>-1147837.64</v>
      </c>
    </row>
    <row r="130">
      <c r="A130" s="59">
        <v>45848.0</v>
      </c>
      <c r="B130" s="8" t="s">
        <v>557</v>
      </c>
      <c r="C130" s="8" t="s">
        <v>558</v>
      </c>
      <c r="D130" s="59">
        <v>45847.0</v>
      </c>
      <c r="E130" s="8">
        <v>0.0</v>
      </c>
      <c r="G130" s="8">
        <v>-2.014850964E7</v>
      </c>
      <c r="H130" s="8">
        <v>1.9124431E7</v>
      </c>
      <c r="I130" s="14">
        <f t="shared" si="1"/>
        <v>-1024078.64</v>
      </c>
    </row>
    <row r="131">
      <c r="A131" s="59">
        <v>45849.0</v>
      </c>
      <c r="B131" s="8" t="s">
        <v>557</v>
      </c>
      <c r="C131" s="8" t="s">
        <v>558</v>
      </c>
      <c r="D131" s="59">
        <v>45848.0</v>
      </c>
      <c r="E131" s="8">
        <v>0.0</v>
      </c>
      <c r="G131" s="8">
        <v>-2.014850964E7</v>
      </c>
      <c r="H131" s="8">
        <v>1.9009787E7</v>
      </c>
      <c r="I131" s="14">
        <f t="shared" si="1"/>
        <v>-1138722.64</v>
      </c>
    </row>
    <row r="132">
      <c r="A132" s="59">
        <v>45852.0</v>
      </c>
      <c r="B132" s="8" t="s">
        <v>557</v>
      </c>
      <c r="C132" s="8" t="s">
        <v>558</v>
      </c>
      <c r="D132" s="59">
        <v>45849.0</v>
      </c>
      <c r="E132" s="8">
        <v>0.0</v>
      </c>
      <c r="G132" s="8">
        <v>-2.014850964E7</v>
      </c>
      <c r="H132" s="8">
        <v>1.8805931E7</v>
      </c>
      <c r="I132" s="14">
        <f t="shared" si="1"/>
        <v>-1342578.64</v>
      </c>
    </row>
    <row r="133">
      <c r="A133" s="59">
        <v>45853.0</v>
      </c>
      <c r="B133" s="8" t="s">
        <v>557</v>
      </c>
      <c r="C133" s="8" t="s">
        <v>558</v>
      </c>
      <c r="D133" s="59">
        <v>45852.0</v>
      </c>
      <c r="E133" s="8">
        <v>0.0</v>
      </c>
      <c r="G133" s="8">
        <v>-2.014850964E7</v>
      </c>
      <c r="H133" s="8">
        <v>1.9032663E7</v>
      </c>
      <c r="I133" s="14">
        <f t="shared" si="1"/>
        <v>-1115846.64</v>
      </c>
    </row>
    <row r="134">
      <c r="A134" s="59">
        <v>45854.0</v>
      </c>
      <c r="B134" s="8" t="s">
        <v>557</v>
      </c>
      <c r="C134" s="8" t="s">
        <v>558</v>
      </c>
      <c r="D134" s="59">
        <v>45853.0</v>
      </c>
      <c r="E134" s="8">
        <v>0.0</v>
      </c>
      <c r="G134" s="8">
        <v>-2.014850964E7</v>
      </c>
      <c r="H134" s="8">
        <v>1.9258993E7</v>
      </c>
      <c r="I134" s="14">
        <f t="shared" si="1"/>
        <v>-889516.64</v>
      </c>
    </row>
    <row r="135">
      <c r="A135" s="59">
        <v>45855.0</v>
      </c>
      <c r="B135" s="8" t="s">
        <v>557</v>
      </c>
      <c r="C135" s="8" t="s">
        <v>558</v>
      </c>
      <c r="D135" s="59">
        <v>45854.0</v>
      </c>
      <c r="E135" s="8">
        <v>0.0</v>
      </c>
      <c r="G135" s="8">
        <v>-2.014850964E7</v>
      </c>
      <c r="H135" s="8">
        <v>1.9260607E7</v>
      </c>
      <c r="I135" s="14">
        <f t="shared" si="1"/>
        <v>-887902.64</v>
      </c>
    </row>
    <row r="136">
      <c r="A136" s="59">
        <v>45856.0</v>
      </c>
      <c r="B136" s="8" t="s">
        <v>557</v>
      </c>
      <c r="C136" s="8" t="s">
        <v>558</v>
      </c>
      <c r="D136" s="59">
        <v>45855.0</v>
      </c>
      <c r="E136" s="8">
        <v>0.0</v>
      </c>
      <c r="G136" s="8">
        <v>-2.014850964E7</v>
      </c>
      <c r="H136" s="8">
        <v>1.9137381E7</v>
      </c>
      <c r="I136" s="14">
        <f t="shared" si="1"/>
        <v>-1011128.64</v>
      </c>
    </row>
    <row r="137">
      <c r="A137" s="59">
        <v>45859.0</v>
      </c>
      <c r="B137" s="8" t="s">
        <v>557</v>
      </c>
      <c r="C137" s="8" t="s">
        <v>558</v>
      </c>
      <c r="D137" s="59">
        <v>45856.0</v>
      </c>
      <c r="E137" s="8">
        <v>0.0</v>
      </c>
      <c r="G137" s="8">
        <v>-2.014850964E7</v>
      </c>
      <c r="H137" s="8">
        <v>1.8966476E7</v>
      </c>
      <c r="I137" s="14">
        <f t="shared" si="1"/>
        <v>-1182033.64</v>
      </c>
    </row>
    <row r="138">
      <c r="A138" s="59">
        <v>45860.0</v>
      </c>
      <c r="B138" s="8" t="s">
        <v>557</v>
      </c>
      <c r="C138" s="8" t="s">
        <v>558</v>
      </c>
      <c r="D138" s="59">
        <v>45859.0</v>
      </c>
      <c r="E138" s="8">
        <v>0.0</v>
      </c>
      <c r="G138" s="8">
        <v>-2.014850964E7</v>
      </c>
      <c r="H138" s="8">
        <v>1.9082307E7</v>
      </c>
      <c r="I138" s="14">
        <f t="shared" si="1"/>
        <v>-1066202.64</v>
      </c>
    </row>
    <row r="139">
      <c r="A139" s="59">
        <v>45861.0</v>
      </c>
      <c r="B139" s="8" t="s">
        <v>557</v>
      </c>
      <c r="C139" s="8" t="s">
        <v>558</v>
      </c>
      <c r="D139" s="59">
        <v>45860.0</v>
      </c>
      <c r="E139" s="8">
        <v>0.0</v>
      </c>
      <c r="G139" s="8">
        <v>-2.014850964E7</v>
      </c>
      <c r="H139" s="8">
        <v>1.9061701E7</v>
      </c>
      <c r="I139" s="14">
        <f t="shared" si="1"/>
        <v>-1086808.64</v>
      </c>
    </row>
    <row r="140">
      <c r="A140" s="59">
        <v>45862.0</v>
      </c>
      <c r="B140" s="8" t="s">
        <v>557</v>
      </c>
      <c r="C140" s="8" t="s">
        <v>558</v>
      </c>
      <c r="D140" s="59">
        <v>45861.0</v>
      </c>
      <c r="E140" s="8">
        <v>0.0</v>
      </c>
      <c r="G140" s="8">
        <v>-2.014850964E7</v>
      </c>
      <c r="H140" s="8">
        <v>1.9086602E7</v>
      </c>
      <c r="I140" s="14">
        <f t="shared" si="1"/>
        <v>-1061907.64</v>
      </c>
    </row>
    <row r="141">
      <c r="A141" s="59">
        <v>45863.0</v>
      </c>
      <c r="B141" s="8" t="s">
        <v>557</v>
      </c>
      <c r="C141" s="8" t="s">
        <v>558</v>
      </c>
      <c r="D141" s="59">
        <v>45862.0</v>
      </c>
      <c r="E141" s="8">
        <v>0.0</v>
      </c>
      <c r="G141" s="8">
        <v>-2.014850964E7</v>
      </c>
      <c r="H141" s="8">
        <v>1.9065854E7</v>
      </c>
      <c r="I141" s="14">
        <f t="shared" si="1"/>
        <v>-1082655.64</v>
      </c>
    </row>
    <row r="142">
      <c r="A142" s="149">
        <v>45866.0</v>
      </c>
      <c r="B142" s="64" t="s">
        <v>557</v>
      </c>
      <c r="C142" s="64" t="s">
        <v>558</v>
      </c>
      <c r="D142" s="149">
        <v>45863.0</v>
      </c>
      <c r="E142" s="151">
        <v>0.0</v>
      </c>
      <c r="F142" s="151"/>
      <c r="G142" s="151">
        <v>-2.014850964E7</v>
      </c>
      <c r="H142" s="152">
        <v>1.8720919E7</v>
      </c>
      <c r="I142" s="151">
        <f t="shared" si="1"/>
        <v>-1427590.64</v>
      </c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</row>
    <row r="143">
      <c r="A143" s="149">
        <v>45867.0</v>
      </c>
      <c r="B143" s="64" t="s">
        <v>557</v>
      </c>
      <c r="C143" s="64" t="s">
        <v>558</v>
      </c>
      <c r="D143" s="149">
        <v>45866.0</v>
      </c>
      <c r="E143" s="151">
        <v>0.0</v>
      </c>
      <c r="F143" s="151"/>
      <c r="G143" s="151">
        <v>-2.014850964E7</v>
      </c>
      <c r="H143" s="152">
        <v>1.8647757E7</v>
      </c>
      <c r="I143" s="151">
        <f t="shared" si="1"/>
        <v>-1500752.64</v>
      </c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</row>
    <row r="144">
      <c r="A144" s="149">
        <v>45868.0</v>
      </c>
      <c r="B144" s="64" t="s">
        <v>557</v>
      </c>
      <c r="C144" s="64" t="s">
        <v>558</v>
      </c>
      <c r="D144" s="149">
        <v>45867.0</v>
      </c>
      <c r="E144" s="151">
        <v>0.0</v>
      </c>
      <c r="F144" s="151"/>
      <c r="G144" s="151">
        <v>-2.014850964E7</v>
      </c>
      <c r="H144" s="152">
        <v>1.872324E7</v>
      </c>
      <c r="I144" s="151">
        <f t="shared" si="1"/>
        <v>-1425269.64</v>
      </c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</row>
    <row r="145">
      <c r="A145" s="149">
        <v>45869.0</v>
      </c>
      <c r="B145" s="64" t="s">
        <v>557</v>
      </c>
      <c r="C145" s="64" t="s">
        <v>558</v>
      </c>
      <c r="D145" s="149">
        <v>45868.0</v>
      </c>
      <c r="E145" s="151">
        <v>0.0</v>
      </c>
      <c r="F145" s="151"/>
      <c r="G145" s="151">
        <v>-2.014850964E7</v>
      </c>
      <c r="H145" s="152">
        <v>1.8645336E7</v>
      </c>
      <c r="I145" s="151">
        <f t="shared" si="1"/>
        <v>-1503173.64</v>
      </c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</row>
    <row r="146">
      <c r="A146" s="149">
        <v>45870.0</v>
      </c>
      <c r="B146" s="64" t="s">
        <v>557</v>
      </c>
      <c r="C146" s="64" t="s">
        <v>558</v>
      </c>
      <c r="D146" s="149">
        <v>45869.0</v>
      </c>
      <c r="E146" s="151">
        <v>0.0</v>
      </c>
      <c r="F146" s="151"/>
      <c r="G146" s="151">
        <v>-2.014850964E7</v>
      </c>
      <c r="H146" s="152">
        <v>1.8603848E7</v>
      </c>
      <c r="I146" s="151">
        <f t="shared" si="1"/>
        <v>-1544661.64</v>
      </c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</row>
    <row r="147">
      <c r="A147" s="149">
        <v>45873.0</v>
      </c>
      <c r="B147" s="64" t="s">
        <v>557</v>
      </c>
      <c r="C147" s="64" t="s">
        <v>558</v>
      </c>
      <c r="D147" s="149">
        <v>45870.0</v>
      </c>
      <c r="E147" s="151">
        <v>0.0</v>
      </c>
      <c r="F147" s="151"/>
      <c r="G147" s="151">
        <v>-2.014850964E7</v>
      </c>
      <c r="H147" s="152">
        <v>1.8255818E7</v>
      </c>
      <c r="I147" s="151">
        <f t="shared" si="1"/>
        <v>-1892691.64</v>
      </c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</row>
    <row r="148">
      <c r="A148" s="149">
        <v>45874.0</v>
      </c>
      <c r="B148" s="64" t="s">
        <v>557</v>
      </c>
      <c r="C148" s="64" t="s">
        <v>558</v>
      </c>
      <c r="D148" s="149">
        <v>45873.0</v>
      </c>
      <c r="E148" s="151">
        <v>0.0</v>
      </c>
      <c r="F148" s="151"/>
      <c r="G148" s="151">
        <v>-2.014850964E7</v>
      </c>
      <c r="H148" s="152">
        <v>1.859111E7</v>
      </c>
      <c r="I148" s="151">
        <f t="shared" si="1"/>
        <v>-1557399.64</v>
      </c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</row>
    <row r="149">
      <c r="A149" s="149">
        <v>45875.0</v>
      </c>
      <c r="B149" s="64" t="s">
        <v>557</v>
      </c>
      <c r="C149" s="64" t="s">
        <v>558</v>
      </c>
      <c r="D149" s="149">
        <v>45874.0</v>
      </c>
      <c r="E149" s="151">
        <v>0.0</v>
      </c>
      <c r="F149" s="151"/>
      <c r="G149" s="151">
        <v>-2.014850964E7</v>
      </c>
      <c r="H149" s="152">
        <v>1.8447102E7</v>
      </c>
      <c r="I149" s="151">
        <f t="shared" si="1"/>
        <v>-1701407.64</v>
      </c>
    </row>
    <row r="150">
      <c r="A150" s="149">
        <v>45876.0</v>
      </c>
      <c r="B150" s="64" t="s">
        <v>557</v>
      </c>
      <c r="C150" s="64" t="s">
        <v>558</v>
      </c>
      <c r="D150" s="149">
        <v>45875.0</v>
      </c>
      <c r="E150" s="151">
        <v>0.0</v>
      </c>
      <c r="F150" s="151"/>
      <c r="G150" s="151">
        <v>-2.014850964E7</v>
      </c>
      <c r="H150" s="152">
        <v>1.8213562E7</v>
      </c>
      <c r="I150" s="151">
        <f t="shared" si="1"/>
        <v>-1934947.64</v>
      </c>
    </row>
    <row r="151">
      <c r="A151" s="149">
        <v>45877.0</v>
      </c>
      <c r="B151" s="64" t="s">
        <v>557</v>
      </c>
      <c r="C151" s="64" t="s">
        <v>558</v>
      </c>
      <c r="D151" s="149">
        <v>45876.0</v>
      </c>
      <c r="E151" s="151">
        <v>0.0</v>
      </c>
      <c r="F151" s="151"/>
      <c r="G151" s="151">
        <v>-2.014850964E7</v>
      </c>
      <c r="H151" s="152">
        <v>1.8312983E7</v>
      </c>
      <c r="I151" s="151">
        <f t="shared" si="1"/>
        <v>-1835526.64</v>
      </c>
    </row>
    <row r="152">
      <c r="A152" s="149">
        <v>45880.0</v>
      </c>
      <c r="B152" s="64" t="s">
        <v>557</v>
      </c>
      <c r="C152" s="64" t="s">
        <v>558</v>
      </c>
      <c r="D152" s="149">
        <v>45877.0</v>
      </c>
      <c r="E152" s="151">
        <v>0.0</v>
      </c>
      <c r="F152" s="151"/>
      <c r="G152" s="151">
        <v>-2.014850964E7</v>
      </c>
      <c r="H152" s="152">
        <v>1.7822354E7</v>
      </c>
      <c r="I152" s="151">
        <f t="shared" si="1"/>
        <v>-2326155.64</v>
      </c>
    </row>
    <row r="153">
      <c r="A153" s="149">
        <v>45881.0</v>
      </c>
      <c r="B153" s="64" t="s">
        <v>557</v>
      </c>
      <c r="C153" s="64" t="s">
        <v>558</v>
      </c>
      <c r="D153" s="149">
        <v>45880.0</v>
      </c>
      <c r="E153" s="151">
        <v>0.0</v>
      </c>
      <c r="F153" s="151"/>
      <c r="G153" s="151">
        <v>-2.014850964E7</v>
      </c>
      <c r="H153" s="152">
        <v>1.7908403E7</v>
      </c>
      <c r="I153" s="151">
        <f t="shared" si="1"/>
        <v>-2240106.64</v>
      </c>
    </row>
    <row r="154">
      <c r="A154" s="149">
        <v>45882.0</v>
      </c>
      <c r="B154" s="64" t="s">
        <v>557</v>
      </c>
      <c r="C154" s="64" t="s">
        <v>558</v>
      </c>
      <c r="D154" s="149">
        <v>45881.0</v>
      </c>
      <c r="E154" s="151">
        <v>0.0</v>
      </c>
      <c r="F154" s="151"/>
      <c r="G154" s="151">
        <v>-2.014850964E7</v>
      </c>
      <c r="H154" s="152">
        <v>1.7865144E7</v>
      </c>
      <c r="I154" s="151">
        <f t="shared" si="1"/>
        <v>-2283365.64</v>
      </c>
    </row>
    <row r="155">
      <c r="A155" s="149">
        <v>45883.0</v>
      </c>
      <c r="B155" s="64" t="s">
        <v>557</v>
      </c>
      <c r="C155" s="64" t="s">
        <v>558</v>
      </c>
      <c r="D155" s="149">
        <v>45882.0</v>
      </c>
      <c r="E155" s="151">
        <v>0.0</v>
      </c>
      <c r="F155" s="151"/>
      <c r="G155" s="151">
        <v>-2.014850964E7</v>
      </c>
      <c r="H155" s="152">
        <v>1.8171132E7</v>
      </c>
      <c r="I155" s="151">
        <f t="shared" si="1"/>
        <v>-1977377.64</v>
      </c>
    </row>
    <row r="156">
      <c r="A156" s="149">
        <v>45887.0</v>
      </c>
      <c r="B156" s="64" t="s">
        <v>557</v>
      </c>
      <c r="C156" s="64" t="s">
        <v>558</v>
      </c>
      <c r="D156" s="149">
        <v>45883.0</v>
      </c>
      <c r="E156" s="151">
        <v>0.0</v>
      </c>
      <c r="F156" s="151"/>
      <c r="G156" s="151">
        <v>-2.014850964E7</v>
      </c>
      <c r="H156" s="152">
        <v>1.8176009E7</v>
      </c>
      <c r="I156" s="151">
        <f t="shared" si="1"/>
        <v>-1972500.64</v>
      </c>
    </row>
    <row r="157">
      <c r="A157" s="149">
        <v>45888.0</v>
      </c>
      <c r="B157" s="64" t="s">
        <v>557</v>
      </c>
      <c r="C157" s="64" t="s">
        <v>558</v>
      </c>
      <c r="D157" s="149">
        <v>45887.0</v>
      </c>
      <c r="E157" s="151">
        <v>0.0</v>
      </c>
      <c r="F157" s="151"/>
      <c r="G157" s="151">
        <v>-2.014850964E7</v>
      </c>
      <c r="H157" s="152">
        <v>1.8428277E7</v>
      </c>
      <c r="I157" s="151">
        <f t="shared" si="1"/>
        <v>-1720232.64</v>
      </c>
    </row>
    <row r="158">
      <c r="A158" s="149">
        <v>45889.0</v>
      </c>
      <c r="B158" s="64" t="s">
        <v>557</v>
      </c>
      <c r="C158" s="64" t="s">
        <v>558</v>
      </c>
      <c r="D158" s="149">
        <v>45888.0</v>
      </c>
      <c r="E158" s="151">
        <v>0.0</v>
      </c>
      <c r="F158" s="151"/>
      <c r="G158" s="151">
        <v>-2.014850964E7</v>
      </c>
      <c r="H158" s="152">
        <v>1.8542581E7</v>
      </c>
      <c r="I158" s="151">
        <f t="shared" si="1"/>
        <v>-1605928.64</v>
      </c>
    </row>
    <row r="159">
      <c r="A159" s="149">
        <v>45890.0</v>
      </c>
      <c r="B159" s="64" t="s">
        <v>557</v>
      </c>
      <c r="C159" s="64" t="s">
        <v>558</v>
      </c>
      <c r="D159" s="149">
        <v>45889.0</v>
      </c>
      <c r="E159" s="151">
        <v>0.0</v>
      </c>
      <c r="F159" s="151"/>
      <c r="G159" s="151">
        <v>-2.014850964E7</v>
      </c>
      <c r="H159" s="152">
        <v>1.8526387E7</v>
      </c>
      <c r="I159" s="151">
        <f t="shared" si="1"/>
        <v>-1622122.64</v>
      </c>
    </row>
    <row r="160">
      <c r="A160" s="149">
        <v>45891.0</v>
      </c>
      <c r="B160" s="64" t="s">
        <v>557</v>
      </c>
      <c r="C160" s="64" t="s">
        <v>558</v>
      </c>
      <c r="D160" s="149">
        <v>45890.0</v>
      </c>
      <c r="E160" s="151">
        <v>0.0</v>
      </c>
      <c r="F160" s="151"/>
      <c r="G160" s="151">
        <v>-2.014850964E7</v>
      </c>
      <c r="H160" s="152">
        <v>1.8385853E7</v>
      </c>
      <c r="I160" s="151">
        <f t="shared" si="1"/>
        <v>-1762656.64</v>
      </c>
    </row>
    <row r="161">
      <c r="A161" s="149">
        <v>45894.0</v>
      </c>
      <c r="B161" s="64" t="s">
        <v>557</v>
      </c>
      <c r="C161" s="64" t="s">
        <v>558</v>
      </c>
      <c r="D161" s="149">
        <v>45891.0</v>
      </c>
      <c r="E161" s="151">
        <v>0.0</v>
      </c>
      <c r="F161" s="151"/>
      <c r="G161" s="151">
        <v>-2.014850964E7</v>
      </c>
      <c r="H161" s="152">
        <v>1.8398519E7</v>
      </c>
      <c r="I161" s="151">
        <f t="shared" si="1"/>
        <v>-1749990.64</v>
      </c>
    </row>
    <row r="162">
      <c r="A162" s="149">
        <v>45895.0</v>
      </c>
      <c r="B162" s="64" t="s">
        <v>557</v>
      </c>
      <c r="C162" s="64" t="s">
        <v>558</v>
      </c>
      <c r="D162" s="149">
        <v>45894.0</v>
      </c>
      <c r="E162" s="151">
        <v>0.0</v>
      </c>
      <c r="F162" s="151"/>
      <c r="G162" s="151">
        <v>-2.014850964E7</v>
      </c>
      <c r="H162" s="152">
        <v>1.8421677E7</v>
      </c>
      <c r="I162" s="151">
        <f t="shared" si="1"/>
        <v>-1726832.64</v>
      </c>
    </row>
    <row r="163">
      <c r="A163" s="149">
        <v>45897.0</v>
      </c>
      <c r="B163" s="64" t="s">
        <v>557</v>
      </c>
      <c r="C163" s="64" t="s">
        <v>558</v>
      </c>
      <c r="D163" s="149">
        <v>45895.0</v>
      </c>
      <c r="E163" s="151">
        <v>0.0</v>
      </c>
      <c r="F163" s="151"/>
      <c r="G163" s="151">
        <v>-2.014850964E7</v>
      </c>
      <c r="H163" s="152">
        <v>1.8030265E7</v>
      </c>
      <c r="I163" s="151">
        <f t="shared" si="1"/>
        <v>-2118244.64</v>
      </c>
    </row>
    <row r="164">
      <c r="A164" s="149">
        <v>45898.0</v>
      </c>
      <c r="B164" s="64" t="s">
        <v>557</v>
      </c>
      <c r="C164" s="64" t="s">
        <v>558</v>
      </c>
      <c r="D164" s="149">
        <v>45897.0</v>
      </c>
      <c r="E164" s="151">
        <v>0.0</v>
      </c>
      <c r="F164" s="151"/>
      <c r="G164" s="151">
        <v>-2.014850964E7</v>
      </c>
      <c r="H164" s="152">
        <v>1.7750464E7</v>
      </c>
      <c r="I164" s="151">
        <f t="shared" si="1"/>
        <v>-2398045.64</v>
      </c>
    </row>
    <row r="165">
      <c r="A165" s="149">
        <v>45901.0</v>
      </c>
      <c r="B165" s="64" t="s">
        <v>557</v>
      </c>
      <c r="C165" s="64" t="s">
        <v>558</v>
      </c>
      <c r="D165" s="149">
        <v>45898.0</v>
      </c>
      <c r="E165" s="151">
        <v>0.0</v>
      </c>
      <c r="F165" s="151"/>
      <c r="G165" s="151">
        <v>-2.014850964E7</v>
      </c>
      <c r="H165" s="152">
        <v>1.7573084E7</v>
      </c>
      <c r="I165" s="151">
        <f t="shared" si="1"/>
        <v>-2575425.64</v>
      </c>
    </row>
    <row r="166">
      <c r="A166" s="149">
        <v>45902.0</v>
      </c>
      <c r="B166" s="64" t="s">
        <v>557</v>
      </c>
      <c r="C166" s="64" t="s">
        <v>558</v>
      </c>
      <c r="D166" s="149">
        <v>45901.0</v>
      </c>
      <c r="E166" s="151">
        <v>0.0</v>
      </c>
      <c r="F166" s="151"/>
      <c r="G166" s="151">
        <v>-2.014850964E7</v>
      </c>
      <c r="H166" s="152">
        <v>1.8034595E7</v>
      </c>
      <c r="I166" s="151">
        <f t="shared" si="1"/>
        <v>-2113914.64</v>
      </c>
    </row>
    <row r="167">
      <c r="A167" s="149">
        <v>45903.0</v>
      </c>
      <c r="B167" s="64" t="s">
        <v>557</v>
      </c>
      <c r="C167" s="64" t="s">
        <v>558</v>
      </c>
      <c r="D167" s="149">
        <v>45902.0</v>
      </c>
      <c r="E167" s="151">
        <v>0.0</v>
      </c>
      <c r="F167" s="151"/>
      <c r="G167" s="151">
        <v>-2.014850964E7</v>
      </c>
      <c r="H167" s="152">
        <v>1.8104587E7</v>
      </c>
      <c r="I167" s="151">
        <f t="shared" si="1"/>
        <v>-2043922.64</v>
      </c>
    </row>
    <row r="168">
      <c r="A168" s="149">
        <v>45904.0</v>
      </c>
      <c r="B168" s="64" t="s">
        <v>557</v>
      </c>
      <c r="C168" s="64" t="s">
        <v>558</v>
      </c>
      <c r="D168" s="149">
        <v>45903.0</v>
      </c>
      <c r="E168" s="151">
        <v>0.0</v>
      </c>
      <c r="F168" s="151"/>
      <c r="G168" s="151">
        <v>-2.014850964E7</v>
      </c>
      <c r="H168" s="152">
        <v>1.8341915E7</v>
      </c>
      <c r="I168" s="151">
        <f t="shared" si="1"/>
        <v>-1806594.64</v>
      </c>
    </row>
    <row r="169">
      <c r="A169" s="149">
        <v>45909.0</v>
      </c>
      <c r="B169" s="64" t="s">
        <v>557</v>
      </c>
      <c r="C169" s="64" t="s">
        <v>558</v>
      </c>
      <c r="D169" s="149">
        <v>45904.0</v>
      </c>
      <c r="E169" s="151">
        <v>0.0</v>
      </c>
      <c r="F169" s="151"/>
      <c r="G169" s="151">
        <v>-2.014850964E7</v>
      </c>
      <c r="H169" s="152">
        <v>1.8160299E7</v>
      </c>
      <c r="I169" s="151">
        <f t="shared" si="1"/>
        <v>-1988210.64</v>
      </c>
    </row>
    <row r="170">
      <c r="A170" s="149">
        <v>45909.0</v>
      </c>
      <c r="B170" s="64" t="s">
        <v>557</v>
      </c>
      <c r="C170" s="64" t="s">
        <v>558</v>
      </c>
      <c r="D170" s="149">
        <v>45905.0</v>
      </c>
      <c r="E170" s="151">
        <v>0.0</v>
      </c>
      <c r="F170" s="151"/>
      <c r="G170" s="151">
        <v>-2.014850964E7</v>
      </c>
      <c r="H170" s="152">
        <v>1.8292351E7</v>
      </c>
      <c r="I170" s="151">
        <f t="shared" si="1"/>
        <v>-1856158.64</v>
      </c>
    </row>
    <row r="171">
      <c r="A171" s="149">
        <v>45910.0</v>
      </c>
      <c r="B171" s="64" t="s">
        <v>557</v>
      </c>
      <c r="C171" s="64" t="s">
        <v>558</v>
      </c>
      <c r="D171" s="149">
        <v>45908.0</v>
      </c>
      <c r="E171" s="151">
        <v>0.0</v>
      </c>
      <c r="F171" s="151"/>
      <c r="G171" s="151">
        <v>-2.014850964E7</v>
      </c>
      <c r="H171" s="152">
        <v>1.8360713E7</v>
      </c>
      <c r="I171" s="151">
        <f t="shared" si="1"/>
        <v>-1787796.64</v>
      </c>
    </row>
    <row r="172">
      <c r="A172" s="149">
        <v>45910.0</v>
      </c>
      <c r="B172" s="64" t="s">
        <v>557</v>
      </c>
      <c r="C172" s="64" t="s">
        <v>558</v>
      </c>
      <c r="D172" s="149">
        <v>45909.0</v>
      </c>
      <c r="E172" s="151">
        <v>0.0</v>
      </c>
      <c r="F172" s="151"/>
      <c r="G172" s="151">
        <v>-2.014850964E7</v>
      </c>
      <c r="H172" s="152">
        <v>1.8421716E7</v>
      </c>
      <c r="I172" s="151">
        <f t="shared" si="1"/>
        <v>-1726793.64</v>
      </c>
    </row>
    <row r="173">
      <c r="A173" s="149">
        <v>45911.0</v>
      </c>
      <c r="B173" s="64" t="s">
        <v>557</v>
      </c>
      <c r="C173" s="64" t="s">
        <v>558</v>
      </c>
      <c r="D173" s="149">
        <v>45910.0</v>
      </c>
      <c r="E173" s="151">
        <v>0.0</v>
      </c>
      <c r="F173" s="151"/>
      <c r="G173" s="151">
        <v>-2.014850964E7</v>
      </c>
      <c r="H173" s="152">
        <v>1.853479E7</v>
      </c>
      <c r="I173" s="151">
        <f t="shared" si="1"/>
        <v>-1613719.64</v>
      </c>
    </row>
    <row r="174">
      <c r="A174" s="149">
        <v>45912.0</v>
      </c>
      <c r="B174" s="64" t="s">
        <v>557</v>
      </c>
      <c r="C174" s="64" t="s">
        <v>558</v>
      </c>
      <c r="D174" s="149">
        <v>45911.0</v>
      </c>
      <c r="E174" s="151">
        <v>0.0</v>
      </c>
      <c r="F174" s="151"/>
      <c r="G174" s="151">
        <v>-2.014850964E7</v>
      </c>
      <c r="H174" s="152">
        <v>1.8439843E7</v>
      </c>
      <c r="I174" s="151">
        <f t="shared" si="1"/>
        <v>-1708666.64</v>
      </c>
    </row>
    <row r="175">
      <c r="A175" s="149">
        <v>45915.0</v>
      </c>
      <c r="B175" s="64" t="s">
        <v>557</v>
      </c>
      <c r="C175" s="64" t="s">
        <v>558</v>
      </c>
      <c r="D175" s="149">
        <v>45912.0</v>
      </c>
      <c r="E175" s="151">
        <v>0.0</v>
      </c>
      <c r="F175" s="151"/>
      <c r="G175" s="151">
        <v>-2.014850964E7</v>
      </c>
      <c r="H175" s="152">
        <v>1.8607237E7</v>
      </c>
      <c r="I175" s="151">
        <f t="shared" si="1"/>
        <v>-1541272.64</v>
      </c>
    </row>
    <row r="176">
      <c r="A176" s="149">
        <v>45916.0</v>
      </c>
      <c r="B176" s="64" t="s">
        <v>557</v>
      </c>
      <c r="C176" s="64" t="s">
        <v>558</v>
      </c>
      <c r="D176" s="149">
        <v>45915.0</v>
      </c>
      <c r="E176" s="151">
        <v>0.0</v>
      </c>
      <c r="F176" s="151"/>
      <c r="G176" s="151">
        <v>-2.014850964E7</v>
      </c>
      <c r="H176" s="152">
        <v>1.8691117E7</v>
      </c>
      <c r="I176" s="151">
        <f t="shared" si="1"/>
        <v>-1457392.64</v>
      </c>
    </row>
    <row r="177">
      <c r="A177" s="149">
        <v>45917.0</v>
      </c>
      <c r="B177" s="64" t="s">
        <v>557</v>
      </c>
      <c r="C177" s="64" t="s">
        <v>558</v>
      </c>
      <c r="D177" s="149">
        <v>45916.0</v>
      </c>
      <c r="E177" s="151">
        <v>0.0</v>
      </c>
      <c r="F177" s="151"/>
      <c r="G177" s="151">
        <v>-2.014850964E7</v>
      </c>
      <c r="H177" s="152">
        <v>1.8724507E7</v>
      </c>
      <c r="I177" s="151">
        <f t="shared" si="1"/>
        <v>-1424002.64</v>
      </c>
    </row>
    <row r="178">
      <c r="A178" s="149">
        <v>45918.0</v>
      </c>
      <c r="B178" s="64" t="s">
        <v>557</v>
      </c>
      <c r="C178" s="64" t="s">
        <v>558</v>
      </c>
      <c r="D178" s="149">
        <v>45917.0</v>
      </c>
      <c r="E178" s="151">
        <v>0.0</v>
      </c>
      <c r="F178" s="151"/>
      <c r="G178" s="151">
        <v>-2.014850964E7</v>
      </c>
      <c r="H178" s="152">
        <v>1.8782007E7</v>
      </c>
      <c r="I178" s="151">
        <f t="shared" si="1"/>
        <v>-1366502.64</v>
      </c>
    </row>
    <row r="179">
      <c r="A179" s="149">
        <v>45919.0</v>
      </c>
      <c r="B179" s="64" t="s">
        <v>557</v>
      </c>
      <c r="C179" s="64" t="s">
        <v>558</v>
      </c>
      <c r="D179" s="149">
        <v>45918.0</v>
      </c>
      <c r="E179" s="151">
        <v>0.0</v>
      </c>
      <c r="F179" s="151"/>
      <c r="G179" s="151">
        <v>-2.014850964E7</v>
      </c>
      <c r="H179" s="152">
        <v>1.8880018E7</v>
      </c>
      <c r="I179" s="151">
        <f t="shared" si="1"/>
        <v>-1268491.64</v>
      </c>
    </row>
    <row r="180">
      <c r="A180" s="149">
        <v>45922.0</v>
      </c>
      <c r="B180" s="64" t="s">
        <v>557</v>
      </c>
      <c r="C180" s="64" t="s">
        <v>558</v>
      </c>
      <c r="D180" s="149">
        <v>45919.0</v>
      </c>
      <c r="E180" s="151">
        <v>0.0</v>
      </c>
      <c r="F180" s="151"/>
      <c r="G180" s="151">
        <v>-2.014850964E7</v>
      </c>
      <c r="H180" s="152">
        <v>1.8801659E7</v>
      </c>
      <c r="I180" s="151">
        <f t="shared" si="1"/>
        <v>-1346850.64</v>
      </c>
    </row>
    <row r="181">
      <c r="A181" s="149">
        <v>45923.0</v>
      </c>
      <c r="B181" s="64" t="s">
        <v>557</v>
      </c>
      <c r="C181" s="64" t="s">
        <v>558</v>
      </c>
      <c r="D181" s="149">
        <v>45922.0</v>
      </c>
      <c r="E181" s="151">
        <v>0.0</v>
      </c>
      <c r="F181" s="151"/>
      <c r="G181" s="151">
        <v>-2.014850964E7</v>
      </c>
      <c r="H181" s="152">
        <v>1.869607E7</v>
      </c>
      <c r="I181" s="151">
        <f t="shared" si="1"/>
        <v>-1452439.64</v>
      </c>
    </row>
    <row r="182">
      <c r="A182" s="149">
        <v>45924.0</v>
      </c>
      <c r="B182" s="64" t="s">
        <v>557</v>
      </c>
      <c r="C182" s="64" t="s">
        <v>558</v>
      </c>
      <c r="D182" s="149">
        <v>45923.0</v>
      </c>
      <c r="E182" s="151">
        <v>0.0</v>
      </c>
      <c r="F182" s="151"/>
      <c r="G182" s="151">
        <v>-2.014850964E7</v>
      </c>
      <c r="H182" s="152">
        <v>1.8295997E7</v>
      </c>
      <c r="I182" s="151">
        <f t="shared" si="1"/>
        <v>-1852512.64</v>
      </c>
    </row>
    <row r="183">
      <c r="A183" s="149">
        <v>45925.0</v>
      </c>
      <c r="B183" s="64" t="s">
        <v>557</v>
      </c>
      <c r="C183" s="64" t="s">
        <v>558</v>
      </c>
      <c r="D183" s="149">
        <v>45924.0</v>
      </c>
      <c r="E183" s="151">
        <v>0.0</v>
      </c>
      <c r="F183" s="151"/>
      <c r="G183" s="151">
        <v>-2.014850964E7</v>
      </c>
      <c r="H183" s="152">
        <v>1.8140768E7</v>
      </c>
      <c r="I183" s="151">
        <f t="shared" si="1"/>
        <v>-2007741.64</v>
      </c>
    </row>
    <row r="184">
      <c r="A184" s="149">
        <v>45926.0</v>
      </c>
      <c r="B184" s="64" t="s">
        <v>557</v>
      </c>
      <c r="C184" s="64" t="s">
        <v>558</v>
      </c>
      <c r="D184" s="149">
        <v>45925.0</v>
      </c>
      <c r="E184" s="151">
        <v>0.0</v>
      </c>
      <c r="F184" s="151"/>
      <c r="G184" s="151">
        <v>-2.014850964E7</v>
      </c>
      <c r="H184" s="152">
        <v>1.8029822E7</v>
      </c>
      <c r="I184" s="151">
        <f t="shared" si="1"/>
        <v>-2118687.64</v>
      </c>
    </row>
    <row r="185">
      <c r="A185" s="149">
        <v>45929.0</v>
      </c>
      <c r="B185" s="64" t="s">
        <v>557</v>
      </c>
      <c r="C185" s="64" t="s">
        <v>558</v>
      </c>
      <c r="D185" s="149">
        <v>45926.0</v>
      </c>
      <c r="E185" s="151">
        <v>0.0</v>
      </c>
      <c r="F185" s="151"/>
      <c r="G185" s="151">
        <v>-2.014850964E7</v>
      </c>
      <c r="H185" s="152">
        <v>1.7638366E7</v>
      </c>
      <c r="I185" s="151">
        <f t="shared" si="1"/>
        <v>-2510143.64</v>
      </c>
    </row>
    <row r="186">
      <c r="A186" s="149">
        <v>45930.0</v>
      </c>
      <c r="B186" s="64" t="s">
        <v>557</v>
      </c>
      <c r="C186" s="64" t="s">
        <v>558</v>
      </c>
      <c r="D186" s="149">
        <v>45929.0</v>
      </c>
      <c r="E186" s="151">
        <v>0.0</v>
      </c>
      <c r="F186" s="151"/>
      <c r="G186" s="151">
        <v>-2.014850964E7</v>
      </c>
      <c r="H186" s="152">
        <v>1.7706063E7</v>
      </c>
      <c r="I186" s="151">
        <f t="shared" si="1"/>
        <v>-2442446.64</v>
      </c>
    </row>
    <row r="187">
      <c r="A187" s="149">
        <v>45931.0</v>
      </c>
      <c r="B187" s="64" t="s">
        <v>557</v>
      </c>
      <c r="C187" s="64" t="s">
        <v>558</v>
      </c>
      <c r="D187" s="149">
        <v>45930.0</v>
      </c>
      <c r="E187" s="151">
        <v>0.0</v>
      </c>
      <c r="F187" s="151"/>
      <c r="G187" s="151">
        <v>-2.014850964E7</v>
      </c>
      <c r="H187" s="152">
        <v>1.7613519E7</v>
      </c>
      <c r="I187" s="151">
        <f t="shared" si="1"/>
        <v>-2534990.64</v>
      </c>
    </row>
    <row r="188">
      <c r="A188" s="149">
        <v>45933.0</v>
      </c>
      <c r="B188" s="64" t="s">
        <v>557</v>
      </c>
      <c r="C188" s="64" t="s">
        <v>558</v>
      </c>
      <c r="D188" s="149">
        <v>45931.0</v>
      </c>
      <c r="E188" s="151">
        <v>0.0</v>
      </c>
      <c r="F188" s="151"/>
      <c r="G188" s="151">
        <v>-2.014850964E7</v>
      </c>
      <c r="H188" s="152">
        <v>1.7941606E7</v>
      </c>
      <c r="I188" s="151">
        <f t="shared" si="1"/>
        <v>-2206903.64</v>
      </c>
    </row>
    <row r="189">
      <c r="A189" s="149">
        <v>45936.0</v>
      </c>
      <c r="B189" s="40" t="s">
        <v>575</v>
      </c>
      <c r="C189" s="40" t="s">
        <v>576</v>
      </c>
      <c r="D189" s="149">
        <v>45933.0</v>
      </c>
      <c r="E189" s="152">
        <v>0.0</v>
      </c>
      <c r="F189" s="152">
        <v>8799072.83</v>
      </c>
      <c r="G189" s="152">
        <v>-1.134943781E7</v>
      </c>
      <c r="H189" s="152">
        <v>9429562.0</v>
      </c>
      <c r="I189" s="151">
        <f t="shared" si="1"/>
        <v>-1919875.81</v>
      </c>
    </row>
    <row r="190">
      <c r="A190" s="149">
        <v>45937.0</v>
      </c>
      <c r="B190" s="40" t="s">
        <v>577</v>
      </c>
      <c r="C190" s="40" t="s">
        <v>578</v>
      </c>
      <c r="D190" s="149">
        <v>45936.0</v>
      </c>
      <c r="E190" s="152">
        <v>8912658.6</v>
      </c>
      <c r="F190" s="152">
        <v>0.0</v>
      </c>
      <c r="G190" s="152">
        <v>-2.026209641E7</v>
      </c>
      <c r="H190" s="152">
        <v>1.8384491E7</v>
      </c>
      <c r="I190" s="151">
        <f t="shared" si="1"/>
        <v>-1877605.41</v>
      </c>
    </row>
    <row r="191">
      <c r="A191" s="149">
        <v>45938.0</v>
      </c>
      <c r="B191" s="40" t="s">
        <v>577</v>
      </c>
      <c r="C191" s="40" t="s">
        <v>578</v>
      </c>
      <c r="D191" s="149">
        <v>45937.0</v>
      </c>
      <c r="E191" s="152">
        <v>0.0</v>
      </c>
      <c r="F191" s="152">
        <v>0.0</v>
      </c>
      <c r="G191" s="152">
        <v>-2.026209641E7</v>
      </c>
      <c r="H191" s="152">
        <v>1.8384491E7</v>
      </c>
      <c r="I191" s="151">
        <f t="shared" si="1"/>
        <v>-1877605.41</v>
      </c>
    </row>
    <row r="192">
      <c r="A192" s="149">
        <v>45939.0</v>
      </c>
      <c r="B192" s="40" t="s">
        <v>577</v>
      </c>
      <c r="C192" s="40" t="s">
        <v>578</v>
      </c>
      <c r="D192" s="149">
        <v>45938.0</v>
      </c>
      <c r="E192" s="152">
        <v>0.0</v>
      </c>
      <c r="F192" s="152">
        <v>0.0</v>
      </c>
      <c r="G192" s="152">
        <v>-2.026209641E7</v>
      </c>
      <c r="H192" s="152">
        <v>1.8246492E7</v>
      </c>
      <c r="I192" s="151">
        <f t="shared" si="1"/>
        <v>-2015604.41</v>
      </c>
    </row>
    <row r="193">
      <c r="A193" s="149">
        <v>45940.0</v>
      </c>
      <c r="B193" s="40" t="s">
        <v>577</v>
      </c>
      <c r="C193" s="40" t="s">
        <v>578</v>
      </c>
      <c r="D193" s="149">
        <v>45939.0</v>
      </c>
      <c r="E193" s="152">
        <v>0.0</v>
      </c>
      <c r="F193" s="152">
        <v>0.0</v>
      </c>
      <c r="G193" s="152">
        <v>-2.026209641E7</v>
      </c>
      <c r="H193" s="152">
        <v>1.8437497E7</v>
      </c>
      <c r="I193" s="151">
        <f t="shared" si="1"/>
        <v>-1824599.41</v>
      </c>
    </row>
    <row r="194">
      <c r="A194" s="149">
        <v>45943.0</v>
      </c>
      <c r="B194" s="40" t="s">
        <v>577</v>
      </c>
      <c r="C194" s="40" t="s">
        <v>578</v>
      </c>
      <c r="D194" s="149">
        <v>45940.0</v>
      </c>
      <c r="E194" s="152">
        <v>0.0</v>
      </c>
      <c r="F194" s="152">
        <v>0.0</v>
      </c>
      <c r="G194" s="152">
        <v>-2.026209641E7</v>
      </c>
      <c r="H194" s="152">
        <v>1.8436772E7</v>
      </c>
      <c r="I194" s="151">
        <f t="shared" si="1"/>
        <v>-1825324.41</v>
      </c>
    </row>
    <row r="195">
      <c r="A195" s="149">
        <v>45944.0</v>
      </c>
      <c r="B195" s="40" t="s">
        <v>577</v>
      </c>
      <c r="C195" s="40" t="s">
        <v>578</v>
      </c>
      <c r="D195" s="149">
        <v>45943.0</v>
      </c>
      <c r="E195" s="152">
        <v>0.0</v>
      </c>
      <c r="F195" s="152">
        <v>0.0</v>
      </c>
      <c r="G195" s="152">
        <v>-2.026209641E7</v>
      </c>
      <c r="H195" s="152">
        <v>1.8542266E7</v>
      </c>
      <c r="I195" s="151">
        <f t="shared" si="1"/>
        <v>-1719830.41</v>
      </c>
    </row>
    <row r="196">
      <c r="A196" s="149">
        <v>45945.0</v>
      </c>
      <c r="B196" s="40" t="s">
        <v>577</v>
      </c>
      <c r="C196" s="40" t="s">
        <v>578</v>
      </c>
      <c r="D196" s="149">
        <v>45944.0</v>
      </c>
      <c r="E196" s="152">
        <v>0.0</v>
      </c>
      <c r="F196" s="152">
        <v>0.0</v>
      </c>
      <c r="G196" s="152">
        <v>-2.026209641E7</v>
      </c>
      <c r="H196" s="152">
        <v>1.8413074E7</v>
      </c>
      <c r="I196" s="151">
        <f t="shared" si="1"/>
        <v>-1849022.41</v>
      </c>
    </row>
    <row r="197">
      <c r="A197" s="149">
        <v>45946.0</v>
      </c>
      <c r="B197" s="40" t="s">
        <v>577</v>
      </c>
      <c r="C197" s="40" t="s">
        <v>578</v>
      </c>
      <c r="D197" s="149">
        <v>45945.0</v>
      </c>
      <c r="E197" s="152">
        <v>0.0</v>
      </c>
      <c r="F197" s="152">
        <v>0.0</v>
      </c>
      <c r="G197" s="152">
        <v>-2.026209641E7</v>
      </c>
      <c r="H197" s="152">
        <v>1.864052E7</v>
      </c>
      <c r="I197" s="151">
        <f t="shared" si="1"/>
        <v>-1621576.41</v>
      </c>
    </row>
    <row r="198">
      <c r="A198" s="149">
        <v>45947.0</v>
      </c>
      <c r="B198" s="40" t="s">
        <v>577</v>
      </c>
      <c r="C198" s="40" t="s">
        <v>578</v>
      </c>
      <c r="D198" s="149">
        <v>45946.0</v>
      </c>
      <c r="E198" s="152">
        <v>0.0</v>
      </c>
      <c r="F198" s="152">
        <v>0.0</v>
      </c>
      <c r="G198" s="152">
        <v>-2.026209641E7</v>
      </c>
      <c r="H198" s="152">
        <v>1.8680062E7</v>
      </c>
      <c r="I198" s="151">
        <f t="shared" si="1"/>
        <v>-1582034.41</v>
      </c>
    </row>
    <row r="199">
      <c r="A199" s="149">
        <v>45950.0</v>
      </c>
      <c r="B199" s="40" t="s">
        <v>577</v>
      </c>
      <c r="C199" s="40" t="s">
        <v>578</v>
      </c>
      <c r="D199" s="149">
        <v>45947.0</v>
      </c>
      <c r="E199" s="152">
        <v>0.0</v>
      </c>
      <c r="F199" s="152">
        <v>0.0</v>
      </c>
      <c r="G199" s="152">
        <v>-2.026209641E7</v>
      </c>
      <c r="H199" s="152">
        <v>1.8680052E7</v>
      </c>
      <c r="I199" s="151">
        <f t="shared" si="1"/>
        <v>-1582044.41</v>
      </c>
    </row>
    <row r="200">
      <c r="A200" s="149">
        <v>45953.0</v>
      </c>
      <c r="B200" s="40" t="s">
        <v>577</v>
      </c>
      <c r="C200" s="40" t="s">
        <v>578</v>
      </c>
      <c r="D200" s="149">
        <v>45950.0</v>
      </c>
      <c r="E200" s="152">
        <v>0.0</v>
      </c>
      <c r="F200" s="152">
        <v>0.0</v>
      </c>
      <c r="G200" s="152">
        <v>-2.026209641E7</v>
      </c>
      <c r="H200" s="152">
        <v>1.8815899E7</v>
      </c>
      <c r="I200" s="151">
        <f t="shared" si="1"/>
        <v>-1446197.41</v>
      </c>
    </row>
    <row r="201">
      <c r="A201" s="149">
        <v>45953.0</v>
      </c>
      <c r="B201" s="40" t="s">
        <v>577</v>
      </c>
      <c r="C201" s="40" t="s">
        <v>578</v>
      </c>
      <c r="D201" s="149">
        <v>45951.0</v>
      </c>
      <c r="E201" s="152">
        <v>0.0</v>
      </c>
      <c r="F201" s="152">
        <v>0.0</v>
      </c>
      <c r="G201" s="152">
        <v>-2.026209641E7</v>
      </c>
      <c r="H201" s="152">
        <v>1.8813075E7</v>
      </c>
      <c r="I201" s="151">
        <f t="shared" si="1"/>
        <v>-1449021.41</v>
      </c>
    </row>
    <row r="202">
      <c r="A202" s="149">
        <v>45954.0</v>
      </c>
      <c r="B202" s="40" t="s">
        <v>577</v>
      </c>
      <c r="C202" s="40" t="s">
        <v>578</v>
      </c>
      <c r="D202" s="149">
        <v>45953.0</v>
      </c>
      <c r="E202" s="152">
        <v>0.0</v>
      </c>
      <c r="F202" s="152">
        <v>0.0</v>
      </c>
      <c r="G202" s="152">
        <v>-2.026209641E7</v>
      </c>
      <c r="H202" s="152">
        <v>1.8658168E7</v>
      </c>
      <c r="I202" s="151">
        <f t="shared" si="1"/>
        <v>-1603928.41</v>
      </c>
    </row>
    <row r="203">
      <c r="A203" s="149">
        <v>45957.0</v>
      </c>
      <c r="B203" s="40" t="s">
        <v>577</v>
      </c>
      <c r="C203" s="40" t="s">
        <v>578</v>
      </c>
      <c r="D203" s="149">
        <v>45954.0</v>
      </c>
      <c r="E203" s="152">
        <v>0.0</v>
      </c>
      <c r="F203" s="152">
        <v>0.0</v>
      </c>
      <c r="G203" s="152">
        <v>-2.026209641E7</v>
      </c>
      <c r="H203" s="152">
        <v>1.8566884E7</v>
      </c>
      <c r="I203" s="151">
        <f t="shared" si="1"/>
        <v>-1695212.41</v>
      </c>
    </row>
    <row r="204">
      <c r="A204" s="149">
        <v>45958.0</v>
      </c>
      <c r="B204" s="40" t="s">
        <v>577</v>
      </c>
      <c r="C204" s="40" t="s">
        <v>578</v>
      </c>
      <c r="D204" s="149">
        <v>45957.0</v>
      </c>
      <c r="E204" s="152">
        <v>0.0</v>
      </c>
      <c r="F204" s="152">
        <v>0.0</v>
      </c>
      <c r="G204" s="152">
        <v>-2.026209641E7</v>
      </c>
      <c r="H204" s="152">
        <v>1.8713227E7</v>
      </c>
      <c r="I204" s="151">
        <f t="shared" si="1"/>
        <v>-1548869.41</v>
      </c>
    </row>
    <row r="205">
      <c r="A205" s="149">
        <v>45959.0</v>
      </c>
      <c r="B205" s="40" t="s">
        <v>577</v>
      </c>
      <c r="C205" s="40" t="s">
        <v>578</v>
      </c>
      <c r="D205" s="149">
        <v>45958.0</v>
      </c>
      <c r="E205" s="152">
        <v>0.0</v>
      </c>
      <c r="F205" s="152">
        <v>0.0</v>
      </c>
      <c r="G205" s="152">
        <v>-2.026209641E7</v>
      </c>
      <c r="H205" s="152">
        <v>1.8729177E7</v>
      </c>
      <c r="I205" s="151">
        <f t="shared" si="1"/>
        <v>-1532919.41</v>
      </c>
    </row>
    <row r="206">
      <c r="A206" s="149">
        <v>45960.0</v>
      </c>
      <c r="B206" s="40" t="s">
        <v>577</v>
      </c>
      <c r="C206" s="40" t="s">
        <v>578</v>
      </c>
      <c r="D206" s="149">
        <v>45959.0</v>
      </c>
      <c r="E206" s="152">
        <v>0.0</v>
      </c>
      <c r="F206" s="152">
        <v>0.0</v>
      </c>
      <c r="G206" s="152">
        <v>-2.026209641E7</v>
      </c>
      <c r="H206" s="152">
        <v>1.870253E7</v>
      </c>
      <c r="I206" s="151">
        <f t="shared" si="1"/>
        <v>-1559566.41</v>
      </c>
    </row>
    <row r="207">
      <c r="A207" s="149">
        <v>45961.0</v>
      </c>
      <c r="B207" s="40" t="s">
        <v>577</v>
      </c>
      <c r="C207" s="40" t="s">
        <v>578</v>
      </c>
      <c r="D207" s="149">
        <v>45960.0</v>
      </c>
      <c r="E207" s="152">
        <v>0.0</v>
      </c>
      <c r="F207" s="152">
        <v>0.0</v>
      </c>
      <c r="G207" s="152">
        <v>-2.026209641E7</v>
      </c>
      <c r="H207" s="152">
        <v>1.8690474E7</v>
      </c>
      <c r="I207" s="151">
        <f t="shared" si="1"/>
        <v>-1571622.41</v>
      </c>
    </row>
    <row r="208">
      <c r="A208" s="149">
        <v>45964.0</v>
      </c>
      <c r="B208" s="40" t="s">
        <v>577</v>
      </c>
      <c r="C208" s="40" t="s">
        <v>578</v>
      </c>
      <c r="D208" s="149">
        <v>45961.0</v>
      </c>
      <c r="E208" s="152">
        <v>0.0</v>
      </c>
      <c r="F208" s="152">
        <v>0.0</v>
      </c>
      <c r="G208" s="152">
        <v>-2.026209641E7</v>
      </c>
      <c r="H208" s="152">
        <v>1.8702386E7</v>
      </c>
      <c r="I208" s="151">
        <f t="shared" si="1"/>
        <v>-1559710.41</v>
      </c>
    </row>
    <row r="209">
      <c r="A209" s="149">
        <v>45965.0</v>
      </c>
      <c r="B209" s="40" t="s">
        <v>577</v>
      </c>
      <c r="C209" s="40" t="s">
        <v>578</v>
      </c>
      <c r="D209" s="149">
        <v>45964.0</v>
      </c>
      <c r="E209" s="152">
        <v>0.0</v>
      </c>
      <c r="F209" s="152">
        <v>0.0</v>
      </c>
      <c r="G209" s="152">
        <v>-2.026209641E7</v>
      </c>
      <c r="H209" s="152">
        <v>1.884382E7</v>
      </c>
      <c r="I209" s="151">
        <f t="shared" si="1"/>
        <v>-1418276.41</v>
      </c>
    </row>
    <row r="210">
      <c r="A210" s="149">
        <v>45967.0</v>
      </c>
      <c r="B210" s="40" t="s">
        <v>577</v>
      </c>
      <c r="C210" s="40" t="s">
        <v>578</v>
      </c>
      <c r="D210" s="149">
        <v>45965.0</v>
      </c>
      <c r="E210" s="152">
        <v>0.0</v>
      </c>
      <c r="F210" s="152">
        <v>0.0</v>
      </c>
      <c r="G210" s="152">
        <v>-2.026209641E7</v>
      </c>
      <c r="H210" s="152">
        <v>1.8770512E7</v>
      </c>
      <c r="I210" s="151">
        <f t="shared" si="1"/>
        <v>-1491584.41</v>
      </c>
    </row>
    <row r="211">
      <c r="A211" s="149">
        <v>45968.0</v>
      </c>
      <c r="B211" s="40" t="s">
        <v>577</v>
      </c>
      <c r="C211" s="40" t="s">
        <v>578</v>
      </c>
      <c r="D211" s="149">
        <v>45967.0</v>
      </c>
      <c r="E211" s="152">
        <v>0.0</v>
      </c>
      <c r="F211" s="152">
        <v>0.0</v>
      </c>
      <c r="G211" s="152">
        <v>-2.026209641E7</v>
      </c>
      <c r="H211" s="152">
        <v>1.8641176E7</v>
      </c>
      <c r="I211" s="151">
        <f t="shared" si="1"/>
        <v>-1620920.41</v>
      </c>
    </row>
    <row r="212">
      <c r="A212" s="149">
        <v>45971.0</v>
      </c>
      <c r="B212" s="40" t="s">
        <v>577</v>
      </c>
      <c r="C212" s="40" t="s">
        <v>578</v>
      </c>
      <c r="D212" s="149">
        <v>45968.0</v>
      </c>
      <c r="E212" s="152">
        <v>0.0</v>
      </c>
      <c r="F212" s="152">
        <v>0.0</v>
      </c>
      <c r="G212" s="152">
        <v>-2.026209641E7</v>
      </c>
      <c r="H212" s="152">
        <v>1.887897E7</v>
      </c>
      <c r="I212" s="151">
        <f t="shared" si="1"/>
        <v>-1383126.41</v>
      </c>
    </row>
    <row r="213">
      <c r="A213" s="149">
        <v>45972.0</v>
      </c>
      <c r="B213" s="40" t="s">
        <v>577</v>
      </c>
      <c r="C213" s="40" t="s">
        <v>578</v>
      </c>
      <c r="D213" s="149">
        <v>45971.0</v>
      </c>
      <c r="E213" s="152">
        <v>0.0</v>
      </c>
      <c r="F213" s="152">
        <v>0.0</v>
      </c>
      <c r="G213" s="152">
        <v>-2.026209641E7</v>
      </c>
      <c r="H213" s="152">
        <v>1.8994381E7</v>
      </c>
      <c r="I213" s="151">
        <f t="shared" si="1"/>
        <v>-1267715.41</v>
      </c>
    </row>
    <row r="214">
      <c r="A214" s="149">
        <v>45973.0</v>
      </c>
      <c r="B214" s="40" t="s">
        <v>577</v>
      </c>
      <c r="C214" s="40" t="s">
        <v>578</v>
      </c>
      <c r="D214" s="149">
        <v>45972.0</v>
      </c>
      <c r="E214" s="152">
        <v>0.0</v>
      </c>
      <c r="F214" s="152">
        <v>0.0</v>
      </c>
      <c r="G214" s="152">
        <v>-2.026209641E7</v>
      </c>
      <c r="H214" s="152">
        <v>1.9031554E7</v>
      </c>
      <c r="I214" s="151">
        <f t="shared" si="1"/>
        <v>-1230542.41</v>
      </c>
    </row>
    <row r="215">
      <c r="A215" s="149">
        <v>45974.0</v>
      </c>
      <c r="B215" s="40" t="s">
        <v>577</v>
      </c>
      <c r="C215" s="40" t="s">
        <v>578</v>
      </c>
      <c r="D215" s="149">
        <v>45973.0</v>
      </c>
      <c r="E215" s="152">
        <v>0.0</v>
      </c>
      <c r="F215" s="152">
        <v>0.0</v>
      </c>
      <c r="G215" s="152">
        <v>-2.026209641E7</v>
      </c>
      <c r="H215" s="152">
        <v>1.9094971E7</v>
      </c>
      <c r="I215" s="151">
        <f t="shared" si="1"/>
        <v>-1167125.41</v>
      </c>
    </row>
    <row r="216">
      <c r="A216" s="149">
        <v>45975.0</v>
      </c>
      <c r="B216" s="40" t="s">
        <v>577</v>
      </c>
      <c r="C216" s="40" t="s">
        <v>578</v>
      </c>
      <c r="D216" s="149">
        <v>45974.0</v>
      </c>
      <c r="E216" s="152">
        <v>0.0</v>
      </c>
      <c r="F216" s="152">
        <v>0.0</v>
      </c>
      <c r="G216" s="152">
        <v>-2.026209641E7</v>
      </c>
      <c r="H216" s="152">
        <v>1.9035736E7</v>
      </c>
      <c r="I216" s="151">
        <f t="shared" si="1"/>
        <v>-1226360.41</v>
      </c>
    </row>
    <row r="217">
      <c r="A217" s="149">
        <v>45978.0</v>
      </c>
      <c r="B217" s="40" t="s">
        <v>577</v>
      </c>
      <c r="C217" s="40" t="s">
        <v>578</v>
      </c>
      <c r="D217" s="149">
        <v>45975.0</v>
      </c>
      <c r="E217" s="152">
        <v>0.0</v>
      </c>
      <c r="F217" s="152">
        <v>0.0</v>
      </c>
      <c r="G217" s="152">
        <v>-2.026209641E7</v>
      </c>
      <c r="H217" s="152">
        <v>1.9237789E7</v>
      </c>
      <c r="I217" s="151">
        <f t="shared" si="1"/>
        <v>-1024307.41</v>
      </c>
    </row>
    <row r="218">
      <c r="A218" s="149">
        <v>45979.0</v>
      </c>
      <c r="B218" s="40" t="s">
        <v>577</v>
      </c>
      <c r="C218" s="40" t="s">
        <v>578</v>
      </c>
      <c r="D218" s="149">
        <v>45978.0</v>
      </c>
      <c r="E218" s="152">
        <v>0.0</v>
      </c>
      <c r="F218" s="152">
        <v>0.0</v>
      </c>
      <c r="G218" s="152">
        <v>-2.026209641E7</v>
      </c>
      <c r="H218" s="152">
        <v>1.936388E7</v>
      </c>
      <c r="I218" s="151">
        <f t="shared" si="1"/>
        <v>-898216.41</v>
      </c>
    </row>
    <row r="219">
      <c r="A219" s="149">
        <v>45980.0</v>
      </c>
      <c r="B219" s="40" t="s">
        <v>577</v>
      </c>
      <c r="C219" s="40" t="s">
        <v>578</v>
      </c>
      <c r="D219" s="149">
        <v>45979.0</v>
      </c>
      <c r="E219" s="152">
        <v>0.0</v>
      </c>
      <c r="F219" s="152">
        <v>0.0</v>
      </c>
      <c r="G219" s="152">
        <v>-2.026209641E7</v>
      </c>
      <c r="H219" s="152">
        <v>1.917818E7</v>
      </c>
      <c r="I219" s="151">
        <f t="shared" si="1"/>
        <v>-1083916.41</v>
      </c>
    </row>
    <row r="220">
      <c r="A220" s="149">
        <v>45981.0</v>
      </c>
      <c r="B220" s="40" t="s">
        <v>577</v>
      </c>
      <c r="C220" s="40" t="s">
        <v>578</v>
      </c>
      <c r="D220" s="149">
        <v>45980.0</v>
      </c>
      <c r="E220" s="152">
        <v>0.0</v>
      </c>
      <c r="F220" s="152">
        <v>0.0</v>
      </c>
      <c r="G220" s="152">
        <v>-2.026209641E7</v>
      </c>
      <c r="H220" s="152">
        <v>1.9192814E7</v>
      </c>
      <c r="I220" s="151">
        <f t="shared" si="1"/>
        <v>-1069282.41</v>
      </c>
    </row>
    <row r="221">
      <c r="A221" s="149">
        <v>45982.0</v>
      </c>
      <c r="B221" s="40" t="s">
        <v>577</v>
      </c>
      <c r="C221" s="40" t="s">
        <v>578</v>
      </c>
      <c r="D221" s="149">
        <v>45981.0</v>
      </c>
      <c r="E221" s="152">
        <v>0.0</v>
      </c>
      <c r="F221" s="152">
        <v>0.0</v>
      </c>
      <c r="G221" s="152">
        <v>-2.026209641E7</v>
      </c>
      <c r="H221" s="152">
        <v>1.9267198E7</v>
      </c>
      <c r="I221" s="151">
        <f t="shared" si="1"/>
        <v>-994898.41</v>
      </c>
    </row>
    <row r="222">
      <c r="A222" s="149">
        <v>45985.0</v>
      </c>
      <c r="B222" s="40" t="s">
        <v>577</v>
      </c>
      <c r="C222" s="40" t="s">
        <v>578</v>
      </c>
      <c r="D222" s="149">
        <v>45982.0</v>
      </c>
      <c r="E222" s="152">
        <v>0.0</v>
      </c>
      <c r="F222" s="152">
        <v>0.0</v>
      </c>
      <c r="G222" s="152">
        <v>-2.026209641E7</v>
      </c>
      <c r="H222" s="152">
        <v>1.8948123E7</v>
      </c>
      <c r="I222" s="151">
        <f t="shared" si="1"/>
        <v>-1313973.41</v>
      </c>
    </row>
    <row r="223">
      <c r="A223" s="149">
        <v>45986.0</v>
      </c>
      <c r="B223" s="40" t="s">
        <v>577</v>
      </c>
      <c r="C223" s="40" t="s">
        <v>578</v>
      </c>
      <c r="D223" s="149">
        <v>45985.0</v>
      </c>
      <c r="E223" s="152">
        <v>0.0</v>
      </c>
      <c r="F223" s="152">
        <v>0.0</v>
      </c>
      <c r="G223" s="152">
        <v>-2.026209641E7</v>
      </c>
      <c r="H223" s="152">
        <v>1.8833654E7</v>
      </c>
      <c r="I223" s="151">
        <f t="shared" si="1"/>
        <v>-1428442.41</v>
      </c>
    </row>
    <row r="224">
      <c r="A224" s="149">
        <v>45987.0</v>
      </c>
      <c r="B224" s="40" t="s">
        <v>577</v>
      </c>
      <c r="C224" s="40" t="s">
        <v>578</v>
      </c>
      <c r="D224" s="149">
        <v>45986.0</v>
      </c>
      <c r="E224" s="152">
        <v>0.0</v>
      </c>
      <c r="F224" s="152">
        <v>0.0</v>
      </c>
      <c r="G224" s="152">
        <v>-2.026209641E7</v>
      </c>
      <c r="H224" s="152">
        <v>1.8916385E7</v>
      </c>
      <c r="I224" s="151">
        <f t="shared" si="1"/>
        <v>-1345711.41</v>
      </c>
    </row>
    <row r="225">
      <c r="A225" s="149">
        <v>45988.0</v>
      </c>
      <c r="B225" s="40" t="s">
        <v>577</v>
      </c>
      <c r="C225" s="40" t="s">
        <v>578</v>
      </c>
      <c r="D225" s="149">
        <v>45987.0</v>
      </c>
      <c r="E225" s="152">
        <v>0.0</v>
      </c>
      <c r="F225" s="152">
        <v>0.0</v>
      </c>
      <c r="G225" s="152">
        <v>-2.026209641E7</v>
      </c>
      <c r="H225" s="152">
        <v>1.9030782E7</v>
      </c>
      <c r="I225" s="151">
        <f t="shared" si="1"/>
        <v>-1231314.41</v>
      </c>
    </row>
    <row r="226">
      <c r="A226" s="149">
        <v>45989.0</v>
      </c>
      <c r="B226" s="40" t="s">
        <v>577</v>
      </c>
      <c r="C226" s="40" t="s">
        <v>578</v>
      </c>
      <c r="D226" s="149">
        <v>45988.0</v>
      </c>
      <c r="E226" s="152">
        <v>0.0</v>
      </c>
      <c r="F226" s="152">
        <v>0.0</v>
      </c>
      <c r="G226" s="152">
        <v>-2.026209641E7</v>
      </c>
      <c r="H226" s="152">
        <v>1.9015797E7</v>
      </c>
      <c r="I226" s="151">
        <f t="shared" si="1"/>
        <v>-1246299.41</v>
      </c>
    </row>
    <row r="227">
      <c r="A227" s="149">
        <v>45992.0</v>
      </c>
      <c r="B227" s="40" t="s">
        <v>577</v>
      </c>
      <c r="C227" s="40" t="s">
        <v>578</v>
      </c>
      <c r="D227" s="149">
        <v>45989.0</v>
      </c>
      <c r="E227" s="152">
        <v>0.0</v>
      </c>
      <c r="F227" s="152">
        <v>0.0</v>
      </c>
      <c r="G227" s="152">
        <v>-2.026209641E7</v>
      </c>
      <c r="H227" s="152">
        <v>1.9048962E7</v>
      </c>
      <c r="I227" s="151">
        <f t="shared" si="1"/>
        <v>-1213134.41</v>
      </c>
    </row>
    <row r="228">
      <c r="A228" s="149">
        <v>45993.0</v>
      </c>
      <c r="B228" s="40" t="s">
        <v>577</v>
      </c>
      <c r="C228" s="40" t="s">
        <v>578</v>
      </c>
      <c r="D228" s="149">
        <v>45992.0</v>
      </c>
      <c r="E228" s="152">
        <v>0.0</v>
      </c>
      <c r="F228" s="152">
        <v>0.0</v>
      </c>
      <c r="G228" s="152">
        <v>-2.026209641E7</v>
      </c>
      <c r="H228" s="152">
        <v>1.9094471E7</v>
      </c>
      <c r="I228" s="151">
        <f t="shared" si="1"/>
        <v>-1167625.41</v>
      </c>
    </row>
    <row r="229">
      <c r="A229" s="149">
        <v>45994.0</v>
      </c>
      <c r="B229" s="40" t="s">
        <v>577</v>
      </c>
      <c r="C229" s="40" t="s">
        <v>578</v>
      </c>
      <c r="D229" s="149">
        <v>45993.0</v>
      </c>
      <c r="E229" s="152">
        <v>0.0</v>
      </c>
      <c r="F229" s="152">
        <v>0.0</v>
      </c>
      <c r="G229" s="152">
        <v>-2.026209641E7</v>
      </c>
      <c r="H229" s="152">
        <v>1.9017802E7</v>
      </c>
      <c r="I229" s="151">
        <f t="shared" si="1"/>
        <v>-1244294.41</v>
      </c>
    </row>
    <row r="230">
      <c r="A230" s="149">
        <v>45995.0</v>
      </c>
      <c r="B230" s="40" t="s">
        <v>577</v>
      </c>
      <c r="C230" s="40" t="s">
        <v>578</v>
      </c>
      <c r="D230" s="149">
        <v>45994.0</v>
      </c>
      <c r="E230" s="152">
        <v>0.0</v>
      </c>
      <c r="F230" s="152">
        <v>0.0</v>
      </c>
      <c r="G230" s="152">
        <v>-2.026209641E7</v>
      </c>
      <c r="H230" s="152">
        <v>1.8716978E7</v>
      </c>
      <c r="I230" s="151">
        <f t="shared" si="1"/>
        <v>-1545118.41</v>
      </c>
    </row>
    <row r="231">
      <c r="A231" s="149">
        <v>45996.0</v>
      </c>
      <c r="B231" s="40" t="s">
        <v>577</v>
      </c>
      <c r="C231" s="40" t="s">
        <v>578</v>
      </c>
      <c r="D231" s="149">
        <v>45995.0</v>
      </c>
      <c r="E231" s="152">
        <v>0.0</v>
      </c>
      <c r="F231" s="152">
        <v>0.0</v>
      </c>
      <c r="G231" s="152">
        <v>-2.026209641E7</v>
      </c>
      <c r="H231" s="152">
        <v>1.8569942E7</v>
      </c>
      <c r="I231" s="151">
        <f t="shared" si="1"/>
        <v>-1692154.41</v>
      </c>
    </row>
    <row r="232">
      <c r="A232" s="149">
        <v>45999.0</v>
      </c>
      <c r="B232" s="40" t="s">
        <v>577</v>
      </c>
      <c r="C232" s="40" t="s">
        <v>578</v>
      </c>
      <c r="D232" s="149">
        <v>45996.0</v>
      </c>
      <c r="E232" s="152">
        <v>0.0</v>
      </c>
      <c r="F232" s="152">
        <v>0.0</v>
      </c>
      <c r="G232" s="152">
        <v>-2.026209641E7</v>
      </c>
      <c r="H232" s="152">
        <v>1.8620387E7</v>
      </c>
      <c r="I232" s="151">
        <f t="shared" si="1"/>
        <v>-1641709.41</v>
      </c>
    </row>
    <row r="233">
      <c r="A233" s="149">
        <v>46000.0</v>
      </c>
      <c r="B233" s="40" t="s">
        <v>577</v>
      </c>
      <c r="C233" s="40" t="s">
        <v>578</v>
      </c>
      <c r="D233" s="149">
        <v>45999.0</v>
      </c>
      <c r="E233" s="152">
        <v>0.0</v>
      </c>
      <c r="F233" s="152">
        <v>0.0</v>
      </c>
      <c r="G233" s="152">
        <v>-2.026209641E7</v>
      </c>
      <c r="H233" s="152">
        <v>1.8175707E7</v>
      </c>
      <c r="I233" s="151">
        <f t="shared" si="1"/>
        <v>-2086389.41</v>
      </c>
    </row>
    <row r="234">
      <c r="A234" s="149">
        <v>46001.0</v>
      </c>
      <c r="B234" s="40" t="s">
        <v>577</v>
      </c>
      <c r="C234" s="40" t="s">
        <v>578</v>
      </c>
      <c r="D234" s="149">
        <v>46000.0</v>
      </c>
      <c r="E234" s="152">
        <v>0.0</v>
      </c>
      <c r="F234" s="152">
        <v>0.0</v>
      </c>
      <c r="G234" s="152">
        <v>-2.026209641E7</v>
      </c>
      <c r="H234" s="152">
        <v>1.8306418E7</v>
      </c>
      <c r="I234" s="151">
        <f t="shared" si="1"/>
        <v>-1955678.41</v>
      </c>
    </row>
    <row r="235">
      <c r="A235" s="149">
        <v>46002.0</v>
      </c>
      <c r="B235" s="40" t="s">
        <v>577</v>
      </c>
      <c r="C235" s="40" t="s">
        <v>578</v>
      </c>
      <c r="D235" s="149">
        <v>46001.0</v>
      </c>
      <c r="E235" s="152">
        <v>0.0</v>
      </c>
      <c r="F235" s="152">
        <v>0.0</v>
      </c>
      <c r="G235" s="152">
        <v>-2.026209641E7</v>
      </c>
      <c r="H235" s="152">
        <v>1.7971026E7</v>
      </c>
      <c r="I235" s="151">
        <f t="shared" si="1"/>
        <v>-2291070.41</v>
      </c>
    </row>
    <row r="236">
      <c r="A236" s="149">
        <v>46003.0</v>
      </c>
      <c r="B236" s="40" t="s">
        <v>577</v>
      </c>
      <c r="C236" s="40" t="s">
        <v>578</v>
      </c>
      <c r="D236" s="149">
        <v>46002.0</v>
      </c>
      <c r="E236" s="152">
        <v>0.0</v>
      </c>
      <c r="F236" s="152">
        <v>0.0</v>
      </c>
      <c r="G236" s="152">
        <v>-2.026209641E7</v>
      </c>
      <c r="H236" s="152">
        <v>1.8153517E7</v>
      </c>
      <c r="I236" s="151">
        <f t="shared" si="1"/>
        <v>-2108579.41</v>
      </c>
    </row>
    <row r="237">
      <c r="A237" s="149">
        <v>46006.0</v>
      </c>
      <c r="B237" s="40" t="s">
        <v>577</v>
      </c>
      <c r="C237" s="40" t="s">
        <v>578</v>
      </c>
      <c r="D237" s="149">
        <v>46003.0</v>
      </c>
      <c r="E237" s="152">
        <v>0.0</v>
      </c>
      <c r="F237" s="152">
        <v>0.0</v>
      </c>
      <c r="G237" s="152">
        <v>-2.026209641E7</v>
      </c>
      <c r="H237" s="152">
        <v>1.8360992E7</v>
      </c>
      <c r="I237" s="151">
        <f t="shared" si="1"/>
        <v>-1901104.41</v>
      </c>
    </row>
    <row r="238">
      <c r="A238" s="149">
        <v>46007.0</v>
      </c>
      <c r="B238" s="40" t="s">
        <v>577</v>
      </c>
      <c r="C238" s="40" t="s">
        <v>578</v>
      </c>
      <c r="D238" s="149">
        <v>46006.0</v>
      </c>
      <c r="E238" s="152">
        <v>0.0</v>
      </c>
      <c r="F238" s="152">
        <v>0.0</v>
      </c>
      <c r="G238" s="152">
        <v>-2.026209641E7</v>
      </c>
      <c r="H238" s="152">
        <v>1.8298214E7</v>
      </c>
      <c r="I238" s="151">
        <f t="shared" si="1"/>
        <v>-1963882.41</v>
      </c>
    </row>
    <row r="239">
      <c r="A239" s="149">
        <v>46008.0</v>
      </c>
      <c r="B239" s="40" t="s">
        <v>577</v>
      </c>
      <c r="C239" s="40" t="s">
        <v>578</v>
      </c>
      <c r="D239" s="149">
        <v>46007.0</v>
      </c>
      <c r="E239" s="152">
        <v>0.0</v>
      </c>
      <c r="F239" s="152">
        <v>0.0</v>
      </c>
      <c r="G239" s="152">
        <v>-2.026209641E7</v>
      </c>
      <c r="H239" s="152">
        <v>1.8126833E7</v>
      </c>
      <c r="I239" s="151">
        <f t="shared" si="1"/>
        <v>-2135263.41</v>
      </c>
    </row>
    <row r="240">
      <c r="A240" s="149">
        <v>46009.0</v>
      </c>
      <c r="B240" s="40" t="s">
        <v>577</v>
      </c>
      <c r="C240" s="40" t="s">
        <v>578</v>
      </c>
      <c r="D240" s="149">
        <v>46008.0</v>
      </c>
      <c r="E240" s="152">
        <v>0.0</v>
      </c>
      <c r="F240" s="152">
        <v>0.0</v>
      </c>
      <c r="G240" s="152">
        <v>-2.026209641E7</v>
      </c>
      <c r="H240" s="152">
        <v>1.8000959E7</v>
      </c>
      <c r="I240" s="151">
        <f t="shared" si="1"/>
        <v>-2261137.41</v>
      </c>
    </row>
    <row r="241">
      <c r="A241" s="149">
        <v>46010.0</v>
      </c>
      <c r="B241" s="40" t="s">
        <v>577</v>
      </c>
      <c r="C241" s="40" t="s">
        <v>578</v>
      </c>
      <c r="D241" s="149">
        <v>46009.0</v>
      </c>
      <c r="E241" s="152">
        <v>0.0</v>
      </c>
      <c r="F241" s="152">
        <v>0.0</v>
      </c>
      <c r="G241" s="152">
        <v>-2.026209641E7</v>
      </c>
      <c r="H241" s="152">
        <v>1.8049679E7</v>
      </c>
      <c r="I241" s="151">
        <f t="shared" si="1"/>
        <v>-2212417.41</v>
      </c>
    </row>
    <row r="242">
      <c r="A242" s="149">
        <v>46013.0</v>
      </c>
      <c r="B242" s="40" t="s">
        <v>577</v>
      </c>
      <c r="C242" s="40" t="s">
        <v>578</v>
      </c>
      <c r="D242" s="149">
        <v>46010.0</v>
      </c>
      <c r="E242" s="152">
        <v>0.0</v>
      </c>
      <c r="F242" s="152">
        <v>0.0</v>
      </c>
      <c r="G242" s="152">
        <v>-2.026209641E7</v>
      </c>
      <c r="H242" s="152">
        <v>1.8314613E7</v>
      </c>
      <c r="I242" s="151">
        <f t="shared" si="1"/>
        <v>-1947483.41</v>
      </c>
    </row>
    <row r="243">
      <c r="A243" s="149">
        <v>46014.0</v>
      </c>
      <c r="B243" s="40" t="s">
        <v>577</v>
      </c>
      <c r="C243" s="40" t="s">
        <v>578</v>
      </c>
      <c r="D243" s="149">
        <v>46013.0</v>
      </c>
      <c r="E243" s="152">
        <v>0.0</v>
      </c>
      <c r="F243" s="152">
        <v>0.0</v>
      </c>
      <c r="G243" s="152">
        <v>-2.026209641E7</v>
      </c>
      <c r="H243" s="152">
        <v>1.8583593E7</v>
      </c>
      <c r="I243" s="151">
        <f t="shared" si="1"/>
        <v>-1678503.41</v>
      </c>
    </row>
    <row r="244">
      <c r="A244" s="149">
        <v>46015.0</v>
      </c>
      <c r="B244" s="40" t="s">
        <v>577</v>
      </c>
      <c r="C244" s="40" t="s">
        <v>578</v>
      </c>
      <c r="D244" s="149">
        <v>46014.0</v>
      </c>
      <c r="E244" s="152">
        <v>0.0</v>
      </c>
      <c r="F244" s="152">
        <v>0.0</v>
      </c>
      <c r="G244" s="152">
        <v>-2.026209641E7</v>
      </c>
      <c r="H244" s="152">
        <v>1.8539346E7</v>
      </c>
      <c r="I244" s="151">
        <f t="shared" si="1"/>
        <v>-1722750.41</v>
      </c>
    </row>
    <row r="245">
      <c r="A245" s="149">
        <v>46017.0</v>
      </c>
      <c r="B245" s="40" t="s">
        <v>577</v>
      </c>
      <c r="C245" s="40" t="s">
        <v>578</v>
      </c>
      <c r="D245" s="149">
        <v>46015.0</v>
      </c>
      <c r="E245" s="152">
        <v>0.0</v>
      </c>
      <c r="F245" s="152">
        <v>0.0</v>
      </c>
      <c r="G245" s="152">
        <v>-2.026209641E7</v>
      </c>
      <c r="H245" s="152">
        <v>1.8541768E7</v>
      </c>
      <c r="I245" s="151">
        <f t="shared" si="1"/>
        <v>-1720328.41</v>
      </c>
    </row>
    <row r="246">
      <c r="A246" s="149">
        <v>46020.0</v>
      </c>
      <c r="B246" s="40" t="s">
        <v>577</v>
      </c>
      <c r="C246" s="40" t="s">
        <v>578</v>
      </c>
      <c r="D246" s="149">
        <v>46017.0</v>
      </c>
      <c r="E246" s="152">
        <v>0.0</v>
      </c>
      <c r="F246" s="152">
        <v>0.0</v>
      </c>
      <c r="G246" s="152">
        <v>-2.026209641E7</v>
      </c>
      <c r="H246" s="152">
        <v>1.8470352E7</v>
      </c>
      <c r="I246" s="151">
        <f t="shared" si="1"/>
        <v>-1791744.41</v>
      </c>
    </row>
    <row r="247">
      <c r="A247" s="149">
        <v>46021.0</v>
      </c>
      <c r="B247" s="40" t="s">
        <v>577</v>
      </c>
      <c r="C247" s="40" t="s">
        <v>578</v>
      </c>
      <c r="D247" s="149">
        <v>46020.0</v>
      </c>
      <c r="E247" s="152">
        <v>0.0</v>
      </c>
      <c r="F247" s="152">
        <v>0.0</v>
      </c>
      <c r="G247" s="152">
        <v>-2.026209641E7</v>
      </c>
      <c r="H247" s="152">
        <v>1.8333657E7</v>
      </c>
      <c r="I247" s="151">
        <f t="shared" si="1"/>
        <v>-1928439.41</v>
      </c>
    </row>
    <row r="248">
      <c r="A248" s="149">
        <v>46022.0</v>
      </c>
      <c r="B248" s="40" t="s">
        <v>577</v>
      </c>
      <c r="C248" s="40" t="s">
        <v>578</v>
      </c>
      <c r="D248" s="149">
        <v>46021.0</v>
      </c>
      <c r="E248" s="152">
        <v>0.0</v>
      </c>
      <c r="F248" s="152">
        <v>0.0</v>
      </c>
      <c r="G248" s="152">
        <v>-2.026209641E7</v>
      </c>
      <c r="H248" s="152">
        <v>1.8284278E7</v>
      </c>
      <c r="I248" s="151">
        <f t="shared" si="1"/>
        <v>-1977818.41</v>
      </c>
    </row>
    <row r="249">
      <c r="A249" s="149">
        <v>46023.0</v>
      </c>
      <c r="B249" s="40" t="s">
        <v>577</v>
      </c>
      <c r="C249" s="40" t="s">
        <v>578</v>
      </c>
      <c r="D249" s="149">
        <v>46022.0</v>
      </c>
      <c r="E249" s="152">
        <v>0.0</v>
      </c>
      <c r="F249" s="152">
        <v>0.0</v>
      </c>
      <c r="G249" s="152">
        <v>-2.026209641E7</v>
      </c>
      <c r="H249" s="152">
        <v>1.854741E7</v>
      </c>
      <c r="I249" s="151">
        <f t="shared" si="1"/>
        <v>-1714686.41</v>
      </c>
    </row>
    <row r="250">
      <c r="A250" s="149">
        <v>46024.0</v>
      </c>
      <c r="B250" s="40" t="s">
        <v>577</v>
      </c>
      <c r="C250" s="40" t="s">
        <v>578</v>
      </c>
      <c r="D250" s="149">
        <v>46023.0</v>
      </c>
      <c r="E250" s="152">
        <v>0.0</v>
      </c>
      <c r="F250" s="152">
        <v>0.0</v>
      </c>
      <c r="G250" s="152">
        <v>-2.026209641E7</v>
      </c>
      <c r="H250" s="152">
        <v>1.908904E7</v>
      </c>
      <c r="I250" s="151">
        <f t="shared" si="1"/>
        <v>-1173056.41</v>
      </c>
    </row>
    <row r="251">
      <c r="A251" s="149">
        <v>46027.0</v>
      </c>
      <c r="B251" s="40" t="s">
        <v>577</v>
      </c>
      <c r="C251" s="40" t="s">
        <v>578</v>
      </c>
      <c r="D251" s="149">
        <v>46024.0</v>
      </c>
      <c r="E251" s="152">
        <v>0.0</v>
      </c>
      <c r="F251" s="152">
        <v>0.0</v>
      </c>
      <c r="G251" s="152">
        <v>-2.026209641E7</v>
      </c>
      <c r="H251" s="152">
        <v>1.8571214E7</v>
      </c>
      <c r="I251" s="151">
        <f t="shared" si="1"/>
        <v>-1690882.41</v>
      </c>
    </row>
    <row r="252">
      <c r="A252" s="149">
        <v>46028.0</v>
      </c>
      <c r="B252" s="40" t="s">
        <v>577</v>
      </c>
      <c r="C252" s="40" t="s">
        <v>578</v>
      </c>
      <c r="D252" s="149">
        <v>46027.0</v>
      </c>
      <c r="E252" s="152">
        <v>0.0</v>
      </c>
      <c r="F252" s="152">
        <v>0.0</v>
      </c>
      <c r="G252" s="152">
        <v>-2.026209641E7</v>
      </c>
      <c r="H252" s="152">
        <v>1.872024E7</v>
      </c>
      <c r="I252" s="151">
        <f t="shared" si="1"/>
        <v>-1541856.41</v>
      </c>
    </row>
    <row r="253">
      <c r="A253" s="149">
        <v>46029.0</v>
      </c>
      <c r="B253" s="40" t="s">
        <v>577</v>
      </c>
      <c r="C253" s="40" t="s">
        <v>578</v>
      </c>
      <c r="D253" s="149">
        <v>46028.0</v>
      </c>
      <c r="E253" s="152">
        <v>0.0</v>
      </c>
      <c r="F253" s="152">
        <v>0.0</v>
      </c>
      <c r="G253" s="152">
        <v>-2.026209641E7</v>
      </c>
      <c r="H253" s="152">
        <v>1.8770548E7</v>
      </c>
      <c r="I253" s="151">
        <f t="shared" si="1"/>
        <v>-1491548.41</v>
      </c>
    </row>
    <row r="254">
      <c r="A254" s="149">
        <v>46030.0</v>
      </c>
      <c r="B254" s="40" t="s">
        <v>585</v>
      </c>
      <c r="C254" s="40" t="s">
        <v>586</v>
      </c>
      <c r="D254" s="149">
        <v>46029.0</v>
      </c>
      <c r="E254" s="152">
        <v>784205.28</v>
      </c>
      <c r="F254" s="152">
        <v>0.0</v>
      </c>
      <c r="G254" s="152">
        <v>-2.104630169E7</v>
      </c>
      <c r="H254" s="152">
        <v>1.9628212E7</v>
      </c>
      <c r="I254" s="151">
        <f t="shared" si="1"/>
        <v>-1418089.69</v>
      </c>
    </row>
    <row r="255">
      <c r="A255" s="149">
        <v>46031.0</v>
      </c>
      <c r="B255" s="40" t="s">
        <v>585</v>
      </c>
      <c r="C255" s="40" t="s">
        <v>586</v>
      </c>
      <c r="D255" s="149">
        <v>46030.0</v>
      </c>
      <c r="E255" s="152"/>
      <c r="F255" s="152">
        <v>0.0</v>
      </c>
      <c r="G255" s="152">
        <v>-2.104630169E7</v>
      </c>
      <c r="H255" s="152">
        <v>1.9222708E7</v>
      </c>
      <c r="I255" s="151">
        <f t="shared" si="1"/>
        <v>-1823593.69</v>
      </c>
    </row>
    <row r="256">
      <c r="A256" s="149">
        <v>46034.0</v>
      </c>
      <c r="B256" s="40" t="s">
        <v>585</v>
      </c>
      <c r="C256" s="40" t="s">
        <v>586</v>
      </c>
      <c r="D256" s="149">
        <v>46031.0</v>
      </c>
      <c r="E256" s="152"/>
      <c r="F256" s="152">
        <v>0.0</v>
      </c>
      <c r="G256" s="152">
        <v>-2.104630169E7</v>
      </c>
      <c r="H256" s="152">
        <v>1.9023686E7</v>
      </c>
      <c r="I256" s="151">
        <f t="shared" si="1"/>
        <v>-2022615.69</v>
      </c>
    </row>
    <row r="257">
      <c r="A257" s="149">
        <v>46035.0</v>
      </c>
      <c r="B257" s="40" t="s">
        <v>585</v>
      </c>
      <c r="C257" s="40" t="s">
        <v>586</v>
      </c>
      <c r="D257" s="149">
        <v>46034.0</v>
      </c>
      <c r="E257" s="152"/>
      <c r="F257" s="152">
        <v>0.0</v>
      </c>
      <c r="G257" s="152">
        <v>-2.104630169E7</v>
      </c>
      <c r="H257" s="152">
        <v>1.9013979E7</v>
      </c>
      <c r="I257" s="151">
        <f t="shared" si="1"/>
        <v>-2032322.69</v>
      </c>
    </row>
    <row r="258">
      <c r="A258" s="149">
        <v>46036.0</v>
      </c>
      <c r="B258" s="40" t="s">
        <v>587</v>
      </c>
      <c r="C258" s="40" t="s">
        <v>588</v>
      </c>
      <c r="D258" s="149">
        <v>46035.0</v>
      </c>
      <c r="E258" s="152">
        <v>243889.69</v>
      </c>
      <c r="F258" s="152">
        <v>0.0</v>
      </c>
      <c r="G258" s="152">
        <v>-2.129019138E7</v>
      </c>
      <c r="H258" s="152">
        <v>1.9023781E7</v>
      </c>
      <c r="I258" s="151">
        <f t="shared" si="1"/>
        <v>-2266410.38</v>
      </c>
    </row>
    <row r="259">
      <c r="A259" s="149">
        <v>46038.0</v>
      </c>
      <c r="B259" s="40" t="s">
        <v>587</v>
      </c>
      <c r="C259" s="40" t="s">
        <v>588</v>
      </c>
      <c r="D259" s="149">
        <v>46036.0</v>
      </c>
      <c r="E259" s="152"/>
      <c r="F259" s="152">
        <v>0.0</v>
      </c>
      <c r="G259" s="152">
        <v>-2.129019138E7</v>
      </c>
      <c r="H259" s="152">
        <v>2.0353083E7</v>
      </c>
      <c r="I259" s="151">
        <f t="shared" si="1"/>
        <v>-937108.38</v>
      </c>
    </row>
    <row r="260">
      <c r="A260" s="149">
        <v>46041.0</v>
      </c>
      <c r="B260" s="40" t="s">
        <v>587</v>
      </c>
      <c r="C260" s="40" t="s">
        <v>588</v>
      </c>
      <c r="D260" s="149">
        <v>46038.0</v>
      </c>
      <c r="E260" s="152"/>
      <c r="F260" s="152">
        <v>0.0</v>
      </c>
      <c r="G260" s="152">
        <v>-2.129019138E7</v>
      </c>
      <c r="H260" s="152">
        <v>2.042794E7</v>
      </c>
      <c r="I260" s="151">
        <f t="shared" si="1"/>
        <v>-862251.38</v>
      </c>
    </row>
    <row r="261">
      <c r="A261" s="149">
        <v>46042.0</v>
      </c>
      <c r="B261" s="40" t="s">
        <v>587</v>
      </c>
      <c r="C261" s="40" t="s">
        <v>588</v>
      </c>
      <c r="D261" s="149">
        <v>46041.0</v>
      </c>
      <c r="E261" s="152"/>
      <c r="F261" s="152">
        <v>0.0</v>
      </c>
      <c r="G261" s="152">
        <v>-2.129019138E7</v>
      </c>
      <c r="H261" s="152">
        <v>2.0436237E7</v>
      </c>
      <c r="I261" s="151">
        <f t="shared" si="1"/>
        <v>-853954.38</v>
      </c>
    </row>
    <row r="262">
      <c r="A262" s="149">
        <v>46043.0</v>
      </c>
      <c r="B262" s="40" t="s">
        <v>587</v>
      </c>
      <c r="C262" s="40" t="s">
        <v>588</v>
      </c>
      <c r="D262" s="149">
        <v>46042.0</v>
      </c>
      <c r="E262" s="152"/>
      <c r="F262" s="152">
        <v>0.0</v>
      </c>
      <c r="G262" s="152">
        <v>-2.129019138E7</v>
      </c>
      <c r="H262" s="152">
        <v>1.9972336E7</v>
      </c>
      <c r="I262" s="151">
        <f t="shared" si="1"/>
        <v>-1317855.38</v>
      </c>
    </row>
    <row r="263">
      <c r="A263" s="149">
        <v>46044.0</v>
      </c>
      <c r="B263" s="40" t="s">
        <v>587</v>
      </c>
      <c r="C263" s="40" t="s">
        <v>588</v>
      </c>
      <c r="D263" s="149">
        <v>46043.0</v>
      </c>
      <c r="E263" s="152"/>
      <c r="F263" s="152">
        <v>0.0</v>
      </c>
      <c r="G263" s="152">
        <v>-2.129019138E7</v>
      </c>
      <c r="H263" s="152">
        <v>1.9698919E7</v>
      </c>
      <c r="I263" s="151">
        <f t="shared" si="1"/>
        <v>-1591272.38</v>
      </c>
    </row>
    <row r="264">
      <c r="A264" s="149">
        <v>46045.0</v>
      </c>
      <c r="B264" s="40" t="s">
        <v>587</v>
      </c>
      <c r="C264" s="40" t="s">
        <v>588</v>
      </c>
      <c r="D264" s="149">
        <v>46044.0</v>
      </c>
      <c r="E264" s="152"/>
      <c r="F264" s="152">
        <v>0.0</v>
      </c>
      <c r="G264" s="152">
        <v>-2.129019138E7</v>
      </c>
      <c r="H264" s="152">
        <v>1.9896598E7</v>
      </c>
      <c r="I264" s="151">
        <f t="shared" si="1"/>
        <v>-1393593.38</v>
      </c>
    </row>
    <row r="265">
      <c r="A265" s="149">
        <v>46049.0</v>
      </c>
      <c r="B265" s="40" t="s">
        <v>587</v>
      </c>
      <c r="C265" s="40" t="s">
        <v>588</v>
      </c>
      <c r="D265" s="149">
        <v>46045.0</v>
      </c>
      <c r="E265" s="152"/>
      <c r="F265" s="152">
        <v>0.0</v>
      </c>
      <c r="G265" s="152">
        <v>-2.129019138E7</v>
      </c>
      <c r="H265" s="152">
        <v>1.9584993E7</v>
      </c>
      <c r="I265" s="151">
        <f t="shared" si="1"/>
        <v>-1705198.38</v>
      </c>
    </row>
    <row r="266">
      <c r="A266" s="149">
        <v>46050.0</v>
      </c>
      <c r="B266" s="40" t="s">
        <v>587</v>
      </c>
      <c r="C266" s="40" t="s">
        <v>588</v>
      </c>
      <c r="D266" s="149">
        <v>46049.0</v>
      </c>
      <c r="E266" s="152"/>
      <c r="F266" s="152">
        <v>0.0</v>
      </c>
      <c r="G266" s="152">
        <v>-2.129019138E7</v>
      </c>
      <c r="H266" s="152">
        <v>1.9815284E7</v>
      </c>
      <c r="I266" s="151">
        <f t="shared" si="1"/>
        <v>-1474907.38</v>
      </c>
    </row>
    <row r="267">
      <c r="A267" s="149">
        <v>46051.0</v>
      </c>
      <c r="B267" s="40" t="s">
        <v>587</v>
      </c>
      <c r="C267" s="40" t="s">
        <v>588</v>
      </c>
      <c r="D267" s="149">
        <v>46050.0</v>
      </c>
      <c r="E267" s="152"/>
      <c r="F267" s="152">
        <v>0.0</v>
      </c>
      <c r="G267" s="152">
        <v>-2.129019138E7</v>
      </c>
      <c r="H267" s="152">
        <v>2.0353307E7</v>
      </c>
      <c r="I267" s="151">
        <f t="shared" si="1"/>
        <v>-936884.38</v>
      </c>
    </row>
    <row r="268">
      <c r="A268" s="149">
        <v>46052.0</v>
      </c>
      <c r="B268" s="40" t="s">
        <v>587</v>
      </c>
      <c r="C268" s="40" t="s">
        <v>588</v>
      </c>
      <c r="D268" s="149">
        <v>46051.0</v>
      </c>
      <c r="E268" s="152"/>
      <c r="F268" s="152">
        <v>0.0</v>
      </c>
      <c r="G268" s="152">
        <v>-2.129019138E7</v>
      </c>
      <c r="H268" s="152">
        <v>2.0415364E7</v>
      </c>
      <c r="I268" s="151">
        <f t="shared" si="1"/>
        <v>-874827.38</v>
      </c>
    </row>
    <row r="269">
      <c r="A269" s="149">
        <v>46055.0</v>
      </c>
      <c r="B269" s="40" t="s">
        <v>587</v>
      </c>
      <c r="C269" s="40" t="s">
        <v>588</v>
      </c>
      <c r="D269" s="149">
        <v>46052.0</v>
      </c>
      <c r="E269" s="152"/>
      <c r="F269" s="152">
        <v>0.0</v>
      </c>
      <c r="G269" s="152">
        <v>-2.129019138E7</v>
      </c>
      <c r="H269" s="152">
        <v>2.0099444E7</v>
      </c>
      <c r="I269" s="151">
        <f t="shared" si="1"/>
        <v>-1190747.38</v>
      </c>
    </row>
    <row r="270">
      <c r="A270" s="149">
        <v>46055.0</v>
      </c>
      <c r="B270" s="40" t="s">
        <v>587</v>
      </c>
      <c r="C270" s="40" t="s">
        <v>588</v>
      </c>
      <c r="D270" s="149">
        <v>46054.0</v>
      </c>
      <c r="E270" s="152"/>
      <c r="F270" s="152">
        <v>0.0</v>
      </c>
      <c r="G270" s="152">
        <v>-2.129019138E7</v>
      </c>
      <c r="H270" s="152">
        <v>1.9179034E7</v>
      </c>
      <c r="I270" s="151">
        <f t="shared" si="1"/>
        <v>-2111157.38</v>
      </c>
    </row>
    <row r="271">
      <c r="A271" s="149">
        <v>46056.0</v>
      </c>
      <c r="B271" s="40" t="s">
        <v>587</v>
      </c>
      <c r="C271" s="40" t="s">
        <v>588</v>
      </c>
      <c r="D271" s="149">
        <v>46055.0</v>
      </c>
      <c r="E271" s="152"/>
      <c r="F271" s="152">
        <v>0.0</v>
      </c>
      <c r="G271" s="152">
        <v>-2.129019138E7</v>
      </c>
      <c r="H271" s="152">
        <v>1.9489913E7</v>
      </c>
      <c r="I271" s="151">
        <f t="shared" si="1"/>
        <v>-1800278.38</v>
      </c>
    </row>
    <row r="272">
      <c r="A272" s="149">
        <v>46057.0</v>
      </c>
      <c r="B272" s="40" t="s">
        <v>587</v>
      </c>
      <c r="C272" s="40" t="s">
        <v>588</v>
      </c>
      <c r="D272" s="149">
        <v>46056.0</v>
      </c>
      <c r="E272" s="152"/>
      <c r="F272" s="152">
        <v>0.0</v>
      </c>
      <c r="G272" s="152">
        <v>-2.129019138E7</v>
      </c>
      <c r="H272" s="152">
        <v>2.0059838E7</v>
      </c>
      <c r="I272" s="151">
        <f t="shared" si="1"/>
        <v>-1230353.38</v>
      </c>
    </row>
    <row r="273">
      <c r="A273" s="149">
        <v>46058.0</v>
      </c>
      <c r="B273" s="40" t="s">
        <v>587</v>
      </c>
      <c r="C273" s="40" t="s">
        <v>588</v>
      </c>
      <c r="D273" s="149">
        <v>46057.0</v>
      </c>
      <c r="E273" s="152"/>
      <c r="F273" s="152">
        <v>0.0</v>
      </c>
      <c r="G273" s="152">
        <v>-2.129019138E7</v>
      </c>
      <c r="H273" s="152">
        <v>2.0287921E7</v>
      </c>
      <c r="I273" s="151">
        <f t="shared" si="1"/>
        <v>-1002270.38</v>
      </c>
    </row>
    <row r="274">
      <c r="A274" s="149">
        <v>46059.0</v>
      </c>
      <c r="B274" s="40" t="s">
        <v>587</v>
      </c>
      <c r="C274" s="40" t="s">
        <v>588</v>
      </c>
      <c r="D274" s="149">
        <v>46058.0</v>
      </c>
      <c r="E274" s="152"/>
      <c r="F274" s="152">
        <v>0.0</v>
      </c>
      <c r="G274" s="152">
        <v>-2.129019138E7</v>
      </c>
      <c r="H274" s="152">
        <v>2.0108264E7</v>
      </c>
      <c r="I274" s="151">
        <f t="shared" si="1"/>
        <v>-1181927.38</v>
      </c>
    </row>
    <row r="275">
      <c r="A275" s="149">
        <v>46062.0</v>
      </c>
      <c r="B275" s="40" t="s">
        <v>587</v>
      </c>
      <c r="C275" s="40" t="s">
        <v>588</v>
      </c>
      <c r="D275" s="149">
        <v>46059.0</v>
      </c>
      <c r="E275" s="152"/>
      <c r="F275" s="152">
        <v>0.0</v>
      </c>
      <c r="G275" s="152">
        <v>-2.129019138E7</v>
      </c>
      <c r="H275" s="152">
        <v>2.0240413E7</v>
      </c>
      <c r="I275" s="151">
        <f t="shared" si="1"/>
        <v>-1049778.38</v>
      </c>
    </row>
    <row r="276">
      <c r="A276" s="149">
        <v>46063.0</v>
      </c>
      <c r="B276" s="40" t="s">
        <v>587</v>
      </c>
      <c r="C276" s="40" t="s">
        <v>588</v>
      </c>
      <c r="D276" s="149">
        <v>46062.0</v>
      </c>
      <c r="E276" s="152"/>
      <c r="F276" s="152">
        <v>0.0</v>
      </c>
      <c r="G276" s="152">
        <v>-2.129019138E7</v>
      </c>
      <c r="H276" s="152">
        <v>2.0708229E7</v>
      </c>
      <c r="I276" s="151">
        <f t="shared" si="1"/>
        <v>-581962.38</v>
      </c>
    </row>
    <row r="277">
      <c r="A277" s="149">
        <v>46064.0</v>
      </c>
      <c r="B277" s="40" t="s">
        <v>587</v>
      </c>
      <c r="C277" s="40" t="s">
        <v>588</v>
      </c>
      <c r="D277" s="149">
        <v>46063.0</v>
      </c>
      <c r="E277" s="152"/>
      <c r="F277" s="152">
        <v>0.0</v>
      </c>
      <c r="G277" s="152">
        <v>-2.129019138E7</v>
      </c>
      <c r="H277" s="152">
        <v>2.0854615E7</v>
      </c>
      <c r="I277" s="151">
        <f t="shared" si="1"/>
        <v>-435576.38</v>
      </c>
    </row>
    <row r="278">
      <c r="A278" s="149">
        <v>46065.0</v>
      </c>
      <c r="B278" s="40" t="s">
        <v>587</v>
      </c>
      <c r="C278" s="40" t="s">
        <v>588</v>
      </c>
      <c r="D278" s="149">
        <v>46064.0</v>
      </c>
      <c r="E278" s="152"/>
      <c r="F278" s="152">
        <v>0.0</v>
      </c>
      <c r="G278" s="152">
        <v>-2.129019138E7</v>
      </c>
      <c r="H278" s="152">
        <v>2.0782515E7</v>
      </c>
      <c r="I278" s="151">
        <f t="shared" si="1"/>
        <v>-507676.38</v>
      </c>
    </row>
    <row r="279">
      <c r="A279" s="149">
        <v>46066.0</v>
      </c>
      <c r="B279" s="40" t="s">
        <v>587</v>
      </c>
      <c r="C279" s="40" t="s">
        <v>588</v>
      </c>
      <c r="D279" s="149">
        <v>46065.0</v>
      </c>
      <c r="E279" s="152"/>
      <c r="F279" s="152">
        <v>0.0</v>
      </c>
      <c r="G279" s="152">
        <v>-2.129019138E7</v>
      </c>
      <c r="H279" s="152">
        <v>2.097312E7</v>
      </c>
      <c r="I279" s="151">
        <f t="shared" si="1"/>
        <v>-317071.38</v>
      </c>
    </row>
    <row r="280">
      <c r="A280" s="149">
        <v>46069.0</v>
      </c>
      <c r="B280" s="40" t="s">
        <v>587</v>
      </c>
      <c r="C280" s="40" t="s">
        <v>588</v>
      </c>
      <c r="D280" s="149">
        <v>46066.0</v>
      </c>
      <c r="E280" s="152"/>
      <c r="F280" s="152">
        <v>0.0</v>
      </c>
      <c r="G280" s="152">
        <v>-2.129019138E7</v>
      </c>
      <c r="H280" s="152">
        <v>2.0450996E7</v>
      </c>
      <c r="I280" s="151">
        <f t="shared" si="1"/>
        <v>-839195.38</v>
      </c>
    </row>
    <row r="281">
      <c r="A281" s="149">
        <v>46070.0</v>
      </c>
      <c r="B281" s="40" t="s">
        <v>587</v>
      </c>
      <c r="C281" s="40" t="s">
        <v>588</v>
      </c>
      <c r="D281" s="149">
        <v>46069.0</v>
      </c>
      <c r="E281" s="152"/>
      <c r="F281" s="152">
        <v>0.0</v>
      </c>
      <c r="G281" s="152">
        <v>-2.129019138E7</v>
      </c>
      <c r="H281" s="152">
        <v>2.0570726E7</v>
      </c>
      <c r="I281" s="151">
        <f t="shared" si="1"/>
        <v>-719465.38</v>
      </c>
    </row>
    <row r="282">
      <c r="A282" s="149">
        <v>46071.0</v>
      </c>
      <c r="B282" s="40" t="s">
        <v>587</v>
      </c>
      <c r="C282" s="40" t="s">
        <v>588</v>
      </c>
      <c r="D282" s="149">
        <v>46070.0</v>
      </c>
      <c r="E282" s="152"/>
      <c r="F282" s="152">
        <v>0.0</v>
      </c>
      <c r="G282" s="152">
        <v>-2.129019138E7</v>
      </c>
      <c r="H282" s="152">
        <v>2.0676554E7</v>
      </c>
      <c r="I282" s="151">
        <f t="shared" si="1"/>
        <v>-613637.38</v>
      </c>
    </row>
    <row r="283">
      <c r="A283" s="149">
        <v>46072.0</v>
      </c>
      <c r="B283" s="40" t="s">
        <v>587</v>
      </c>
      <c r="C283" s="40" t="s">
        <v>588</v>
      </c>
      <c r="D283" s="149">
        <v>46071.0</v>
      </c>
      <c r="E283" s="152"/>
      <c r="F283" s="152">
        <v>0.0</v>
      </c>
      <c r="G283" s="152">
        <v>-2.129019138E7</v>
      </c>
      <c r="H283" s="152">
        <v>2.0913477E7</v>
      </c>
      <c r="I283" s="151">
        <f t="shared" si="1"/>
        <v>-376714.38</v>
      </c>
    </row>
    <row r="284">
      <c r="A284" s="149">
        <v>46073.0</v>
      </c>
      <c r="B284" s="40" t="s">
        <v>587</v>
      </c>
      <c r="C284" s="40" t="s">
        <v>588</v>
      </c>
      <c r="D284" s="149">
        <v>46072.0</v>
      </c>
      <c r="E284" s="152"/>
      <c r="F284" s="152">
        <v>0.0</v>
      </c>
      <c r="G284" s="152">
        <v>-2.129019138E7</v>
      </c>
      <c r="H284" s="152">
        <v>2.0650821E7</v>
      </c>
      <c r="I284" s="151">
        <f t="shared" si="1"/>
        <v>-639370.38</v>
      </c>
    </row>
    <row r="285">
      <c r="A285" s="149">
        <v>46076.0</v>
      </c>
      <c r="B285" s="40" t="s">
        <v>587</v>
      </c>
      <c r="C285" s="40" t="s">
        <v>588</v>
      </c>
      <c r="D285" s="149">
        <v>46073.0</v>
      </c>
      <c r="E285" s="152"/>
      <c r="F285" s="152">
        <v>0.0</v>
      </c>
      <c r="G285" s="152">
        <v>-2.129019138E7</v>
      </c>
      <c r="H285" s="152">
        <v>2.0850078E7</v>
      </c>
      <c r="I285" s="151">
        <f t="shared" si="1"/>
        <v>-440113.38</v>
      </c>
    </row>
    <row r="286">
      <c r="A286" s="149">
        <v>46077.0</v>
      </c>
      <c r="B286" s="40" t="s">
        <v>587</v>
      </c>
      <c r="C286" s="40" t="s">
        <v>588</v>
      </c>
      <c r="D286" s="149">
        <v>46076.0</v>
      </c>
      <c r="E286" s="152"/>
      <c r="F286" s="152">
        <v>0.0</v>
      </c>
      <c r="G286" s="152">
        <v>-2.129019138E7</v>
      </c>
      <c r="H286" s="152">
        <v>2.0828141E7</v>
      </c>
      <c r="I286" s="151">
        <f t="shared" si="1"/>
        <v>-462050.38</v>
      </c>
    </row>
    <row r="287">
      <c r="A287" s="149">
        <v>46078.0</v>
      </c>
      <c r="B287" s="40" t="s">
        <v>587</v>
      </c>
      <c r="C287" s="40" t="s">
        <v>588</v>
      </c>
      <c r="D287" s="149">
        <v>46077.0</v>
      </c>
      <c r="E287" s="152"/>
      <c r="F287" s="152">
        <v>0.0</v>
      </c>
      <c r="G287" s="152">
        <v>-2.129019138E7</v>
      </c>
      <c r="H287" s="152">
        <v>2.0876175E7</v>
      </c>
      <c r="I287" s="151">
        <f t="shared" si="1"/>
        <v>-414016.38</v>
      </c>
    </row>
    <row r="288">
      <c r="A288" s="149">
        <v>46079.0</v>
      </c>
      <c r="B288" s="40" t="s">
        <v>587</v>
      </c>
      <c r="C288" s="40" t="s">
        <v>588</v>
      </c>
      <c r="D288" s="149">
        <v>46078.0</v>
      </c>
      <c r="E288" s="152"/>
      <c r="F288" s="152">
        <v>0.0</v>
      </c>
      <c r="G288" s="152">
        <v>-2.129019138E7</v>
      </c>
      <c r="H288" s="152">
        <v>2.1088855E7</v>
      </c>
      <c r="I288" s="151">
        <f t="shared" si="1"/>
        <v>-201336.38</v>
      </c>
    </row>
    <row r="289">
      <c r="A289" s="149">
        <v>46080.0</v>
      </c>
      <c r="B289" s="40" t="s">
        <v>587</v>
      </c>
      <c r="C289" s="40" t="s">
        <v>588</v>
      </c>
      <c r="D289" s="149">
        <v>46079.0</v>
      </c>
      <c r="E289" s="152"/>
      <c r="F289" s="152">
        <v>0.0</v>
      </c>
      <c r="G289" s="152">
        <v>-2.129019138E7</v>
      </c>
      <c r="H289" s="152">
        <v>2.1158425E7</v>
      </c>
      <c r="I289" s="151">
        <f t="shared" si="1"/>
        <v>-131766.38</v>
      </c>
    </row>
    <row r="290">
      <c r="A290" s="149">
        <v>46083.0</v>
      </c>
      <c r="B290" s="40" t="s">
        <v>587</v>
      </c>
      <c r="C290" s="40" t="s">
        <v>588</v>
      </c>
      <c r="D290" s="149">
        <v>46080.0</v>
      </c>
      <c r="E290" s="152"/>
      <c r="F290" s="152">
        <v>0.0</v>
      </c>
      <c r="G290" s="152">
        <v>-2.129019138E7</v>
      </c>
      <c r="H290" s="152">
        <v>2.0823969E7</v>
      </c>
      <c r="I290" s="151">
        <f t="shared" si="1"/>
        <v>-466222.38</v>
      </c>
    </row>
    <row r="291">
      <c r="A291" s="149">
        <v>46085.0</v>
      </c>
      <c r="B291" s="40" t="s">
        <v>587</v>
      </c>
      <c r="C291" s="40" t="s">
        <v>588</v>
      </c>
      <c r="D291" s="149">
        <v>46083.0</v>
      </c>
      <c r="E291" s="152"/>
      <c r="F291" s="152">
        <v>0.0</v>
      </c>
      <c r="G291" s="152">
        <v>-2.129019138E7</v>
      </c>
      <c r="H291" s="152">
        <v>2.0692541E7</v>
      </c>
      <c r="I291" s="151">
        <f t="shared" si="1"/>
        <v>-597650.38</v>
      </c>
    </row>
    <row r="292">
      <c r="A292" s="149">
        <v>46086.0</v>
      </c>
      <c r="B292" s="40" t="s">
        <v>587</v>
      </c>
      <c r="C292" s="40" t="s">
        <v>588</v>
      </c>
      <c r="D292" s="149">
        <v>46085.0</v>
      </c>
      <c r="E292" s="152"/>
      <c r="F292" s="152">
        <v>0.0</v>
      </c>
      <c r="G292" s="152">
        <v>-2.129019138E7</v>
      </c>
      <c r="H292" s="152">
        <v>2.0176625E7</v>
      </c>
      <c r="I292" s="151">
        <f t="shared" si="1"/>
        <v>-1113566.38</v>
      </c>
    </row>
    <row r="293">
      <c r="A293" s="149">
        <v>46087.0</v>
      </c>
      <c r="B293" s="40" t="s">
        <v>587</v>
      </c>
      <c r="C293" s="40" t="s">
        <v>588</v>
      </c>
      <c r="D293" s="149">
        <v>46086.0</v>
      </c>
      <c r="E293" s="152"/>
      <c r="F293" s="152">
        <v>0.0</v>
      </c>
      <c r="G293" s="152">
        <v>-2.129019138E7</v>
      </c>
      <c r="H293" s="152">
        <v>2.0577653E7</v>
      </c>
      <c r="I293" s="151">
        <f t="shared" si="1"/>
        <v>-712538.38</v>
      </c>
    </row>
    <row r="294">
      <c r="A294" s="149">
        <v>46090.0</v>
      </c>
      <c r="B294" s="40" t="s">
        <v>587</v>
      </c>
      <c r="C294" s="40" t="s">
        <v>588</v>
      </c>
      <c r="D294" s="149">
        <v>46087.0</v>
      </c>
      <c r="E294" s="152"/>
      <c r="F294" s="152">
        <v>0.0</v>
      </c>
      <c r="G294" s="152">
        <v>-2.129019138E7</v>
      </c>
      <c r="H294" s="152">
        <v>2.0407864E7</v>
      </c>
      <c r="I294" s="151">
        <f t="shared" si="1"/>
        <v>-882327.38</v>
      </c>
    </row>
    <row r="295">
      <c r="A295" s="149">
        <v>46091.0</v>
      </c>
      <c r="B295" s="40" t="s">
        <v>587</v>
      </c>
      <c r="C295" s="40" t="s">
        <v>588</v>
      </c>
      <c r="D295" s="149">
        <v>46090.0</v>
      </c>
      <c r="E295" s="152"/>
      <c r="F295" s="152">
        <v>0.0</v>
      </c>
      <c r="G295" s="152">
        <v>-2.129019138E7</v>
      </c>
      <c r="H295" s="152">
        <v>1.9982591E7</v>
      </c>
      <c r="I295" s="151">
        <f t="shared" si="1"/>
        <v>-1307600.38</v>
      </c>
    </row>
    <row r="296">
      <c r="A296" s="149">
        <v>46092.0</v>
      </c>
      <c r="B296" s="40" t="s">
        <v>587</v>
      </c>
      <c r="C296" s="40" t="s">
        <v>588</v>
      </c>
      <c r="D296" s="149">
        <v>46091.0</v>
      </c>
      <c r="E296" s="152"/>
      <c r="F296" s="152">
        <v>0.0</v>
      </c>
      <c r="G296" s="152">
        <v>-2.129019138E7</v>
      </c>
      <c r="H296" s="152">
        <v>2.0406123E7</v>
      </c>
      <c r="I296" s="151">
        <f t="shared" si="1"/>
        <v>-884068.38</v>
      </c>
    </row>
    <row r="297">
      <c r="A297" s="149">
        <v>46093.0</v>
      </c>
      <c r="B297" s="40" t="s">
        <v>587</v>
      </c>
      <c r="C297" s="40" t="s">
        <v>588</v>
      </c>
      <c r="D297" s="149">
        <v>46092.0</v>
      </c>
      <c r="E297" s="152"/>
      <c r="F297" s="152">
        <v>0.0</v>
      </c>
      <c r="G297" s="152">
        <v>-2.129019138E7</v>
      </c>
      <c r="H297" s="152">
        <v>2.0018608E7</v>
      </c>
      <c r="I297" s="151">
        <f t="shared" si="1"/>
        <v>-1271583.38</v>
      </c>
    </row>
    <row r="298">
      <c r="A298" s="149">
        <v>46094.0</v>
      </c>
      <c r="B298" s="40" t="s">
        <v>587</v>
      </c>
      <c r="C298" s="40" t="s">
        <v>588</v>
      </c>
      <c r="D298" s="149">
        <v>46093.0</v>
      </c>
      <c r="E298" s="152"/>
      <c r="F298" s="152">
        <v>0.0</v>
      </c>
      <c r="G298" s="152">
        <v>-2.129019138E7</v>
      </c>
      <c r="H298" s="152">
        <v>1.9912894E7</v>
      </c>
      <c r="I298" s="151">
        <f t="shared" si="1"/>
        <v>-1377297.38</v>
      </c>
    </row>
    <row r="299">
      <c r="A299" s="149">
        <v>46097.0</v>
      </c>
      <c r="B299" s="40" t="s">
        <v>587</v>
      </c>
      <c r="C299" s="40" t="s">
        <v>588</v>
      </c>
      <c r="D299" s="149">
        <v>46094.0</v>
      </c>
      <c r="E299" s="152"/>
      <c r="F299" s="152">
        <v>0.0</v>
      </c>
      <c r="G299" s="152">
        <v>-2.129019138E7</v>
      </c>
      <c r="H299" s="152">
        <v>1.9348433E7</v>
      </c>
      <c r="I299" s="151">
        <f t="shared" si="1"/>
        <v>-1941758.38</v>
      </c>
    </row>
    <row r="300">
      <c r="A300" s="149">
        <v>46098.0</v>
      </c>
      <c r="B300" s="40" t="s">
        <v>587</v>
      </c>
      <c r="C300" s="40" t="s">
        <v>588</v>
      </c>
      <c r="D300" s="149">
        <v>46097.0</v>
      </c>
      <c r="E300" s="152"/>
      <c r="F300" s="152">
        <v>0.0</v>
      </c>
      <c r="G300" s="152">
        <v>-2.129019138E7</v>
      </c>
      <c r="H300" s="152">
        <v>1.9387944E7</v>
      </c>
      <c r="I300" s="151">
        <f t="shared" si="1"/>
        <v>-1902247.38</v>
      </c>
    </row>
    <row r="301">
      <c r="A301" s="149">
        <v>46099.0</v>
      </c>
      <c r="B301" s="40" t="s">
        <v>587</v>
      </c>
      <c r="C301" s="40" t="s">
        <v>588</v>
      </c>
      <c r="D301" s="149">
        <v>46098.0</v>
      </c>
      <c r="E301" s="152"/>
      <c r="F301" s="152">
        <v>0.0</v>
      </c>
      <c r="G301" s="152">
        <v>-2.129019138E7</v>
      </c>
      <c r="H301" s="152">
        <v>1.9748647E7</v>
      </c>
      <c r="I301" s="151">
        <f t="shared" si="1"/>
        <v>-1541544.38</v>
      </c>
    </row>
    <row r="302">
      <c r="A302" s="149">
        <v>46100.0</v>
      </c>
      <c r="B302" s="40" t="s">
        <v>587</v>
      </c>
      <c r="C302" s="40" t="s">
        <v>588</v>
      </c>
      <c r="D302" s="149">
        <v>46099.0</v>
      </c>
      <c r="E302" s="152"/>
      <c r="F302" s="152">
        <v>0.0</v>
      </c>
      <c r="G302" s="152">
        <v>-2.129019138E7</v>
      </c>
      <c r="H302" s="152">
        <v>1.996794E7</v>
      </c>
      <c r="I302" s="151">
        <f t="shared" si="1"/>
        <v>-1322251.38</v>
      </c>
    </row>
    <row r="303">
      <c r="A303" s="149">
        <v>46101.0</v>
      </c>
      <c r="B303" s="40" t="s">
        <v>587</v>
      </c>
      <c r="C303" s="40" t="s">
        <v>588</v>
      </c>
      <c r="D303" s="149">
        <v>46100.0</v>
      </c>
      <c r="E303" s="152"/>
      <c r="F303" s="152">
        <v>0.0</v>
      </c>
      <c r="G303" s="152">
        <v>-2.129019138E7</v>
      </c>
      <c r="H303" s="152">
        <v>1.9270605E7</v>
      </c>
      <c r="I303" s="151">
        <f t="shared" si="1"/>
        <v>-2019586.38</v>
      </c>
    </row>
    <row r="304">
      <c r="A304" s="149">
        <v>46104.0</v>
      </c>
      <c r="B304" s="40" t="s">
        <v>587</v>
      </c>
      <c r="C304" s="40" t="s">
        <v>588</v>
      </c>
      <c r="D304" s="149">
        <v>46101.0</v>
      </c>
      <c r="E304" s="152"/>
      <c r="F304" s="152">
        <v>0.0</v>
      </c>
      <c r="G304" s="152">
        <v>-2.129019138E7</v>
      </c>
      <c r="H304" s="152">
        <v>1.9266298E7</v>
      </c>
      <c r="I304" s="151">
        <f t="shared" si="1"/>
        <v>-2023893.38</v>
      </c>
    </row>
    <row r="305">
      <c r="A305" s="149">
        <v>46105.0</v>
      </c>
      <c r="B305" s="40" t="s">
        <v>587</v>
      </c>
      <c r="C305" s="40" t="s">
        <v>588</v>
      </c>
      <c r="D305" s="149">
        <v>46104.0</v>
      </c>
      <c r="E305" s="152"/>
      <c r="F305" s="152">
        <v>0.0</v>
      </c>
      <c r="G305" s="152">
        <v>-2.129019138E7</v>
      </c>
      <c r="H305" s="152">
        <v>1.8439481E7</v>
      </c>
      <c r="I305" s="151">
        <f t="shared" si="1"/>
        <v>-2850710.38</v>
      </c>
    </row>
    <row r="306">
      <c r="A306" s="149">
        <v>46106.0</v>
      </c>
      <c r="B306" s="40" t="s">
        <v>587</v>
      </c>
      <c r="C306" s="40" t="s">
        <v>588</v>
      </c>
      <c r="D306" s="149">
        <v>46105.0</v>
      </c>
      <c r="E306" s="152"/>
      <c r="F306" s="152">
        <v>0.0</v>
      </c>
      <c r="G306" s="152">
        <v>-2.129019138E7</v>
      </c>
      <c r="H306" s="152">
        <v>1.8911648E7</v>
      </c>
      <c r="I306" s="151">
        <f t="shared" si="1"/>
        <v>-2378543.38</v>
      </c>
    </row>
    <row r="307">
      <c r="A307" s="149">
        <v>46108.0</v>
      </c>
      <c r="B307" s="40" t="s">
        <v>587</v>
      </c>
      <c r="C307" s="40" t="s">
        <v>588</v>
      </c>
      <c r="D307" s="149">
        <v>46106.0</v>
      </c>
      <c r="E307" s="152"/>
      <c r="F307" s="152">
        <v>0.0</v>
      </c>
      <c r="G307" s="152">
        <v>-2.129019138E7</v>
      </c>
      <c r="H307" s="152">
        <v>1.9429994E7</v>
      </c>
      <c r="I307" s="151">
        <f t="shared" si="1"/>
        <v>-1860197.38</v>
      </c>
    </row>
    <row r="308">
      <c r="A308" s="149">
        <v>46111.0</v>
      </c>
      <c r="B308" s="40" t="s">
        <v>587</v>
      </c>
      <c r="C308" s="40" t="s">
        <v>588</v>
      </c>
      <c r="D308" s="149">
        <v>46108.0</v>
      </c>
      <c r="E308" s="152"/>
      <c r="F308" s="152">
        <v>0.0</v>
      </c>
      <c r="G308" s="152">
        <v>-2.129019138E7</v>
      </c>
      <c r="H308" s="152">
        <v>1.8873755E7</v>
      </c>
      <c r="I308" s="151">
        <f t="shared" si="1"/>
        <v>-2416436.38</v>
      </c>
    </row>
    <row r="309">
      <c r="A309" s="149">
        <v>46113.0</v>
      </c>
      <c r="B309" s="40" t="s">
        <v>587</v>
      </c>
      <c r="C309" s="40" t="s">
        <v>588</v>
      </c>
      <c r="D309" s="149">
        <v>46111.0</v>
      </c>
      <c r="E309" s="152"/>
      <c r="F309" s="152">
        <v>0.0</v>
      </c>
      <c r="G309" s="152">
        <v>-2.129019138E7</v>
      </c>
      <c r="H309" s="152">
        <v>1.8378039E7</v>
      </c>
      <c r="I309" s="151">
        <f t="shared" si="1"/>
        <v>-2912152.38</v>
      </c>
      <c r="L309" s="14">
        <f>H334/H309</f>
        <v>1.202550501</v>
      </c>
    </row>
    <row r="310">
      <c r="A310" s="149">
        <v>46114.0</v>
      </c>
      <c r="B310" s="40" t="s">
        <v>587</v>
      </c>
      <c r="C310" s="40" t="s">
        <v>588</v>
      </c>
      <c r="D310" s="149">
        <v>46113.0</v>
      </c>
      <c r="E310" s="152"/>
      <c r="F310" s="152">
        <v>0.0</v>
      </c>
      <c r="G310" s="152">
        <v>-2.129019138E7</v>
      </c>
      <c r="H310" s="152">
        <v>1.8378039E7</v>
      </c>
      <c r="I310" s="151">
        <f t="shared" si="1"/>
        <v>-2912152.38</v>
      </c>
    </row>
    <row r="311">
      <c r="A311" s="149">
        <v>46118.0</v>
      </c>
      <c r="B311" s="40" t="s">
        <v>587</v>
      </c>
      <c r="C311" s="40" t="s">
        <v>588</v>
      </c>
      <c r="D311" s="149">
        <v>46114.0</v>
      </c>
      <c r="E311" s="152"/>
      <c r="F311" s="152">
        <v>0.0</v>
      </c>
      <c r="G311" s="152">
        <v>-2.129019138E7</v>
      </c>
      <c r="H311" s="152">
        <v>1.884536E7</v>
      </c>
      <c r="I311" s="151">
        <f t="shared" si="1"/>
        <v>-2444831.38</v>
      </c>
    </row>
    <row r="312">
      <c r="A312" s="149">
        <v>46119.0</v>
      </c>
      <c r="B312" s="40" t="s">
        <v>663</v>
      </c>
      <c r="C312" s="40" t="s">
        <v>664</v>
      </c>
      <c r="D312" s="149">
        <v>46118.0</v>
      </c>
      <c r="E312" s="152">
        <v>364716.97</v>
      </c>
      <c r="F312" s="152">
        <v>0.0</v>
      </c>
      <c r="G312" s="152">
        <v>-2.165490735E7</v>
      </c>
      <c r="H312" s="152">
        <v>1.955964E7</v>
      </c>
      <c r="I312" s="151">
        <f t="shared" si="1"/>
        <v>-2095267.35</v>
      </c>
    </row>
    <row r="313">
      <c r="A313" s="149">
        <v>46120.0</v>
      </c>
      <c r="B313" s="40" t="s">
        <v>663</v>
      </c>
      <c r="C313" s="40" t="s">
        <v>664</v>
      </c>
      <c r="D313" s="149">
        <v>46119.0</v>
      </c>
      <c r="E313" s="152"/>
      <c r="F313" s="152">
        <v>0.0</v>
      </c>
      <c r="G313" s="152">
        <v>-2.165490735E7</v>
      </c>
      <c r="H313" s="152">
        <v>1.9504268E7</v>
      </c>
      <c r="I313" s="151">
        <f t="shared" si="1"/>
        <v>-2150639.35</v>
      </c>
    </row>
    <row r="314">
      <c r="A314" s="149">
        <v>46121.0</v>
      </c>
      <c r="B314" s="40" t="s">
        <v>663</v>
      </c>
      <c r="C314" s="40" t="s">
        <v>664</v>
      </c>
      <c r="D314" s="149">
        <v>46120.0</v>
      </c>
      <c r="E314" s="152"/>
      <c r="F314" s="152">
        <v>0.0</v>
      </c>
      <c r="G314" s="152">
        <v>-2.165490735E7</v>
      </c>
      <c r="H314" s="152">
        <v>2.0561174E7</v>
      </c>
      <c r="I314" s="151">
        <f t="shared" si="1"/>
        <v>-1093733.35</v>
      </c>
    </row>
    <row r="315">
      <c r="A315" s="149">
        <v>46122.0</v>
      </c>
      <c r="B315" s="40" t="s">
        <v>663</v>
      </c>
      <c r="C315" s="40" t="s">
        <v>664</v>
      </c>
      <c r="D315" s="149">
        <v>46121.0</v>
      </c>
      <c r="E315" s="152"/>
      <c r="F315" s="152">
        <v>0.0</v>
      </c>
      <c r="G315" s="152">
        <v>-2.165490735E7</v>
      </c>
      <c r="H315" s="152">
        <v>2.0675153E7</v>
      </c>
      <c r="I315" s="151">
        <f t="shared" si="1"/>
        <v>-979754.35</v>
      </c>
    </row>
    <row r="316">
      <c r="A316" s="149">
        <v>46125.0</v>
      </c>
      <c r="B316" s="40" t="s">
        <v>663</v>
      </c>
      <c r="C316" s="40" t="s">
        <v>664</v>
      </c>
      <c r="D316" s="149">
        <v>46122.0</v>
      </c>
      <c r="E316" s="152"/>
      <c r="F316" s="152">
        <v>0.0</v>
      </c>
      <c r="G316" s="152">
        <v>-2.165490735E7</v>
      </c>
      <c r="H316" s="152">
        <v>2.1136732E7</v>
      </c>
      <c r="I316" s="151">
        <f t="shared" si="1"/>
        <v>-518175.35</v>
      </c>
    </row>
    <row r="317">
      <c r="A317" s="149">
        <v>46127.0</v>
      </c>
      <c r="B317" s="40" t="s">
        <v>663</v>
      </c>
      <c r="C317" s="40" t="s">
        <v>664</v>
      </c>
      <c r="D317" s="149">
        <v>46125.0</v>
      </c>
      <c r="E317" s="152"/>
      <c r="F317" s="152">
        <v>0.0</v>
      </c>
      <c r="G317" s="152">
        <v>-2.165490735E7</v>
      </c>
      <c r="H317" s="152">
        <v>2.0997074E7</v>
      </c>
      <c r="I317" s="151">
        <f t="shared" si="1"/>
        <v>-657833.35</v>
      </c>
    </row>
    <row r="318">
      <c r="A318" s="149">
        <v>46128.0</v>
      </c>
      <c r="B318" s="40" t="s">
        <v>663</v>
      </c>
      <c r="C318" s="40" t="s">
        <v>664</v>
      </c>
      <c r="D318" s="149">
        <v>46127.0</v>
      </c>
      <c r="E318" s="152"/>
      <c r="F318" s="152">
        <v>0.0</v>
      </c>
      <c r="G318" s="152">
        <v>-2.165490735E7</v>
      </c>
      <c r="H318" s="152">
        <v>2.1350518E7</v>
      </c>
      <c r="I318" s="151">
        <f t="shared" si="1"/>
        <v>-304389.35</v>
      </c>
    </row>
    <row r="319">
      <c r="A319" s="149">
        <v>46129.0</v>
      </c>
      <c r="B319" s="40" t="s">
        <v>663</v>
      </c>
      <c r="C319" s="40" t="s">
        <v>664</v>
      </c>
      <c r="D319" s="149">
        <v>46128.0</v>
      </c>
      <c r="E319" s="152"/>
      <c r="F319" s="152">
        <v>0.0</v>
      </c>
      <c r="G319" s="152">
        <v>-2.165490735E7</v>
      </c>
      <c r="H319" s="152">
        <v>2.1494977E7</v>
      </c>
      <c r="I319" s="151">
        <f t="shared" si="1"/>
        <v>-159930.35</v>
      </c>
    </row>
    <row r="320">
      <c r="A320" s="149">
        <v>46132.0</v>
      </c>
      <c r="B320" s="40" t="s">
        <v>663</v>
      </c>
      <c r="C320" s="40" t="s">
        <v>664</v>
      </c>
      <c r="D320" s="149">
        <v>46129.0</v>
      </c>
      <c r="E320" s="152"/>
      <c r="F320" s="152">
        <v>0.0</v>
      </c>
      <c r="G320" s="152">
        <v>-2.165490735E7</v>
      </c>
      <c r="H320" s="152">
        <v>2.175147E7</v>
      </c>
      <c r="I320" s="151">
        <f t="shared" si="1"/>
        <v>96562.65</v>
      </c>
    </row>
    <row r="321">
      <c r="A321" s="149">
        <v>46133.0</v>
      </c>
      <c r="B321" s="40" t="s">
        <v>663</v>
      </c>
      <c r="C321" s="40" t="s">
        <v>664</v>
      </c>
      <c r="D321" s="149">
        <v>46132.0</v>
      </c>
      <c r="E321" s="152"/>
      <c r="F321" s="152">
        <v>0.0</v>
      </c>
      <c r="G321" s="152">
        <v>-2.165490735E7</v>
      </c>
      <c r="H321" s="152">
        <v>2.1731995E7</v>
      </c>
      <c r="I321" s="151">
        <f t="shared" si="1"/>
        <v>77087.65</v>
      </c>
    </row>
    <row r="322">
      <c r="A322" s="149">
        <v>46134.0</v>
      </c>
      <c r="B322" s="40" t="s">
        <v>663</v>
      </c>
      <c r="C322" s="40" t="s">
        <v>664</v>
      </c>
      <c r="D322" s="149">
        <v>46133.0</v>
      </c>
      <c r="E322" s="152"/>
      <c r="F322" s="152">
        <v>0.0</v>
      </c>
      <c r="G322" s="152">
        <v>-2.165490735E7</v>
      </c>
      <c r="H322" s="152">
        <v>2.1788612E7</v>
      </c>
      <c r="I322" s="151">
        <f t="shared" si="1"/>
        <v>133704.65</v>
      </c>
    </row>
    <row r="323">
      <c r="A323" s="149">
        <v>46135.0</v>
      </c>
      <c r="B323" s="40" t="s">
        <v>663</v>
      </c>
      <c r="C323" s="40" t="s">
        <v>664</v>
      </c>
      <c r="D323" s="149">
        <v>46134.0</v>
      </c>
      <c r="E323" s="152"/>
      <c r="F323" s="152">
        <v>0.0</v>
      </c>
      <c r="G323" s="152">
        <v>-2.165490735E7</v>
      </c>
      <c r="H323" s="152">
        <v>2.1865382E7</v>
      </c>
      <c r="I323" s="151">
        <f t="shared" si="1"/>
        <v>210474.65</v>
      </c>
    </row>
    <row r="324">
      <c r="A324" s="149">
        <v>46136.0</v>
      </c>
      <c r="B324" s="40" t="s">
        <v>663</v>
      </c>
      <c r="C324" s="40" t="s">
        <v>664</v>
      </c>
      <c r="D324" s="149">
        <v>46135.0</v>
      </c>
      <c r="E324" s="152"/>
      <c r="F324" s="152">
        <v>0.0</v>
      </c>
      <c r="G324" s="152">
        <v>-2.165490735E7</v>
      </c>
      <c r="H324" s="152">
        <v>2.1658329E7</v>
      </c>
      <c r="I324" s="151">
        <f t="shared" si="1"/>
        <v>3421.65</v>
      </c>
    </row>
    <row r="325">
      <c r="A325" s="149">
        <v>46139.0</v>
      </c>
      <c r="B325" s="40" t="s">
        <v>663</v>
      </c>
      <c r="C325" s="40" t="s">
        <v>664</v>
      </c>
      <c r="D325" s="149">
        <v>46136.0</v>
      </c>
      <c r="E325" s="152"/>
      <c r="F325" s="152">
        <v>0.0</v>
      </c>
      <c r="G325" s="152">
        <v>-2.165490735E7</v>
      </c>
      <c r="H325" s="152">
        <v>2.1512205E7</v>
      </c>
      <c r="I325" s="151">
        <f t="shared" si="1"/>
        <v>-142702.35</v>
      </c>
    </row>
    <row r="326">
      <c r="A326" s="149">
        <v>46140.0</v>
      </c>
      <c r="B326" s="40" t="s">
        <v>663</v>
      </c>
      <c r="C326" s="40" t="s">
        <v>664</v>
      </c>
      <c r="D326" s="149">
        <v>46139.0</v>
      </c>
      <c r="E326" s="152"/>
      <c r="F326" s="152">
        <v>0.0</v>
      </c>
      <c r="G326" s="152">
        <v>-2.165490735E7</v>
      </c>
      <c r="H326" s="152">
        <v>2.1664297E7</v>
      </c>
      <c r="I326" s="151">
        <f t="shared" si="1"/>
        <v>9389.65</v>
      </c>
    </row>
    <row r="327">
      <c r="A327" s="149">
        <v>46141.0</v>
      </c>
      <c r="B327" s="40" t="s">
        <v>663</v>
      </c>
      <c r="C327" s="40" t="s">
        <v>664</v>
      </c>
      <c r="D327" s="149">
        <v>46140.0</v>
      </c>
      <c r="E327" s="152"/>
      <c r="F327" s="152">
        <v>0.0</v>
      </c>
      <c r="G327" s="152">
        <v>-2.165490735E7</v>
      </c>
      <c r="H327" s="152">
        <v>2.1810514E7</v>
      </c>
      <c r="I327" s="151">
        <f t="shared" si="1"/>
        <v>155606.65</v>
      </c>
    </row>
    <row r="328">
      <c r="A328" s="149">
        <v>46142.0</v>
      </c>
      <c r="B328" s="40" t="s">
        <v>663</v>
      </c>
      <c r="C328" s="40" t="s">
        <v>664</v>
      </c>
      <c r="D328" s="149">
        <v>46141.0</v>
      </c>
      <c r="E328" s="152"/>
      <c r="F328" s="152">
        <v>0.0</v>
      </c>
      <c r="G328" s="152">
        <v>-2.165490735E7</v>
      </c>
      <c r="H328" s="152">
        <v>2.1904513E7</v>
      </c>
      <c r="I328" s="151">
        <f t="shared" si="1"/>
        <v>249605.65</v>
      </c>
    </row>
    <row r="329">
      <c r="A329" s="149">
        <v>46146.0</v>
      </c>
      <c r="B329" s="40" t="s">
        <v>663</v>
      </c>
      <c r="C329" s="40" t="s">
        <v>664</v>
      </c>
      <c r="D329" s="149">
        <v>46142.0</v>
      </c>
      <c r="E329" s="152"/>
      <c r="F329" s="152">
        <v>0.0</v>
      </c>
      <c r="G329" s="152">
        <v>-2.165490735E7</v>
      </c>
      <c r="H329" s="152">
        <v>2.1166153E7</v>
      </c>
      <c r="I329" s="151">
        <f t="shared" si="1"/>
        <v>-488754.35</v>
      </c>
    </row>
    <row r="330">
      <c r="A330" s="149">
        <v>46147.0</v>
      </c>
      <c r="B330" s="40" t="s">
        <v>663</v>
      </c>
      <c r="C330" s="40" t="s">
        <v>664</v>
      </c>
      <c r="D330" s="149">
        <v>46146.0</v>
      </c>
      <c r="E330" s="152"/>
      <c r="F330" s="152">
        <v>0.0</v>
      </c>
      <c r="G330" s="152">
        <v>-2.165490735E7</v>
      </c>
      <c r="H330" s="152">
        <v>2.1270645E7</v>
      </c>
      <c r="I330" s="151">
        <f t="shared" si="1"/>
        <v>-384262.35</v>
      </c>
    </row>
    <row r="331">
      <c r="A331" s="149">
        <v>46148.0</v>
      </c>
      <c r="B331" s="40" t="s">
        <v>663</v>
      </c>
      <c r="C331" s="40" t="s">
        <v>664</v>
      </c>
      <c r="D331" s="149">
        <v>46147.0</v>
      </c>
      <c r="E331" s="152"/>
      <c r="F331" s="152">
        <v>0.0</v>
      </c>
      <c r="G331" s="152">
        <v>-2.165490735E7</v>
      </c>
      <c r="H331" s="152">
        <v>2.1406932E7</v>
      </c>
      <c r="I331" s="151">
        <f t="shared" si="1"/>
        <v>-247975.35</v>
      </c>
    </row>
    <row r="332">
      <c r="A332" s="149">
        <v>46149.0</v>
      </c>
      <c r="B332" s="40" t="s">
        <v>663</v>
      </c>
      <c r="C332" s="40" t="s">
        <v>664</v>
      </c>
      <c r="D332" s="149">
        <v>46148.0</v>
      </c>
      <c r="E332" s="152"/>
      <c r="F332" s="152">
        <v>0.0</v>
      </c>
      <c r="G332" s="152">
        <v>-2.165490735E7</v>
      </c>
      <c r="H332" s="152">
        <v>2.1816794E7</v>
      </c>
      <c r="I332" s="151">
        <f t="shared" si="1"/>
        <v>161886.65</v>
      </c>
    </row>
    <row r="333">
      <c r="A333" s="149">
        <v>46150.0</v>
      </c>
      <c r="B333" s="40" t="s">
        <v>663</v>
      </c>
      <c r="C333" s="40" t="s">
        <v>664</v>
      </c>
      <c r="D333" s="149">
        <v>46149.0</v>
      </c>
      <c r="E333" s="152"/>
      <c r="F333" s="152">
        <v>0.0</v>
      </c>
      <c r="G333" s="152">
        <v>-2.165490735E7</v>
      </c>
      <c r="H333" s="152">
        <v>2.2175019E7</v>
      </c>
      <c r="I333" s="151">
        <f t="shared" si="1"/>
        <v>520111.65</v>
      </c>
    </row>
    <row r="334">
      <c r="A334" s="149">
        <v>46153.0</v>
      </c>
      <c r="B334" s="40" t="s">
        <v>663</v>
      </c>
      <c r="C334" s="40" t="s">
        <v>664</v>
      </c>
      <c r="D334" s="149">
        <v>46150.0</v>
      </c>
      <c r="E334" s="152"/>
      <c r="F334" s="152">
        <v>0.0</v>
      </c>
      <c r="G334" s="152">
        <v>-2.165490735E7</v>
      </c>
      <c r="H334" s="152">
        <v>2.210052E7</v>
      </c>
      <c r="I334" s="151">
        <f t="shared" si="1"/>
        <v>445612.65</v>
      </c>
    </row>
    <row r="335">
      <c r="A335" s="149">
        <v>46154.0</v>
      </c>
      <c r="B335" s="40" t="s">
        <v>663</v>
      </c>
      <c r="C335" s="40" t="s">
        <v>664</v>
      </c>
      <c r="D335" s="149">
        <v>46153.0</v>
      </c>
      <c r="E335" s="152"/>
      <c r="F335" s="152">
        <v>0.0</v>
      </c>
      <c r="G335" s="152">
        <v>-2.165490735E7</v>
      </c>
      <c r="H335" s="152">
        <v>2.1778775E7</v>
      </c>
      <c r="I335" s="151">
        <f t="shared" si="1"/>
        <v>123867.65</v>
      </c>
    </row>
    <row r="336">
      <c r="A336" s="149">
        <v>46155.0</v>
      </c>
      <c r="B336" s="40" t="s">
        <v>663</v>
      </c>
      <c r="C336" s="40" t="s">
        <v>664</v>
      </c>
      <c r="D336" s="149">
        <v>46154.0</v>
      </c>
      <c r="E336" s="152"/>
      <c r="F336" s="152">
        <v>0.0</v>
      </c>
      <c r="G336" s="152">
        <v>-2.165490735E7</v>
      </c>
      <c r="H336" s="152">
        <v>2.1236855E7</v>
      </c>
      <c r="I336" s="151">
        <f t="shared" si="1"/>
        <v>-418052.35</v>
      </c>
    </row>
    <row r="337">
      <c r="A337" s="149">
        <v>46156.0</v>
      </c>
      <c r="B337" s="40" t="s">
        <v>663</v>
      </c>
      <c r="C337" s="40" t="s">
        <v>664</v>
      </c>
      <c r="D337" s="149">
        <v>46155.0</v>
      </c>
      <c r="E337" s="152"/>
      <c r="F337" s="152">
        <v>0.0</v>
      </c>
      <c r="G337" s="152">
        <v>-2.165490735E7</v>
      </c>
      <c r="H337" s="152">
        <v>2.1426888E7</v>
      </c>
      <c r="I337" s="151">
        <f t="shared" si="1"/>
        <v>-228019.35</v>
      </c>
    </row>
    <row r="338">
      <c r="A338" s="149">
        <v>46157.0</v>
      </c>
      <c r="B338" s="40" t="s">
        <v>663</v>
      </c>
      <c r="C338" s="40" t="s">
        <v>664</v>
      </c>
      <c r="D338" s="149">
        <v>46156.0</v>
      </c>
      <c r="E338" s="152"/>
      <c r="F338" s="152">
        <v>0.0</v>
      </c>
      <c r="G338" s="152">
        <v>-2.165490735E7</v>
      </c>
      <c r="H338" s="152">
        <v>2.1842929E7</v>
      </c>
      <c r="I338" s="151">
        <f t="shared" si="1"/>
        <v>188021.65</v>
      </c>
    </row>
    <row r="339">
      <c r="A339" s="149">
        <v>46160.0</v>
      </c>
      <c r="B339" s="40" t="s">
        <v>663</v>
      </c>
      <c r="C339" s="40" t="s">
        <v>664</v>
      </c>
      <c r="D339" s="149">
        <v>46157.0</v>
      </c>
      <c r="E339" s="152"/>
      <c r="F339" s="152">
        <v>0.0</v>
      </c>
      <c r="G339" s="152">
        <v>-2.165490735E7</v>
      </c>
      <c r="H339" s="152">
        <v>2.1770971E7</v>
      </c>
      <c r="I339" s="151">
        <f t="shared" si="1"/>
        <v>116063.65</v>
      </c>
    </row>
    <row r="340">
      <c r="A340" s="149">
        <v>46161.0</v>
      </c>
      <c r="B340" s="40" t="s">
        <v>663</v>
      </c>
      <c r="C340" s="40" t="s">
        <v>664</v>
      </c>
      <c r="D340" s="149">
        <v>46160.0</v>
      </c>
      <c r="E340" s="152"/>
      <c r="F340" s="152">
        <v>0.0</v>
      </c>
      <c r="G340" s="152">
        <v>-2.165490735E7</v>
      </c>
      <c r="H340" s="152">
        <v>2.1369146E7</v>
      </c>
      <c r="I340" s="151">
        <f t="shared" si="1"/>
        <v>-285761.35</v>
      </c>
    </row>
    <row r="341">
      <c r="A341" s="149">
        <v>46162.0</v>
      </c>
      <c r="B341" s="40" t="s">
        <v>663</v>
      </c>
      <c r="C341" s="40" t="s">
        <v>664</v>
      </c>
      <c r="D341" s="149">
        <v>46161.0</v>
      </c>
      <c r="E341" s="152"/>
      <c r="F341" s="152">
        <v>0.0</v>
      </c>
      <c r="G341" s="152">
        <v>-2.165490735E7</v>
      </c>
      <c r="H341" s="152">
        <v>2.1448732E7</v>
      </c>
      <c r="I341" s="151">
        <f t="shared" si="1"/>
        <v>-206175.35</v>
      </c>
    </row>
    <row r="342">
      <c r="A342" s="149">
        <v>46163.0</v>
      </c>
      <c r="B342" s="40" t="s">
        <v>663</v>
      </c>
      <c r="C342" s="40" t="s">
        <v>664</v>
      </c>
      <c r="D342" s="149">
        <v>46162.0</v>
      </c>
      <c r="E342" s="152"/>
      <c r="F342" s="152">
        <v>0.0</v>
      </c>
      <c r="G342" s="152">
        <v>-2.165490735E7</v>
      </c>
      <c r="H342" s="152">
        <v>2.161385E7</v>
      </c>
      <c r="I342" s="151">
        <f t="shared" si="1"/>
        <v>-41057.35</v>
      </c>
    </row>
    <row r="343">
      <c r="A343" s="149">
        <v>46164.0</v>
      </c>
      <c r="B343" s="40" t="s">
        <v>663</v>
      </c>
      <c r="C343" s="40" t="s">
        <v>664</v>
      </c>
      <c r="D343" s="149">
        <v>46163.0</v>
      </c>
      <c r="E343" s="152"/>
      <c r="F343" s="152">
        <v>0.0</v>
      </c>
      <c r="G343" s="152">
        <v>-2.165490735E7</v>
      </c>
      <c r="H343" s="152">
        <v>2.1639113E7</v>
      </c>
      <c r="I343" s="151">
        <f t="shared" si="1"/>
        <v>-15794.35</v>
      </c>
    </row>
    <row r="344">
      <c r="A344" s="149">
        <v>46167.0</v>
      </c>
      <c r="B344" s="40" t="s">
        <v>663</v>
      </c>
      <c r="C344" s="40" t="s">
        <v>664</v>
      </c>
      <c r="D344" s="149">
        <v>46164.0</v>
      </c>
      <c r="E344" s="152"/>
      <c r="F344" s="152">
        <v>0.0</v>
      </c>
      <c r="G344" s="152">
        <v>-2.165490735E7</v>
      </c>
      <c r="H344" s="152">
        <v>2.1647941E7</v>
      </c>
      <c r="I344" s="151">
        <f t="shared" si="1"/>
        <v>-6966.35</v>
      </c>
    </row>
    <row r="345">
      <c r="A345" s="149">
        <v>46168.0</v>
      </c>
      <c r="B345" s="40" t="s">
        <v>663</v>
      </c>
      <c r="C345" s="40" t="s">
        <v>664</v>
      </c>
      <c r="D345" s="149">
        <v>46167.0</v>
      </c>
      <c r="E345" s="152"/>
      <c r="F345" s="152">
        <v>0.0</v>
      </c>
      <c r="G345" s="152">
        <v>-2.165490735E7</v>
      </c>
      <c r="H345" s="152">
        <v>2.2008725E7</v>
      </c>
      <c r="I345" s="151">
        <f t="shared" si="1"/>
        <v>353817.65</v>
      </c>
    </row>
    <row r="346">
      <c r="A346" s="149">
        <v>46169.0</v>
      </c>
      <c r="B346" s="40" t="s">
        <v>663</v>
      </c>
      <c r="C346" s="40" t="s">
        <v>664</v>
      </c>
      <c r="D346" s="149">
        <v>46168.0</v>
      </c>
      <c r="E346" s="152"/>
      <c r="F346" s="152">
        <v>0.0</v>
      </c>
      <c r="G346" s="152">
        <v>-2.165490735E7</v>
      </c>
      <c r="H346" s="152">
        <v>2.2152723E7</v>
      </c>
      <c r="I346" s="151">
        <f t="shared" si="1"/>
        <v>497815.65</v>
      </c>
    </row>
    <row r="347">
      <c r="A347" s="149">
        <v>46171.0</v>
      </c>
      <c r="B347" s="40" t="s">
        <v>663</v>
      </c>
      <c r="C347" s="40" t="s">
        <v>664</v>
      </c>
      <c r="D347" s="149">
        <v>46169.0</v>
      </c>
      <c r="E347" s="152"/>
      <c r="F347" s="152">
        <v>0.0</v>
      </c>
      <c r="G347" s="152">
        <v>-2.165490735E7</v>
      </c>
      <c r="H347" s="152">
        <v>2.2344637E7</v>
      </c>
      <c r="I347" s="151">
        <f t="shared" si="1"/>
        <v>689729.65</v>
      </c>
    </row>
    <row r="348">
      <c r="A348" s="149">
        <v>46174.0</v>
      </c>
      <c r="B348" s="40" t="s">
        <v>663</v>
      </c>
      <c r="C348" s="40" t="s">
        <v>664</v>
      </c>
      <c r="D348" s="149">
        <v>46171.0</v>
      </c>
      <c r="E348" s="152"/>
      <c r="F348" s="152">
        <v>0.0</v>
      </c>
      <c r="G348" s="152">
        <v>-2.165490735E7</v>
      </c>
      <c r="H348" s="152">
        <v>2.2027504E7</v>
      </c>
      <c r="I348" s="151">
        <f t="shared" si="1"/>
        <v>372596.65</v>
      </c>
    </row>
    <row r="349">
      <c r="A349" s="149">
        <v>46175.0</v>
      </c>
      <c r="B349" s="40" t="s">
        <v>663</v>
      </c>
      <c r="C349" s="40" t="s">
        <v>664</v>
      </c>
      <c r="D349" s="149">
        <v>46174.0</v>
      </c>
      <c r="E349" s="152"/>
      <c r="F349" s="152">
        <v>0.0</v>
      </c>
      <c r="G349" s="152">
        <v>-2.165490735E7</v>
      </c>
      <c r="H349" s="152">
        <v>2.1557243E7</v>
      </c>
      <c r="I349" s="151">
        <f t="shared" si="1"/>
        <v>-97664.35</v>
      </c>
    </row>
    <row r="350">
      <c r="A350" s="149">
        <v>46176.0</v>
      </c>
      <c r="B350" s="40" t="s">
        <v>663</v>
      </c>
      <c r="C350" s="40" t="s">
        <v>664</v>
      </c>
      <c r="D350" s="149">
        <v>46175.0</v>
      </c>
      <c r="E350" s="152"/>
      <c r="F350" s="152">
        <v>0.0</v>
      </c>
      <c r="G350" s="152">
        <v>-2.165490735E7</v>
      </c>
      <c r="H350" s="152">
        <v>2.145919E7</v>
      </c>
      <c r="I350" s="151">
        <f t="shared" si="1"/>
        <v>-195717.35</v>
      </c>
    </row>
    <row r="351">
      <c r="A351" s="149">
        <v>46177.0</v>
      </c>
      <c r="B351" s="40" t="s">
        <v>663</v>
      </c>
      <c r="C351" s="40" t="s">
        <v>664</v>
      </c>
      <c r="D351" s="149">
        <v>46176.0</v>
      </c>
      <c r="E351" s="152"/>
      <c r="F351" s="152">
        <v>0.0</v>
      </c>
      <c r="G351" s="152">
        <v>-2.165490735E7</v>
      </c>
      <c r="H351" s="152">
        <v>2.1402411E7</v>
      </c>
      <c r="I351" s="151">
        <f t="shared" si="1"/>
        <v>-252496.35</v>
      </c>
    </row>
    <row r="352">
      <c r="A352" s="149">
        <v>46178.0</v>
      </c>
      <c r="B352" s="40" t="s">
        <v>663</v>
      </c>
      <c r="C352" s="40" t="s">
        <v>664</v>
      </c>
      <c r="D352" s="149">
        <v>46177.0</v>
      </c>
      <c r="E352" s="152"/>
      <c r="F352" s="152">
        <v>0.0</v>
      </c>
      <c r="G352" s="152">
        <v>-2.165490735E7</v>
      </c>
      <c r="H352" s="152">
        <v>2.1592054E7</v>
      </c>
      <c r="I352" s="151">
        <f t="shared" si="1"/>
        <v>-62853.35</v>
      </c>
    </row>
    <row r="353">
      <c r="A353" s="149">
        <v>46181.0</v>
      </c>
      <c r="B353" s="40" t="s">
        <v>663</v>
      </c>
      <c r="C353" s="40" t="s">
        <v>664</v>
      </c>
      <c r="D353" s="149">
        <v>46178.0</v>
      </c>
      <c r="E353" s="152"/>
      <c r="F353" s="152">
        <v>0.0</v>
      </c>
      <c r="G353" s="152">
        <v>-2.165490735E7</v>
      </c>
      <c r="H353" s="152">
        <v>2.1501589E7</v>
      </c>
      <c r="I353" s="151">
        <f t="shared" si="1"/>
        <v>-153318.35</v>
      </c>
    </row>
    <row r="354">
      <c r="A354" s="149">
        <v>46182.0</v>
      </c>
      <c r="B354" s="40" t="s">
        <v>663</v>
      </c>
      <c r="C354" s="40" t="s">
        <v>664</v>
      </c>
      <c r="D354" s="149">
        <v>46181.0</v>
      </c>
      <c r="E354" s="152"/>
      <c r="F354" s="152">
        <v>0.0</v>
      </c>
      <c r="G354" s="152">
        <v>-2.165490735E7</v>
      </c>
      <c r="H354" s="152">
        <v>2.0981103E7</v>
      </c>
      <c r="I354" s="151">
        <f t="shared" si="1"/>
        <v>-673804.35</v>
      </c>
    </row>
    <row r="355">
      <c r="A355" s="149">
        <v>46183.0</v>
      </c>
      <c r="B355" s="40" t="s">
        <v>663</v>
      </c>
      <c r="C355" s="40" t="s">
        <v>664</v>
      </c>
      <c r="D355" s="149">
        <v>46182.0</v>
      </c>
      <c r="E355" s="152"/>
      <c r="F355" s="152">
        <v>0.0</v>
      </c>
      <c r="G355" s="152">
        <v>-2.165490735E7</v>
      </c>
      <c r="H355" s="152">
        <v>2.1272231E7</v>
      </c>
      <c r="I355" s="151">
        <f t="shared" si="1"/>
        <v>-382676.35</v>
      </c>
    </row>
    <row r="356">
      <c r="A356" s="149">
        <v>46184.0</v>
      </c>
      <c r="B356" s="40" t="s">
        <v>663</v>
      </c>
      <c r="C356" s="40" t="s">
        <v>664</v>
      </c>
      <c r="D356" s="149">
        <v>46183.0</v>
      </c>
      <c r="E356" s="152"/>
      <c r="F356" s="152">
        <v>0.0</v>
      </c>
      <c r="G356" s="152">
        <v>-2.165490735E7</v>
      </c>
      <c r="H356" s="152">
        <v>2.0848217E7</v>
      </c>
      <c r="I356" s="151">
        <f t="shared" si="1"/>
        <v>-806690.35</v>
      </c>
    </row>
    <row r="357">
      <c r="A357" s="149">
        <v>46185.0</v>
      </c>
      <c r="B357" s="40" t="s">
        <v>663</v>
      </c>
      <c r="C357" s="40" t="s">
        <v>664</v>
      </c>
      <c r="D357" s="149">
        <v>46184.0</v>
      </c>
      <c r="E357" s="152"/>
      <c r="F357" s="152">
        <v>0.0</v>
      </c>
      <c r="G357" s="152">
        <v>-2.165490735E7</v>
      </c>
      <c r="H357" s="152">
        <v>2.0676327E7</v>
      </c>
      <c r="I357" s="151">
        <f t="shared" si="1"/>
        <v>-978580.35</v>
      </c>
    </row>
    <row r="358">
      <c r="A358" s="149">
        <v>46188.0</v>
      </c>
      <c r="B358" s="40" t="s">
        <v>663</v>
      </c>
      <c r="C358" s="40" t="s">
        <v>664</v>
      </c>
      <c r="D358" s="149">
        <v>46185.0</v>
      </c>
      <c r="E358" s="152"/>
      <c r="F358" s="152">
        <v>0.0</v>
      </c>
      <c r="G358" s="152">
        <v>-2.165490735E7</v>
      </c>
      <c r="H358" s="152">
        <v>2.131666E7</v>
      </c>
      <c r="I358" s="151">
        <f t="shared" si="1"/>
        <v>-338247.35</v>
      </c>
    </row>
    <row r="359">
      <c r="A359" s="149">
        <v>46189.0</v>
      </c>
      <c r="B359" s="40" t="s">
        <v>663</v>
      </c>
      <c r="C359" s="40" t="s">
        <v>664</v>
      </c>
      <c r="D359" s="149">
        <v>46188.0</v>
      </c>
      <c r="E359" s="152"/>
      <c r="F359" s="152">
        <v>0.0</v>
      </c>
      <c r="G359" s="152">
        <v>-2.165490735E7</v>
      </c>
      <c r="H359" s="152">
        <v>2.1722115E7</v>
      </c>
      <c r="I359" s="151">
        <f t="shared" si="1"/>
        <v>67207.65</v>
      </c>
    </row>
    <row r="360">
      <c r="A360" s="149">
        <v>46190.0</v>
      </c>
      <c r="B360" s="40" t="s">
        <v>663</v>
      </c>
      <c r="C360" s="40" t="s">
        <v>664</v>
      </c>
      <c r="D360" s="149">
        <v>46189.0</v>
      </c>
      <c r="E360" s="152"/>
      <c r="F360" s="152">
        <v>0.0</v>
      </c>
      <c r="G360" s="152">
        <v>-2.165490735E7</v>
      </c>
      <c r="H360" s="152">
        <v>2.1690363E7</v>
      </c>
      <c r="I360" s="151">
        <f t="shared" si="1"/>
        <v>35455.65</v>
      </c>
    </row>
    <row r="361">
      <c r="A361" s="149">
        <v>46191.0</v>
      </c>
      <c r="B361" s="40" t="s">
        <v>663</v>
      </c>
      <c r="C361" s="40" t="s">
        <v>664</v>
      </c>
      <c r="D361" s="149">
        <v>46190.0</v>
      </c>
      <c r="E361" s="152"/>
      <c r="F361" s="152">
        <v>0.0</v>
      </c>
      <c r="G361" s="152">
        <v>-2.165490735E7</v>
      </c>
      <c r="H361" s="152">
        <v>2.1836065E7</v>
      </c>
      <c r="I361" s="151">
        <f t="shared" si="1"/>
        <v>181157.65</v>
      </c>
    </row>
    <row r="362">
      <c r="A362" s="149">
        <v>46192.0</v>
      </c>
      <c r="B362" s="40" t="s">
        <v>663</v>
      </c>
      <c r="C362" s="40" t="s">
        <v>664</v>
      </c>
      <c r="D362" s="149">
        <v>46191.0</v>
      </c>
      <c r="E362" s="152"/>
      <c r="F362" s="152">
        <v>0.0</v>
      </c>
      <c r="G362" s="152">
        <v>-2.165490735E7</v>
      </c>
      <c r="H362" s="152">
        <v>2.1895117E7</v>
      </c>
      <c r="I362" s="151">
        <f t="shared" si="1"/>
        <v>240209.65</v>
      </c>
    </row>
    <row r="363">
      <c r="A363" s="149">
        <v>46195.0</v>
      </c>
      <c r="B363" s="40" t="s">
        <v>663</v>
      </c>
      <c r="C363" s="40" t="s">
        <v>664</v>
      </c>
      <c r="D363" s="149">
        <v>46192.0</v>
      </c>
      <c r="E363" s="152"/>
      <c r="F363" s="152">
        <v>0.0</v>
      </c>
      <c r="G363" s="152">
        <v>-2.165490735E7</v>
      </c>
      <c r="H363" s="152">
        <v>2.2006192E7</v>
      </c>
      <c r="I363" s="151">
        <f t="shared" si="1"/>
        <v>351284.65</v>
      </c>
    </row>
    <row r="364">
      <c r="A364" s="149">
        <v>46196.0</v>
      </c>
      <c r="B364" s="40" t="s">
        <v>663</v>
      </c>
      <c r="C364" s="40" t="s">
        <v>664</v>
      </c>
      <c r="D364" s="149">
        <v>46195.0</v>
      </c>
      <c r="E364" s="152"/>
      <c r="F364" s="152">
        <v>0.0</v>
      </c>
      <c r="G364" s="152">
        <v>-2.165490735E7</v>
      </c>
      <c r="H364" s="152">
        <v>2.2141371E7</v>
      </c>
      <c r="I364" s="151">
        <f t="shared" si="1"/>
        <v>486463.65</v>
      </c>
    </row>
    <row r="365">
      <c r="A365" s="149">
        <v>46197.0</v>
      </c>
      <c r="B365" s="40" t="s">
        <v>663</v>
      </c>
      <c r="C365" s="40" t="s">
        <v>664</v>
      </c>
      <c r="D365" s="149">
        <v>46196.0</v>
      </c>
      <c r="E365" s="152"/>
      <c r="F365" s="152">
        <v>0.0</v>
      </c>
      <c r="G365" s="152">
        <v>-2.165490735E7</v>
      </c>
      <c r="H365" s="152">
        <v>2.1788883E7</v>
      </c>
      <c r="I365" s="151">
        <f t="shared" si="1"/>
        <v>133975.65</v>
      </c>
    </row>
    <row r="366">
      <c r="A366" s="149">
        <v>46198.0</v>
      </c>
      <c r="B366" s="40" t="s">
        <v>663</v>
      </c>
      <c r="C366" s="40" t="s">
        <v>664</v>
      </c>
      <c r="D366" s="149">
        <v>46197.0</v>
      </c>
      <c r="E366" s="152"/>
      <c r="F366" s="152">
        <v>0.0</v>
      </c>
      <c r="G366" s="152">
        <v>-2.165490735E7</v>
      </c>
      <c r="H366" s="152">
        <v>2.1698431E7</v>
      </c>
      <c r="I366" s="151">
        <f t="shared" si="1"/>
        <v>43523.65</v>
      </c>
    </row>
    <row r="367">
      <c r="A367" s="149">
        <v>46202.0</v>
      </c>
      <c r="B367" s="40" t="s">
        <v>663</v>
      </c>
      <c r="C367" s="40" t="s">
        <v>664</v>
      </c>
      <c r="D367" s="149">
        <v>46198.0</v>
      </c>
      <c r="E367" s="152"/>
      <c r="F367" s="152">
        <v>0.0</v>
      </c>
      <c r="G367" s="152">
        <v>-2.165490735E7</v>
      </c>
      <c r="H367" s="152">
        <v>2.1557999E7</v>
      </c>
      <c r="I367" s="151">
        <f t="shared" si="1"/>
        <v>-96908.35</v>
      </c>
    </row>
    <row r="368">
      <c r="A368" s="149">
        <v>46203.0</v>
      </c>
      <c r="B368" s="40" t="s">
        <v>663</v>
      </c>
      <c r="C368" s="40" t="s">
        <v>664</v>
      </c>
      <c r="D368" s="149">
        <v>46202.0</v>
      </c>
      <c r="E368" s="152"/>
      <c r="F368" s="152">
        <v>0.0</v>
      </c>
      <c r="G368" s="152">
        <v>-2.165490735E7</v>
      </c>
      <c r="H368" s="152">
        <v>2.1610795E7</v>
      </c>
      <c r="I368" s="151">
        <f t="shared" si="1"/>
        <v>-44112.35</v>
      </c>
    </row>
    <row r="369">
      <c r="A369" s="149">
        <v>46204.0</v>
      </c>
      <c r="B369" s="40" t="s">
        <v>663</v>
      </c>
      <c r="C369" s="40" t="s">
        <v>664</v>
      </c>
      <c r="D369" s="149">
        <v>46203.0</v>
      </c>
      <c r="E369" s="152"/>
      <c r="F369" s="152">
        <v>0.0</v>
      </c>
      <c r="G369" s="152">
        <v>-2.165490735E7</v>
      </c>
      <c r="H369" s="152">
        <v>2.1697424E7</v>
      </c>
      <c r="I369" s="151">
        <f t="shared" si="1"/>
        <v>42516.65</v>
      </c>
    </row>
    <row r="370">
      <c r="A370" s="149">
        <v>46205.0</v>
      </c>
      <c r="B370" s="40" t="s">
        <v>663</v>
      </c>
      <c r="C370" s="40" t="s">
        <v>664</v>
      </c>
      <c r="D370" s="149">
        <v>46204.0</v>
      </c>
      <c r="E370" s="152"/>
      <c r="F370" s="152">
        <v>0.0</v>
      </c>
      <c r="G370" s="152">
        <v>-2.165490735E7</v>
      </c>
      <c r="H370" s="152">
        <v>2.1729167E7</v>
      </c>
      <c r="I370" s="151">
        <f t="shared" si="1"/>
        <v>74259.65</v>
      </c>
    </row>
    <row r="371">
      <c r="A371" s="59">
        <v>46206.0</v>
      </c>
      <c r="B371" s="8" t="s">
        <v>680</v>
      </c>
      <c r="C371" s="8" t="s">
        <v>681</v>
      </c>
      <c r="D371" s="59">
        <v>46205.0</v>
      </c>
      <c r="E371" s="8">
        <v>0.0</v>
      </c>
      <c r="F371" s="8">
        <v>110589.43</v>
      </c>
      <c r="G371" s="8">
        <v>-2.154431892E7</v>
      </c>
      <c r="H371" s="152">
        <v>2.1688356E7</v>
      </c>
      <c r="I371" s="151">
        <f t="shared" si="1"/>
        <v>144037.08</v>
      </c>
    </row>
    <row r="372">
      <c r="A372" s="59">
        <v>46209.0</v>
      </c>
      <c r="B372" s="8" t="s">
        <v>680</v>
      </c>
      <c r="C372" s="8" t="s">
        <v>681</v>
      </c>
      <c r="D372" s="59">
        <v>46206.0</v>
      </c>
      <c r="E372" s="8">
        <v>0.0</v>
      </c>
      <c r="G372" s="8">
        <v>-2.154431892E7</v>
      </c>
      <c r="H372" s="152">
        <v>2.1429299E7</v>
      </c>
      <c r="I372" s="151">
        <f t="shared" si="1"/>
        <v>-115019.92</v>
      </c>
    </row>
    <row r="373">
      <c r="A373" s="59">
        <v>46210.0</v>
      </c>
      <c r="B373" s="8" t="s">
        <v>680</v>
      </c>
      <c r="C373" s="8" t="s">
        <v>681</v>
      </c>
      <c r="D373" s="59">
        <v>46209.0</v>
      </c>
      <c r="E373" s="8">
        <v>0.0</v>
      </c>
      <c r="G373" s="8">
        <v>-2.154431892E7</v>
      </c>
      <c r="H373" s="152">
        <v>2.1624789E7</v>
      </c>
      <c r="I373" s="151">
        <f t="shared" si="1"/>
        <v>80470.08</v>
      </c>
    </row>
    <row r="374">
      <c r="A374" s="59">
        <v>46211.0</v>
      </c>
      <c r="B374" s="8" t="s">
        <v>680</v>
      </c>
      <c r="C374" s="8" t="s">
        <v>681</v>
      </c>
      <c r="D374" s="59">
        <v>46210.0</v>
      </c>
      <c r="E374" s="8">
        <v>0.0</v>
      </c>
      <c r="G374" s="8">
        <v>-2.154431892E7</v>
      </c>
      <c r="H374" s="152">
        <v>2.1390794E7</v>
      </c>
      <c r="I374" s="151">
        <f t="shared" si="1"/>
        <v>-153524.92</v>
      </c>
    </row>
    <row r="375">
      <c r="A375" s="59">
        <v>46212.0</v>
      </c>
      <c r="B375" s="8" t="s">
        <v>680</v>
      </c>
      <c r="C375" s="8" t="s">
        <v>681</v>
      </c>
      <c r="D375" s="59">
        <v>46211.0</v>
      </c>
      <c r="E375" s="8">
        <v>0.0</v>
      </c>
      <c r="G375" s="8">
        <v>-2.154431892E7</v>
      </c>
      <c r="H375" s="152">
        <v>2.1131168E7</v>
      </c>
      <c r="I375" s="151">
        <f t="shared" si="1"/>
        <v>-413150.92</v>
      </c>
    </row>
    <row r="376">
      <c r="A376" s="59">
        <v>46213.0</v>
      </c>
      <c r="B376" s="8" t="s">
        <v>680</v>
      </c>
      <c r="C376" s="8" t="s">
        <v>681</v>
      </c>
      <c r="D376" s="59">
        <v>46212.0</v>
      </c>
      <c r="E376" s="8">
        <v>0.0</v>
      </c>
      <c r="G376" s="8">
        <v>-2.154431892E7</v>
      </c>
      <c r="H376" s="152">
        <v>2.1373615E7</v>
      </c>
      <c r="I376" s="151">
        <f t="shared" si="1"/>
        <v>-170703.92</v>
      </c>
    </row>
    <row r="377">
      <c r="A377" s="59">
        <v>46216.0</v>
      </c>
      <c r="B377" s="8" t="s">
        <v>680</v>
      </c>
      <c r="C377" s="8" t="s">
        <v>681</v>
      </c>
      <c r="D377" s="59">
        <v>46213.0</v>
      </c>
      <c r="E377" s="8">
        <v>0.0</v>
      </c>
      <c r="G377" s="8">
        <v>-2.154431892E7</v>
      </c>
      <c r="H377" s="152">
        <v>2.1650708E7</v>
      </c>
      <c r="I377" s="151">
        <f t="shared" si="1"/>
        <v>106389.08</v>
      </c>
    </row>
    <row r="378">
      <c r="A378" s="59">
        <v>46217.0</v>
      </c>
      <c r="B378" s="8" t="s">
        <v>680</v>
      </c>
      <c r="C378" s="8" t="s">
        <v>681</v>
      </c>
      <c r="D378" s="59">
        <v>46216.0</v>
      </c>
      <c r="E378" s="8">
        <v>0.0</v>
      </c>
      <c r="G378" s="8">
        <v>-2.154431892E7</v>
      </c>
      <c r="H378" s="152">
        <v>2.1666288E7</v>
      </c>
      <c r="I378" s="151">
        <f t="shared" si="1"/>
        <v>121969.08</v>
      </c>
    </row>
    <row r="379">
      <c r="A379" s="59">
        <v>46218.0</v>
      </c>
      <c r="B379" s="8" t="s">
        <v>680</v>
      </c>
      <c r="C379" s="8" t="s">
        <v>681</v>
      </c>
      <c r="D379" s="59">
        <v>46217.0</v>
      </c>
      <c r="E379" s="8">
        <v>0.0</v>
      </c>
      <c r="G379" s="8">
        <v>-2.154431892E7</v>
      </c>
      <c r="H379" s="152">
        <v>2.1692567E7</v>
      </c>
      <c r="I379" s="151">
        <f t="shared" si="1"/>
        <v>148248.08</v>
      </c>
    </row>
    <row r="380">
      <c r="A380" s="59">
        <v>46219.0</v>
      </c>
      <c r="B380" s="8" t="s">
        <v>680</v>
      </c>
      <c r="C380" s="8" t="s">
        <v>681</v>
      </c>
      <c r="D380" s="59">
        <v>46218.0</v>
      </c>
      <c r="E380" s="8">
        <v>0.0</v>
      </c>
      <c r="G380" s="8">
        <v>-2.154431892E7</v>
      </c>
      <c r="H380" s="152">
        <v>2.175392E7</v>
      </c>
      <c r="I380" s="151">
        <f t="shared" si="1"/>
        <v>209601.08</v>
      </c>
    </row>
    <row r="381">
      <c r="A381" s="59">
        <v>46220.0</v>
      </c>
      <c r="B381" s="8" t="s">
        <v>680</v>
      </c>
      <c r="C381" s="8" t="s">
        <v>681</v>
      </c>
      <c r="D381" s="59">
        <v>46219.0</v>
      </c>
      <c r="E381" s="8">
        <v>0.0</v>
      </c>
      <c r="G381" s="8">
        <v>-2.154431892E7</v>
      </c>
      <c r="H381" s="152">
        <v>2.1621692E7</v>
      </c>
      <c r="I381" s="151">
        <f t="shared" si="1"/>
        <v>77373.08</v>
      </c>
    </row>
    <row r="382">
      <c r="A382" s="59">
        <v>46223.0</v>
      </c>
      <c r="B382" s="8" t="s">
        <v>680</v>
      </c>
      <c r="C382" s="8" t="s">
        <v>681</v>
      </c>
      <c r="D382" s="59">
        <v>46220.0</v>
      </c>
      <c r="E382" s="8">
        <v>0.0</v>
      </c>
      <c r="G382" s="8">
        <v>-2.154431892E7</v>
      </c>
      <c r="H382" s="152">
        <v>2.1453771E7</v>
      </c>
      <c r="I382" s="151">
        <f t="shared" si="1"/>
        <v>-90547.92</v>
      </c>
    </row>
    <row r="383">
      <c r="A383" s="59">
        <v>46224.0</v>
      </c>
      <c r="B383" s="8" t="s">
        <v>680</v>
      </c>
      <c r="C383" s="8" t="s">
        <v>681</v>
      </c>
      <c r="D383" s="59">
        <v>46223.0</v>
      </c>
      <c r="E383" s="8">
        <v>0.0</v>
      </c>
      <c r="G383" s="8">
        <v>-2.154431892E7</v>
      </c>
      <c r="H383" s="152">
        <v>2.1584397E7</v>
      </c>
      <c r="I383" s="151">
        <f t="shared" si="1"/>
        <v>40078.08</v>
      </c>
    </row>
    <row r="384">
      <c r="A384" s="59">
        <v>46225.0</v>
      </c>
      <c r="B384" s="8" t="s">
        <v>680</v>
      </c>
      <c r="C384" s="8" t="s">
        <v>681</v>
      </c>
      <c r="D384" s="59">
        <v>46224.0</v>
      </c>
      <c r="E384" s="8">
        <v>0.0</v>
      </c>
      <c r="G384" s="8">
        <v>-2.154431892E7</v>
      </c>
      <c r="H384" s="152">
        <v>2.1654137E7</v>
      </c>
      <c r="I384" s="151">
        <f t="shared" si="1"/>
        <v>109818.08</v>
      </c>
    </row>
    <row r="385">
      <c r="A385" s="59">
        <v>46226.0</v>
      </c>
      <c r="B385" s="8" t="s">
        <v>680</v>
      </c>
      <c r="C385" s="8" t="s">
        <v>681</v>
      </c>
      <c r="D385" s="59">
        <v>46225.0</v>
      </c>
      <c r="E385" s="8">
        <v>0.0</v>
      </c>
      <c r="G385" s="8">
        <v>-2.154431892E7</v>
      </c>
      <c r="H385" s="152">
        <v>2.147921E7</v>
      </c>
      <c r="I385" s="151">
        <f t="shared" si="1"/>
        <v>-65108.92</v>
      </c>
    </row>
    <row r="386">
      <c r="A386" s="59">
        <v>46227.0</v>
      </c>
      <c r="B386" s="8" t="s">
        <v>680</v>
      </c>
      <c r="C386" s="8" t="s">
        <v>681</v>
      </c>
      <c r="D386" s="59">
        <v>46226.0</v>
      </c>
      <c r="E386" s="8">
        <v>0.0</v>
      </c>
      <c r="G386" s="8">
        <v>-2.154431892E7</v>
      </c>
      <c r="H386" s="152">
        <v>2.1153344E7</v>
      </c>
      <c r="I386" s="151">
        <f t="shared" si="1"/>
        <v>-390974.92</v>
      </c>
    </row>
    <row r="387">
      <c r="A387" s="59">
        <v>46230.0</v>
      </c>
      <c r="B387" s="8" t="s">
        <v>680</v>
      </c>
      <c r="C387" s="8" t="s">
        <v>681</v>
      </c>
      <c r="D387" s="59">
        <v>46227.0</v>
      </c>
      <c r="E387" s="8">
        <v>0.0</v>
      </c>
      <c r="G387" s="8">
        <v>-2.154431892E7</v>
      </c>
      <c r="H387" s="152">
        <v>2.1112472E7</v>
      </c>
      <c r="I387" s="151">
        <f t="shared" si="1"/>
        <v>-431846.92</v>
      </c>
    </row>
    <row r="388">
      <c r="A388" s="59">
        <v>46231.0</v>
      </c>
      <c r="B388" s="8" t="s">
        <v>680</v>
      </c>
      <c r="C388" s="8" t="s">
        <v>681</v>
      </c>
      <c r="D388" s="59">
        <v>46230.0</v>
      </c>
      <c r="E388" s="8">
        <v>0.0</v>
      </c>
      <c r="G388" s="8">
        <v>-2.154431892E7</v>
      </c>
      <c r="H388" s="152">
        <v>2.1382519E7</v>
      </c>
      <c r="I388" s="151">
        <f t="shared" si="1"/>
        <v>-161799.92</v>
      </c>
    </row>
    <row r="389">
      <c r="A389" s="59">
        <v>46232.0</v>
      </c>
      <c r="B389" s="8" t="s">
        <v>680</v>
      </c>
      <c r="C389" s="8" t="s">
        <v>681</v>
      </c>
      <c r="D389" s="59">
        <v>46231.0</v>
      </c>
      <c r="E389" s="8">
        <v>0.0</v>
      </c>
      <c r="G389" s="8">
        <v>-2.154431892E7</v>
      </c>
      <c r="H389" s="152">
        <v>2.1222189E7</v>
      </c>
      <c r="I389" s="151">
        <f t="shared" si="1"/>
        <v>-322129.92</v>
      </c>
    </row>
    <row r="390">
      <c r="A390" s="59">
        <v>46233.0</v>
      </c>
      <c r="B390" s="8" t="s">
        <v>680</v>
      </c>
      <c r="C390" s="8" t="s">
        <v>681</v>
      </c>
      <c r="D390" s="59">
        <v>46232.0</v>
      </c>
      <c r="E390" s="8">
        <v>0.0</v>
      </c>
      <c r="G390" s="8">
        <v>-2.154431892E7</v>
      </c>
      <c r="H390" s="152">
        <v>2.1336003E7</v>
      </c>
      <c r="I390" s="151">
        <f t="shared" si="1"/>
        <v>-208315.92</v>
      </c>
    </row>
    <row r="391">
      <c r="A391" s="59">
        <v>46234.0</v>
      </c>
      <c r="B391" s="8" t="s">
        <v>680</v>
      </c>
      <c r="C391" s="8" t="s">
        <v>681</v>
      </c>
      <c r="D391" s="59">
        <v>46233.0</v>
      </c>
      <c r="E391" s="8">
        <v>0.0</v>
      </c>
      <c r="G391" s="8">
        <v>-2.154431892E7</v>
      </c>
      <c r="H391" s="152">
        <v>2.1317702E7</v>
      </c>
      <c r="I391" s="151">
        <f t="shared" si="1"/>
        <v>-226616.92</v>
      </c>
    </row>
    <row r="392">
      <c r="A392" s="59">
        <v>46237.0</v>
      </c>
      <c r="B392" s="8" t="s">
        <v>680</v>
      </c>
      <c r="C392" s="8" t="s">
        <v>681</v>
      </c>
      <c r="D392" s="59">
        <v>46234.0</v>
      </c>
      <c r="E392" s="8">
        <v>0.0</v>
      </c>
      <c r="G392" s="8">
        <v>-2.154431892E7</v>
      </c>
      <c r="H392" s="152">
        <v>2.1652203E7</v>
      </c>
      <c r="I392" s="151">
        <f t="shared" si="1"/>
        <v>107884.08</v>
      </c>
    </row>
    <row r="393">
      <c r="A393" s="59">
        <v>46238.0</v>
      </c>
      <c r="B393" s="8" t="s">
        <v>680</v>
      </c>
      <c r="C393" s="8" t="s">
        <v>681</v>
      </c>
      <c r="D393" s="59">
        <v>46237.0</v>
      </c>
      <c r="E393" s="8">
        <v>0.0</v>
      </c>
      <c r="G393" s="8">
        <v>-2.154431892E7</v>
      </c>
      <c r="H393" s="152">
        <v>2.1962515E7</v>
      </c>
      <c r="I393" s="151">
        <f t="shared" si="1"/>
        <v>418196.08</v>
      </c>
    </row>
    <row r="394">
      <c r="A394" s="59">
        <v>46239.0</v>
      </c>
      <c r="B394" s="8" t="s">
        <v>680</v>
      </c>
      <c r="C394" s="8" t="s">
        <v>681</v>
      </c>
      <c r="D394" s="59">
        <v>46238.0</v>
      </c>
      <c r="E394" s="8">
        <v>0.0</v>
      </c>
      <c r="G394" s="8">
        <v>-2.154431892E7</v>
      </c>
      <c r="H394" s="152">
        <v>2.2042899E7</v>
      </c>
      <c r="I394" s="151">
        <f t="shared" si="1"/>
        <v>498580.08</v>
      </c>
    </row>
    <row r="395">
      <c r="A395" s="59">
        <v>46240.0</v>
      </c>
      <c r="B395" s="8" t="s">
        <v>680</v>
      </c>
      <c r="C395" s="8" t="s">
        <v>681</v>
      </c>
      <c r="D395" s="59">
        <v>46239.0</v>
      </c>
      <c r="E395" s="8">
        <v>0.0</v>
      </c>
      <c r="G395" s="8">
        <v>-2.154431892E7</v>
      </c>
      <c r="H395" s="152">
        <v>2.2150702E7</v>
      </c>
      <c r="I395" s="151">
        <f t="shared" si="1"/>
        <v>606383.08</v>
      </c>
    </row>
    <row r="396">
      <c r="A396" s="59">
        <v>46241.0</v>
      </c>
      <c r="B396" s="8" t="s">
        <v>680</v>
      </c>
      <c r="C396" s="8" t="s">
        <v>681</v>
      </c>
      <c r="D396" s="59">
        <v>46240.0</v>
      </c>
      <c r="E396" s="8">
        <v>0.0</v>
      </c>
      <c r="G396" s="8">
        <v>-2.154431892E7</v>
      </c>
      <c r="H396" s="152">
        <v>2.2055318E7</v>
      </c>
      <c r="I396" s="151">
        <f t="shared" si="1"/>
        <v>510999.08</v>
      </c>
    </row>
    <row r="397">
      <c r="A397" s="59">
        <v>46244.0</v>
      </c>
      <c r="B397" s="8" t="s">
        <v>680</v>
      </c>
      <c r="C397" s="8" t="s">
        <v>681</v>
      </c>
      <c r="D397" s="59">
        <v>46241.0</v>
      </c>
      <c r="E397" s="8">
        <v>0.0</v>
      </c>
      <c r="G397" s="8">
        <v>-2.154431892E7</v>
      </c>
      <c r="H397" s="152">
        <v>2.2109994E7</v>
      </c>
      <c r="I397" s="151">
        <f t="shared" si="1"/>
        <v>565675.08</v>
      </c>
    </row>
    <row r="398">
      <c r="A398" s="59">
        <v>46245.0</v>
      </c>
      <c r="B398" s="8" t="s">
        <v>680</v>
      </c>
      <c r="C398" s="8" t="s">
        <v>681</v>
      </c>
      <c r="D398" s="59">
        <v>46244.0</v>
      </c>
      <c r="E398" s="8">
        <v>0.0</v>
      </c>
      <c r="G398" s="8">
        <v>-2.154431892E7</v>
      </c>
      <c r="H398" s="152">
        <v>2.230329E7</v>
      </c>
      <c r="I398" s="151">
        <f t="shared" si="1"/>
        <v>758971.08</v>
      </c>
    </row>
    <row r="399">
      <c r="A399" s="59">
        <v>46246.0</v>
      </c>
      <c r="B399" s="8" t="s">
        <v>680</v>
      </c>
      <c r="C399" s="8" t="s">
        <v>681</v>
      </c>
      <c r="D399" s="59">
        <v>46245.0</v>
      </c>
      <c r="E399" s="8">
        <v>0.0</v>
      </c>
      <c r="G399" s="8">
        <v>-2.154431892E7</v>
      </c>
      <c r="H399" s="152">
        <v>2.2275307E7</v>
      </c>
      <c r="I399" s="151">
        <f t="shared" si="1"/>
        <v>730988.08</v>
      </c>
    </row>
    <row r="400">
      <c r="A400" s="59">
        <v>46247.0</v>
      </c>
      <c r="B400" s="8" t="s">
        <v>680</v>
      </c>
      <c r="C400" s="8" t="s">
        <v>681</v>
      </c>
      <c r="D400" s="59">
        <v>46246.0</v>
      </c>
      <c r="E400" s="8">
        <v>0.0</v>
      </c>
      <c r="G400" s="8">
        <v>-2.154431892E7</v>
      </c>
      <c r="H400" s="152">
        <v>2.2464592E7</v>
      </c>
      <c r="I400" s="151">
        <f t="shared" si="1"/>
        <v>920273.08</v>
      </c>
    </row>
    <row r="401">
      <c r="A401" s="59">
        <v>46248.0</v>
      </c>
      <c r="B401" s="8" t="s">
        <v>680</v>
      </c>
      <c r="C401" s="8" t="s">
        <v>681</v>
      </c>
      <c r="D401" s="59">
        <v>46247.0</v>
      </c>
      <c r="E401" s="8">
        <v>0.0</v>
      </c>
      <c r="G401" s="8">
        <v>-2.154431892E7</v>
      </c>
      <c r="H401" s="152">
        <v>2.233738E7</v>
      </c>
      <c r="I401" s="151">
        <f t="shared" si="1"/>
        <v>793061.08</v>
      </c>
    </row>
    <row r="402">
      <c r="A402" s="59">
        <v>46251.0</v>
      </c>
      <c r="B402" s="8" t="s">
        <v>680</v>
      </c>
      <c r="C402" s="8" t="s">
        <v>681</v>
      </c>
      <c r="D402" s="59">
        <v>46248.0</v>
      </c>
      <c r="E402" s="8">
        <v>0.0</v>
      </c>
      <c r="G402" s="8">
        <v>-2.154431892E7</v>
      </c>
      <c r="H402" s="152">
        <v>2.2160735E7</v>
      </c>
      <c r="I402" s="151">
        <f t="shared" si="1"/>
        <v>616416.08</v>
      </c>
    </row>
    <row r="403">
      <c r="A403" s="59">
        <v>46252.0</v>
      </c>
      <c r="B403" s="8" t="s">
        <v>680</v>
      </c>
      <c r="C403" s="8" t="s">
        <v>681</v>
      </c>
      <c r="D403" s="59">
        <v>46251.0</v>
      </c>
      <c r="E403" s="8">
        <v>0.0</v>
      </c>
      <c r="G403" s="8">
        <v>-2.154431892E7</v>
      </c>
      <c r="H403" s="152">
        <v>2.2268263E7</v>
      </c>
      <c r="I403" s="151">
        <f t="shared" si="1"/>
        <v>723944.08</v>
      </c>
    </row>
    <row r="404">
      <c r="A404" s="59">
        <v>46253.0</v>
      </c>
      <c r="B404" s="8" t="s">
        <v>680</v>
      </c>
      <c r="C404" s="8" t="s">
        <v>681</v>
      </c>
      <c r="D404" s="59">
        <v>46252.0</v>
      </c>
      <c r="E404" s="8">
        <v>0.0</v>
      </c>
      <c r="G404" s="8">
        <v>-2.154431892E7</v>
      </c>
      <c r="H404" s="152">
        <v>2.2211266E7</v>
      </c>
      <c r="I404" s="151">
        <f t="shared" si="1"/>
        <v>666947.08</v>
      </c>
    </row>
    <row r="405">
      <c r="A405" s="59">
        <v>46254.0</v>
      </c>
      <c r="B405" s="8" t="s">
        <v>680</v>
      </c>
      <c r="C405" s="8" t="s">
        <v>681</v>
      </c>
      <c r="D405" s="59">
        <v>46253.0</v>
      </c>
      <c r="E405" s="8">
        <v>0.0</v>
      </c>
      <c r="G405" s="8">
        <v>-2.154431892E7</v>
      </c>
      <c r="H405" s="152">
        <v>2.2002161E7</v>
      </c>
      <c r="I405" s="151">
        <f t="shared" si="1"/>
        <v>457842.08</v>
      </c>
    </row>
    <row r="406">
      <c r="A406" s="59">
        <v>46255.0</v>
      </c>
      <c r="B406" s="8" t="s">
        <v>680</v>
      </c>
      <c r="C406" s="8" t="s">
        <v>681</v>
      </c>
      <c r="D406" s="59">
        <v>46254.0</v>
      </c>
      <c r="E406" s="8">
        <v>0.0</v>
      </c>
      <c r="G406" s="8">
        <v>-2.154431892E7</v>
      </c>
      <c r="H406" s="152">
        <v>2.2088221E7</v>
      </c>
      <c r="I406" s="151">
        <f t="shared" si="1"/>
        <v>543902.08</v>
      </c>
    </row>
    <row r="407">
      <c r="A407" s="59">
        <v>46258.0</v>
      </c>
      <c r="B407" s="8" t="s">
        <v>680</v>
      </c>
      <c r="C407" s="8" t="s">
        <v>681</v>
      </c>
      <c r="D407" s="59">
        <v>46255.0</v>
      </c>
      <c r="E407" s="8">
        <v>0.0</v>
      </c>
      <c r="G407" s="8">
        <v>-2.154431892E7</v>
      </c>
      <c r="H407" s="152">
        <v>2.2137305E7</v>
      </c>
      <c r="I407" s="151">
        <f t="shared" si="1"/>
        <v>592986.08</v>
      </c>
    </row>
    <row r="408">
      <c r="A408" s="59">
        <v>46259.0</v>
      </c>
      <c r="B408" s="8" t="s">
        <v>680</v>
      </c>
      <c r="C408" s="8" t="s">
        <v>681</v>
      </c>
      <c r="D408" s="59">
        <v>46258.0</v>
      </c>
      <c r="E408" s="8">
        <v>0.0</v>
      </c>
      <c r="G408" s="8">
        <v>-2.154431892E7</v>
      </c>
      <c r="H408" s="152">
        <v>2.2141351E7</v>
      </c>
      <c r="I408" s="151">
        <f t="shared" si="1"/>
        <v>597032.08</v>
      </c>
    </row>
    <row r="409">
      <c r="A409" s="59">
        <v>46260.0</v>
      </c>
      <c r="B409" s="8" t="s">
        <v>680</v>
      </c>
      <c r="C409" s="8" t="s">
        <v>681</v>
      </c>
      <c r="D409" s="59">
        <v>46259.0</v>
      </c>
      <c r="E409" s="8">
        <v>0.0</v>
      </c>
      <c r="G409" s="8">
        <v>-2.154431892E7</v>
      </c>
      <c r="H409" s="152">
        <v>2.2279669E7</v>
      </c>
      <c r="I409" s="151">
        <f t="shared" si="1"/>
        <v>735350.08</v>
      </c>
    </row>
    <row r="410">
      <c r="A410" s="59">
        <v>46261.0</v>
      </c>
      <c r="B410" s="8" t="s">
        <v>680</v>
      </c>
      <c r="C410" s="8" t="s">
        <v>681</v>
      </c>
      <c r="D410" s="59">
        <v>46260.0</v>
      </c>
      <c r="E410" s="8">
        <v>0.0</v>
      </c>
      <c r="G410" s="8">
        <v>-2.154431892E7</v>
      </c>
      <c r="H410" s="152">
        <v>2.2270053E7</v>
      </c>
      <c r="I410" s="151">
        <f t="shared" si="1"/>
        <v>725734.08</v>
      </c>
    </row>
    <row r="411">
      <c r="A411" s="59">
        <v>46262.0</v>
      </c>
      <c r="B411" s="8" t="s">
        <v>680</v>
      </c>
      <c r="C411" s="8" t="s">
        <v>681</v>
      </c>
      <c r="D411" s="59">
        <v>46261.0</v>
      </c>
      <c r="E411" s="8">
        <v>0.0</v>
      </c>
      <c r="G411" s="8">
        <v>-2.154431892E7</v>
      </c>
      <c r="H411" s="152">
        <v>2.2413014E7</v>
      </c>
      <c r="I411" s="151">
        <f t="shared" si="1"/>
        <v>868695.08</v>
      </c>
    </row>
    <row r="412">
      <c r="A412" s="59">
        <v>46265.0</v>
      </c>
      <c r="B412" s="8" t="s">
        <v>680</v>
      </c>
      <c r="C412" s="8" t="s">
        <v>681</v>
      </c>
      <c r="D412" s="59">
        <v>46262.0</v>
      </c>
      <c r="E412" s="8">
        <v>0.0</v>
      </c>
      <c r="G412" s="8">
        <v>-2.154431892E7</v>
      </c>
      <c r="H412" s="152">
        <v>2.2301479E7</v>
      </c>
      <c r="I412" s="151">
        <f t="shared" si="1"/>
        <v>757160.08</v>
      </c>
    </row>
    <row r="413">
      <c r="A413" s="59">
        <v>46266.0</v>
      </c>
      <c r="B413" s="8" t="s">
        <v>680</v>
      </c>
      <c r="C413" s="8" t="s">
        <v>681</v>
      </c>
      <c r="D413" s="59">
        <v>46265.0</v>
      </c>
      <c r="E413" s="8">
        <v>0.0</v>
      </c>
      <c r="G413" s="8">
        <v>-2.154431892E7</v>
      </c>
      <c r="H413" s="152">
        <v>2.2202233E7</v>
      </c>
      <c r="I413" s="151">
        <f t="shared" si="1"/>
        <v>657914.08</v>
      </c>
    </row>
    <row r="414">
      <c r="A414" s="59">
        <v>46267.0</v>
      </c>
      <c r="B414" s="8" t="s">
        <v>680</v>
      </c>
      <c r="C414" s="8" t="s">
        <v>681</v>
      </c>
      <c r="D414" s="59">
        <v>46266.0</v>
      </c>
      <c r="E414" s="8">
        <v>0.0</v>
      </c>
      <c r="G414" s="8">
        <v>-2.154431892E7</v>
      </c>
      <c r="H414" s="152">
        <v>2.1744302E7</v>
      </c>
      <c r="I414" s="151">
        <f t="shared" si="1"/>
        <v>199983.08</v>
      </c>
    </row>
    <row r="415">
      <c r="A415" s="59">
        <v>46268.0</v>
      </c>
      <c r="B415" s="8" t="s">
        <v>680</v>
      </c>
      <c r="C415" s="8" t="s">
        <v>681</v>
      </c>
      <c r="D415" s="59">
        <v>46267.0</v>
      </c>
      <c r="E415" s="8">
        <v>0.0</v>
      </c>
      <c r="G415" s="8">
        <v>-2.154431892E7</v>
      </c>
      <c r="H415" s="152">
        <v>2.1663038E7</v>
      </c>
      <c r="I415" s="151">
        <f t="shared" si="1"/>
        <v>118719.08</v>
      </c>
    </row>
    <row r="416">
      <c r="A416" s="59">
        <v>46269.0</v>
      </c>
      <c r="B416" s="8" t="s">
        <v>680</v>
      </c>
      <c r="C416" s="8" t="s">
        <v>681</v>
      </c>
      <c r="D416" s="59">
        <v>46268.0</v>
      </c>
      <c r="E416" s="8">
        <v>0.0</v>
      </c>
      <c r="G416" s="8">
        <v>-2.154431892E7</v>
      </c>
      <c r="H416" s="152">
        <v>2.1754821E7</v>
      </c>
      <c r="I416" s="151">
        <f t="shared" si="1"/>
        <v>210502.08</v>
      </c>
    </row>
    <row r="417">
      <c r="A417" s="59">
        <v>46272.0</v>
      </c>
      <c r="B417" s="8" t="s">
        <v>680</v>
      </c>
      <c r="C417" s="8" t="s">
        <v>681</v>
      </c>
      <c r="D417" s="59">
        <v>46269.0</v>
      </c>
      <c r="E417" s="8">
        <v>0.0</v>
      </c>
      <c r="G417" s="8">
        <v>-2.154431892E7</v>
      </c>
      <c r="H417" s="152">
        <v>2.1665305E7</v>
      </c>
      <c r="I417" s="151">
        <f t="shared" si="1"/>
        <v>120986.08</v>
      </c>
    </row>
    <row r="418">
      <c r="A418" s="59">
        <v>46273.0</v>
      </c>
      <c r="B418" s="8" t="s">
        <v>680</v>
      </c>
      <c r="C418" s="8" t="s">
        <v>681</v>
      </c>
      <c r="D418" s="59">
        <v>46272.0</v>
      </c>
      <c r="E418" s="8">
        <v>0.0</v>
      </c>
      <c r="G418" s="8">
        <v>-2.154431892E7</v>
      </c>
      <c r="H418" s="152">
        <v>2.1666018E7</v>
      </c>
      <c r="I418" s="151">
        <f t="shared" si="1"/>
        <v>121699.08</v>
      </c>
    </row>
    <row r="419">
      <c r="A419" s="59">
        <v>46274.0</v>
      </c>
      <c r="B419" s="8" t="s">
        <v>680</v>
      </c>
      <c r="C419" s="8" t="s">
        <v>681</v>
      </c>
      <c r="D419" s="59">
        <v>46273.0</v>
      </c>
      <c r="E419" s="8">
        <v>0.0</v>
      </c>
      <c r="G419" s="8">
        <v>-2.154431892E7</v>
      </c>
      <c r="H419" s="152">
        <v>2.1877386E7</v>
      </c>
      <c r="I419" s="151">
        <f t="shared" si="1"/>
        <v>333067.08</v>
      </c>
    </row>
    <row r="420">
      <c r="A420" s="59">
        <v>46275.0</v>
      </c>
      <c r="B420" s="8" t="s">
        <v>680</v>
      </c>
      <c r="C420" s="8" t="s">
        <v>681</v>
      </c>
      <c r="D420" s="59">
        <v>46274.0</v>
      </c>
      <c r="E420" s="8">
        <v>0.0</v>
      </c>
      <c r="G420" s="8">
        <v>-2.154431892E7</v>
      </c>
      <c r="H420" s="152">
        <v>2.198429E7</v>
      </c>
      <c r="I420" s="151">
        <f t="shared" si="1"/>
        <v>439971.08</v>
      </c>
    </row>
    <row r="421">
      <c r="A421" s="59">
        <v>46276.0</v>
      </c>
      <c r="B421" s="8" t="s">
        <v>680</v>
      </c>
      <c r="C421" s="8" t="s">
        <v>681</v>
      </c>
      <c r="D421" s="59">
        <v>46275.0</v>
      </c>
      <c r="E421" s="8">
        <v>0.0</v>
      </c>
      <c r="G421" s="8">
        <v>-2.154431892E7</v>
      </c>
      <c r="H421" s="152">
        <v>2.1896967E7</v>
      </c>
      <c r="I421" s="151">
        <f t="shared" si="1"/>
        <v>352648.08</v>
      </c>
    </row>
    <row r="422">
      <c r="A422" s="59">
        <v>46280.0</v>
      </c>
      <c r="B422" s="8" t="s">
        <v>680</v>
      </c>
      <c r="C422" s="8" t="s">
        <v>681</v>
      </c>
      <c r="D422" s="59">
        <v>46276.0</v>
      </c>
      <c r="E422" s="8">
        <v>0.0</v>
      </c>
      <c r="G422" s="8">
        <v>-2.154431892E7</v>
      </c>
      <c r="H422" s="152">
        <v>2.1801984E7</v>
      </c>
      <c r="I422" s="151">
        <f t="shared" si="1"/>
        <v>257665.08</v>
      </c>
    </row>
    <row r="423">
      <c r="A423" s="59">
        <v>46281.0</v>
      </c>
      <c r="B423" s="8" t="s">
        <v>680</v>
      </c>
      <c r="C423" s="8" t="s">
        <v>681</v>
      </c>
      <c r="D423" s="59">
        <v>46280.0</v>
      </c>
      <c r="E423" s="8">
        <v>0.0</v>
      </c>
      <c r="G423" s="8">
        <v>-2.154431892E7</v>
      </c>
      <c r="H423" s="152">
        <v>2.112531E7</v>
      </c>
      <c r="I423" s="151">
        <f t="shared" si="1"/>
        <v>-419008.92</v>
      </c>
    </row>
    <row r="424">
      <c r="A424" s="59">
        <v>46282.0</v>
      </c>
      <c r="B424" s="8" t="s">
        <v>680</v>
      </c>
      <c r="C424" s="8" t="s">
        <v>681</v>
      </c>
      <c r="D424" s="59">
        <v>46281.0</v>
      </c>
      <c r="E424" s="8">
        <v>0.0</v>
      </c>
      <c r="G424" s="8">
        <v>-2.154431892E7</v>
      </c>
      <c r="H424" s="152">
        <v>2.1112791E7</v>
      </c>
      <c r="I424" s="151">
        <f t="shared" si="1"/>
        <v>-431527.92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0.0"/>
    <col customWidth="1" min="2" max="2" width="22.29"/>
    <col customWidth="1" min="3" max="3" width="25.0"/>
    <col customWidth="1" min="4" max="4" width="10.0"/>
    <col customWidth="1" min="5" max="5" width="10.29"/>
    <col customWidth="1" min="6" max="6" width="9.86"/>
    <col customWidth="1" min="7" max="7" width="13.14"/>
    <col customWidth="1" min="8" max="8" width="10.57"/>
    <col customWidth="1" min="9" max="9" width="14.43"/>
  </cols>
  <sheetData>
    <row r="1">
      <c r="A1" s="8" t="s">
        <v>559</v>
      </c>
      <c r="B1" s="8" t="s">
        <v>560</v>
      </c>
      <c r="C1" s="8" t="s">
        <v>561</v>
      </c>
      <c r="D1" s="8" t="s">
        <v>562</v>
      </c>
      <c r="E1" s="8" t="s">
        <v>353</v>
      </c>
      <c r="F1" s="8" t="s">
        <v>354</v>
      </c>
      <c r="G1" s="8" t="s">
        <v>355</v>
      </c>
      <c r="H1" s="8" t="s">
        <v>356</v>
      </c>
      <c r="I1" s="8" t="s">
        <v>306</v>
      </c>
    </row>
    <row r="2">
      <c r="A2" s="59">
        <v>46197.0</v>
      </c>
      <c r="B2" s="8" t="s">
        <v>563</v>
      </c>
      <c r="C2" s="8" t="s">
        <v>564</v>
      </c>
      <c r="D2" s="59">
        <v>46196.0</v>
      </c>
      <c r="E2" s="8">
        <v>9889920.53</v>
      </c>
      <c r="F2" s="8">
        <v>0.0</v>
      </c>
      <c r="G2" s="8">
        <v>-9889919.53</v>
      </c>
      <c r="H2" s="8">
        <v>9768098.0</v>
      </c>
      <c r="I2" s="14">
        <f t="shared" ref="I2:I61" si="1">G2+H2</f>
        <v>-121821.53</v>
      </c>
      <c r="K2" s="14">
        <v>9802604.88</v>
      </c>
      <c r="L2" s="14">
        <f>E2-K2</f>
        <v>87315.65</v>
      </c>
    </row>
    <row r="3">
      <c r="A3" s="59">
        <v>46198.0</v>
      </c>
      <c r="B3" s="8" t="s">
        <v>563</v>
      </c>
      <c r="C3" s="8" t="s">
        <v>564</v>
      </c>
      <c r="D3" s="59">
        <v>46197.0</v>
      </c>
      <c r="E3" s="8">
        <v>0.0</v>
      </c>
      <c r="F3" s="8">
        <v>0.0</v>
      </c>
      <c r="G3" s="8">
        <v>-9889919.53</v>
      </c>
      <c r="H3" s="8">
        <v>9783016.0</v>
      </c>
      <c r="I3" s="14">
        <f t="shared" si="1"/>
        <v>-106903.53</v>
      </c>
    </row>
    <row r="4">
      <c r="A4" s="59">
        <v>46202.0</v>
      </c>
      <c r="B4" s="8" t="s">
        <v>563</v>
      </c>
      <c r="C4" s="8" t="s">
        <v>564</v>
      </c>
      <c r="D4" s="59">
        <v>46198.0</v>
      </c>
      <c r="E4" s="8">
        <v>0.0</v>
      </c>
      <c r="F4" s="8">
        <v>0.0</v>
      </c>
      <c r="G4" s="8">
        <v>-9889919.53</v>
      </c>
      <c r="H4" s="8">
        <v>9673374.0</v>
      </c>
      <c r="I4" s="14">
        <f t="shared" si="1"/>
        <v>-216545.53</v>
      </c>
    </row>
    <row r="5">
      <c r="A5" s="59">
        <v>46203.0</v>
      </c>
      <c r="B5" s="8" t="s">
        <v>563</v>
      </c>
      <c r="C5" s="8" t="s">
        <v>564</v>
      </c>
      <c r="D5" s="59">
        <v>46202.0</v>
      </c>
      <c r="E5" s="8">
        <v>0.0</v>
      </c>
      <c r="F5" s="8">
        <v>0.0</v>
      </c>
      <c r="G5" s="8">
        <v>-9889919.53</v>
      </c>
      <c r="H5" s="8">
        <v>9671431.0</v>
      </c>
      <c r="I5" s="14">
        <f t="shared" si="1"/>
        <v>-218488.53</v>
      </c>
    </row>
    <row r="6">
      <c r="A6" s="59">
        <v>46204.0</v>
      </c>
      <c r="B6" s="8" t="s">
        <v>563</v>
      </c>
      <c r="C6" s="8" t="s">
        <v>564</v>
      </c>
      <c r="D6" s="59">
        <v>46203.0</v>
      </c>
      <c r="E6" s="8">
        <v>0.0</v>
      </c>
      <c r="F6" s="8">
        <v>0.0</v>
      </c>
      <c r="G6" s="8">
        <v>-9889919.53</v>
      </c>
      <c r="H6" s="8">
        <v>9679243.0</v>
      </c>
      <c r="I6" s="14">
        <f t="shared" si="1"/>
        <v>-210676.53</v>
      </c>
    </row>
    <row r="7">
      <c r="A7" s="59">
        <v>46205.0</v>
      </c>
      <c r="B7" s="8" t="s">
        <v>563</v>
      </c>
      <c r="C7" s="8" t="s">
        <v>564</v>
      </c>
      <c r="D7" s="59">
        <v>46204.0</v>
      </c>
      <c r="E7" s="8">
        <v>0.0</v>
      </c>
      <c r="F7" s="8">
        <v>0.0</v>
      </c>
      <c r="G7" s="8">
        <v>-9889919.53</v>
      </c>
      <c r="H7" s="8">
        <v>9632892.0</v>
      </c>
      <c r="I7" s="14">
        <f t="shared" si="1"/>
        <v>-257027.53</v>
      </c>
    </row>
    <row r="8">
      <c r="A8" s="59">
        <v>46206.0</v>
      </c>
      <c r="B8" s="8" t="s">
        <v>563</v>
      </c>
      <c r="C8" s="8" t="s">
        <v>564</v>
      </c>
      <c r="D8" s="59">
        <v>46205.0</v>
      </c>
      <c r="E8" s="8">
        <v>0.0</v>
      </c>
      <c r="F8" s="8">
        <v>0.0</v>
      </c>
      <c r="G8" s="8">
        <v>-9889919.53</v>
      </c>
      <c r="H8" s="8">
        <v>9747834.0</v>
      </c>
      <c r="I8" s="14">
        <f t="shared" si="1"/>
        <v>-142085.53</v>
      </c>
    </row>
    <row r="9">
      <c r="A9" s="59">
        <v>46209.0</v>
      </c>
      <c r="B9" s="8" t="s">
        <v>571</v>
      </c>
      <c r="C9" s="8" t="s">
        <v>572</v>
      </c>
      <c r="D9" s="59">
        <v>46206.0</v>
      </c>
      <c r="E9" s="8"/>
      <c r="F9" s="8">
        <v>72037.45</v>
      </c>
      <c r="G9" s="8">
        <v>-9817882.08</v>
      </c>
      <c r="H9" s="8">
        <v>9697125.0</v>
      </c>
      <c r="I9" s="14">
        <f t="shared" si="1"/>
        <v>-120757.08</v>
      </c>
    </row>
    <row r="10">
      <c r="A10" s="59">
        <v>46210.0</v>
      </c>
      <c r="B10" s="8" t="s">
        <v>571</v>
      </c>
      <c r="C10" s="8" t="s">
        <v>572</v>
      </c>
      <c r="D10" s="59">
        <v>46209.0</v>
      </c>
      <c r="E10" s="8">
        <v>0.0</v>
      </c>
      <c r="F10" s="8">
        <v>0.0</v>
      </c>
      <c r="G10" s="8">
        <v>-9817882.08</v>
      </c>
      <c r="H10" s="8">
        <v>9738560.0</v>
      </c>
      <c r="I10" s="14">
        <f t="shared" si="1"/>
        <v>-79322.08</v>
      </c>
    </row>
    <row r="11">
      <c r="A11" s="59">
        <v>46211.0</v>
      </c>
      <c r="B11" s="8" t="s">
        <v>571</v>
      </c>
      <c r="C11" s="8" t="s">
        <v>572</v>
      </c>
      <c r="D11" s="59">
        <v>46210.0</v>
      </c>
      <c r="E11" s="8">
        <v>0.0</v>
      </c>
      <c r="F11" s="8">
        <v>0.0</v>
      </c>
      <c r="G11" s="8">
        <v>-9817882.08</v>
      </c>
      <c r="H11" s="8">
        <v>9623825.0</v>
      </c>
      <c r="I11" s="14">
        <f t="shared" si="1"/>
        <v>-194057.08</v>
      </c>
    </row>
    <row r="12">
      <c r="A12" s="59">
        <v>46212.0</v>
      </c>
      <c r="B12" s="8" t="s">
        <v>571</v>
      </c>
      <c r="C12" s="8" t="s">
        <v>572</v>
      </c>
      <c r="D12" s="59">
        <v>46211.0</v>
      </c>
      <c r="E12" s="8">
        <v>0.0</v>
      </c>
      <c r="F12" s="8">
        <v>0.0</v>
      </c>
      <c r="G12" s="8">
        <v>-9817882.08</v>
      </c>
      <c r="H12" s="8">
        <v>9442653.0</v>
      </c>
      <c r="I12" s="14">
        <f t="shared" si="1"/>
        <v>-375229.08</v>
      </c>
    </row>
    <row r="13">
      <c r="A13" s="59">
        <v>46213.0</v>
      </c>
      <c r="B13" s="8" t="s">
        <v>571</v>
      </c>
      <c r="C13" s="8" t="s">
        <v>572</v>
      </c>
      <c r="D13" s="59">
        <v>46212.0</v>
      </c>
      <c r="E13" s="8">
        <v>0.0</v>
      </c>
      <c r="F13" s="8">
        <v>0.0</v>
      </c>
      <c r="G13" s="8">
        <v>-9817882.08</v>
      </c>
      <c r="H13" s="8">
        <v>9541137.0</v>
      </c>
      <c r="I13" s="14">
        <f t="shared" si="1"/>
        <v>-276745.08</v>
      </c>
    </row>
    <row r="14">
      <c r="A14" s="59">
        <v>46216.0</v>
      </c>
      <c r="B14" s="8" t="s">
        <v>571</v>
      </c>
      <c r="C14" s="8" t="s">
        <v>572</v>
      </c>
      <c r="D14" s="59">
        <v>46213.0</v>
      </c>
      <c r="E14" s="8">
        <v>0.0</v>
      </c>
      <c r="F14" s="8">
        <v>0.0</v>
      </c>
      <c r="G14" s="8">
        <v>-9817882.08</v>
      </c>
      <c r="H14" s="8">
        <v>9681593.0</v>
      </c>
      <c r="I14" s="14">
        <f t="shared" si="1"/>
        <v>-136289.08</v>
      </c>
    </row>
    <row r="15">
      <c r="A15" s="59">
        <v>46217.0</v>
      </c>
      <c r="B15" s="8" t="s">
        <v>571</v>
      </c>
      <c r="C15" s="8" t="s">
        <v>572</v>
      </c>
      <c r="D15" s="59">
        <v>46216.0</v>
      </c>
      <c r="E15" s="8">
        <v>0.0</v>
      </c>
      <c r="F15" s="8">
        <v>0.0</v>
      </c>
      <c r="G15" s="8">
        <v>-9817882.08</v>
      </c>
      <c r="H15" s="8">
        <v>9662193.0</v>
      </c>
      <c r="I15" s="14">
        <f t="shared" si="1"/>
        <v>-155689.08</v>
      </c>
    </row>
    <row r="16">
      <c r="A16" s="59">
        <v>46218.0</v>
      </c>
      <c r="B16" s="8" t="s">
        <v>571</v>
      </c>
      <c r="C16" s="8" t="s">
        <v>572</v>
      </c>
      <c r="D16" s="59">
        <v>46217.0</v>
      </c>
      <c r="E16" s="8">
        <v>0.0</v>
      </c>
      <c r="F16" s="8">
        <v>0.0</v>
      </c>
      <c r="G16" s="8">
        <v>-9817882.08</v>
      </c>
      <c r="H16" s="8">
        <v>9625120.0</v>
      </c>
      <c r="I16" s="14">
        <f t="shared" si="1"/>
        <v>-192762.08</v>
      </c>
    </row>
    <row r="17">
      <c r="A17" s="59">
        <v>46219.0</v>
      </c>
      <c r="B17" s="8" t="s">
        <v>571</v>
      </c>
      <c r="C17" s="8" t="s">
        <v>572</v>
      </c>
      <c r="D17" s="59">
        <v>46218.0</v>
      </c>
      <c r="E17" s="8">
        <v>0.0</v>
      </c>
      <c r="F17" s="8">
        <v>0.0</v>
      </c>
      <c r="G17" s="8">
        <v>-9817882.08</v>
      </c>
      <c r="H17" s="8">
        <v>9630386.0</v>
      </c>
      <c r="I17" s="14">
        <f t="shared" si="1"/>
        <v>-187496.08</v>
      </c>
    </row>
    <row r="18">
      <c r="A18" s="59">
        <v>46220.0</v>
      </c>
      <c r="B18" s="8" t="s">
        <v>571</v>
      </c>
      <c r="C18" s="8" t="s">
        <v>572</v>
      </c>
      <c r="D18" s="59">
        <v>46219.0</v>
      </c>
      <c r="E18" s="8">
        <v>0.0</v>
      </c>
      <c r="F18" s="8">
        <v>0.0</v>
      </c>
      <c r="G18" s="8">
        <v>-9817882.08</v>
      </c>
      <c r="H18" s="8">
        <v>9586828.0</v>
      </c>
      <c r="I18" s="14">
        <f t="shared" si="1"/>
        <v>-231054.08</v>
      </c>
    </row>
    <row r="19">
      <c r="A19" s="59">
        <v>46223.0</v>
      </c>
      <c r="B19" s="8" t="s">
        <v>571</v>
      </c>
      <c r="C19" s="8" t="s">
        <v>572</v>
      </c>
      <c r="D19" s="59">
        <v>46220.0</v>
      </c>
      <c r="E19" s="8">
        <v>0.0</v>
      </c>
      <c r="F19" s="8">
        <v>0.0</v>
      </c>
      <c r="G19" s="8">
        <v>-9817882.08</v>
      </c>
      <c r="H19" s="8">
        <v>9533424.0</v>
      </c>
      <c r="I19" s="14">
        <f t="shared" si="1"/>
        <v>-284458.08</v>
      </c>
    </row>
    <row r="20">
      <c r="A20" s="59">
        <v>46224.0</v>
      </c>
      <c r="B20" s="8" t="s">
        <v>571</v>
      </c>
      <c r="C20" s="8" t="s">
        <v>572</v>
      </c>
      <c r="D20" s="59">
        <v>46223.0</v>
      </c>
      <c r="E20" s="8">
        <v>0.0</v>
      </c>
      <c r="F20" s="8">
        <v>0.0</v>
      </c>
      <c r="G20" s="8">
        <v>-9817882.08</v>
      </c>
      <c r="H20" s="8">
        <v>9651364.0</v>
      </c>
      <c r="I20" s="14">
        <f t="shared" si="1"/>
        <v>-166518.08</v>
      </c>
    </row>
    <row r="21">
      <c r="A21" s="59">
        <v>46225.0</v>
      </c>
      <c r="B21" s="8" t="s">
        <v>571</v>
      </c>
      <c r="C21" s="8" t="s">
        <v>572</v>
      </c>
      <c r="D21" s="59">
        <v>46224.0</v>
      </c>
      <c r="E21" s="8">
        <v>0.0</v>
      </c>
      <c r="F21" s="8">
        <v>0.0</v>
      </c>
      <c r="G21" s="8">
        <v>-9817882.08</v>
      </c>
      <c r="H21" s="8">
        <v>9714568.0</v>
      </c>
      <c r="I21" s="14">
        <f t="shared" si="1"/>
        <v>-103314.08</v>
      </c>
    </row>
    <row r="22">
      <c r="A22" s="59">
        <v>46226.0</v>
      </c>
      <c r="B22" s="8" t="s">
        <v>571</v>
      </c>
      <c r="C22" s="8" t="s">
        <v>572</v>
      </c>
      <c r="D22" s="59">
        <v>46225.0</v>
      </c>
      <c r="E22" s="8">
        <v>0.0</v>
      </c>
      <c r="F22" s="8">
        <v>0.0</v>
      </c>
      <c r="G22" s="8">
        <v>-9817882.08</v>
      </c>
      <c r="H22" s="8">
        <v>9549968.0</v>
      </c>
      <c r="I22" s="14">
        <f t="shared" si="1"/>
        <v>-267914.08</v>
      </c>
    </row>
    <row r="23">
      <c r="A23" s="59">
        <v>46227.0</v>
      </c>
      <c r="B23" s="8" t="s">
        <v>571</v>
      </c>
      <c r="C23" s="8" t="s">
        <v>572</v>
      </c>
      <c r="D23" s="59">
        <v>46226.0</v>
      </c>
      <c r="E23" s="8">
        <v>0.0</v>
      </c>
      <c r="F23" s="8">
        <v>0.0</v>
      </c>
      <c r="G23" s="8">
        <v>-9817882.08</v>
      </c>
      <c r="H23" s="8">
        <v>9531977.0</v>
      </c>
      <c r="I23" s="14">
        <f t="shared" si="1"/>
        <v>-285905.08</v>
      </c>
    </row>
    <row r="24">
      <c r="A24" s="59">
        <v>46230.0</v>
      </c>
      <c r="B24" s="8" t="s">
        <v>571</v>
      </c>
      <c r="C24" s="8" t="s">
        <v>572</v>
      </c>
      <c r="D24" s="59">
        <v>46227.0</v>
      </c>
      <c r="E24" s="8">
        <v>0.0</v>
      </c>
      <c r="F24" s="8">
        <v>0.0</v>
      </c>
      <c r="G24" s="8">
        <v>-9817882.08</v>
      </c>
      <c r="H24" s="8">
        <v>9474452.0</v>
      </c>
      <c r="I24" s="14">
        <f t="shared" si="1"/>
        <v>-343430.08</v>
      </c>
    </row>
    <row r="25">
      <c r="A25" s="59">
        <v>46231.0</v>
      </c>
      <c r="B25" s="8" t="s">
        <v>571</v>
      </c>
      <c r="C25" s="8" t="s">
        <v>572</v>
      </c>
      <c r="D25" s="59">
        <v>46230.0</v>
      </c>
      <c r="E25" s="8">
        <v>0.0</v>
      </c>
      <c r="F25" s="8">
        <v>0.0</v>
      </c>
      <c r="G25" s="8">
        <v>-9817882.08</v>
      </c>
      <c r="H25" s="8">
        <v>9587960.0</v>
      </c>
      <c r="I25" s="14">
        <f t="shared" si="1"/>
        <v>-229922.08</v>
      </c>
    </row>
    <row r="26">
      <c r="A26" s="59">
        <v>46232.0</v>
      </c>
      <c r="B26" s="8" t="s">
        <v>571</v>
      </c>
      <c r="C26" s="8" t="s">
        <v>572</v>
      </c>
      <c r="D26" s="59">
        <v>46231.0</v>
      </c>
      <c r="E26" s="8">
        <v>0.0</v>
      </c>
      <c r="F26" s="8">
        <v>0.0</v>
      </c>
      <c r="G26" s="8">
        <v>-9817882.08</v>
      </c>
      <c r="H26" s="8">
        <v>9540030.0</v>
      </c>
      <c r="I26" s="14">
        <f t="shared" si="1"/>
        <v>-277852.08</v>
      </c>
    </row>
    <row r="27">
      <c r="A27" s="59">
        <v>46233.0</v>
      </c>
      <c r="B27" s="8" t="s">
        <v>571</v>
      </c>
      <c r="C27" s="8" t="s">
        <v>572</v>
      </c>
      <c r="D27" s="59">
        <v>46232.0</v>
      </c>
      <c r="E27" s="8">
        <v>0.0</v>
      </c>
      <c r="F27" s="8">
        <v>0.0</v>
      </c>
      <c r="G27" s="8">
        <v>-9817882.08</v>
      </c>
      <c r="H27" s="8">
        <v>9691116.0</v>
      </c>
      <c r="I27" s="14">
        <f t="shared" si="1"/>
        <v>-126766.08</v>
      </c>
    </row>
    <row r="28">
      <c r="A28" s="59">
        <v>46234.0</v>
      </c>
      <c r="B28" s="8" t="s">
        <v>571</v>
      </c>
      <c r="C28" s="8" t="s">
        <v>572</v>
      </c>
      <c r="D28" s="59">
        <v>46233.0</v>
      </c>
      <c r="E28" s="8">
        <v>0.0</v>
      </c>
      <c r="F28" s="8">
        <v>0.0</v>
      </c>
      <c r="G28" s="8">
        <v>-9817882.08</v>
      </c>
      <c r="H28" s="8">
        <v>9714781.0</v>
      </c>
      <c r="I28" s="14">
        <f t="shared" si="1"/>
        <v>-103101.08</v>
      </c>
    </row>
    <row r="29">
      <c r="A29" s="59">
        <v>46237.0</v>
      </c>
      <c r="B29" s="8" t="s">
        <v>571</v>
      </c>
      <c r="C29" s="8" t="s">
        <v>572</v>
      </c>
      <c r="D29" s="59">
        <v>46234.0</v>
      </c>
      <c r="E29" s="8">
        <v>0.0</v>
      </c>
      <c r="F29" s="8">
        <v>0.0</v>
      </c>
      <c r="G29" s="8">
        <v>-9817882.08</v>
      </c>
      <c r="H29" s="8">
        <v>9770443.0</v>
      </c>
      <c r="I29" s="14">
        <f t="shared" si="1"/>
        <v>-47439.08</v>
      </c>
    </row>
    <row r="30">
      <c r="A30" s="59">
        <v>46238.0</v>
      </c>
      <c r="B30" s="8" t="s">
        <v>571</v>
      </c>
      <c r="C30" s="8" t="s">
        <v>572</v>
      </c>
      <c r="D30" s="59">
        <v>46237.0</v>
      </c>
      <c r="E30" s="8">
        <v>0.0</v>
      </c>
      <c r="F30" s="8">
        <v>0.0</v>
      </c>
      <c r="G30" s="8">
        <v>-9817882.08</v>
      </c>
      <c r="H30" s="8">
        <v>9900531.0</v>
      </c>
      <c r="I30" s="14">
        <f t="shared" si="1"/>
        <v>82648.92</v>
      </c>
    </row>
    <row r="31">
      <c r="A31" s="59">
        <v>46239.0</v>
      </c>
      <c r="B31" s="8" t="s">
        <v>573</v>
      </c>
      <c r="C31" s="8" t="s">
        <v>574</v>
      </c>
      <c r="D31" s="59">
        <v>46238.0</v>
      </c>
      <c r="E31" s="8">
        <v>0.0</v>
      </c>
      <c r="F31" s="8">
        <v>62121.52</v>
      </c>
      <c r="G31" s="8">
        <v>-9755761.56</v>
      </c>
      <c r="H31" s="8">
        <v>9837357.0</v>
      </c>
      <c r="I31" s="14">
        <f t="shared" si="1"/>
        <v>81595.44</v>
      </c>
    </row>
    <row r="32">
      <c r="A32" s="59">
        <v>46240.0</v>
      </c>
      <c r="B32" s="8" t="s">
        <v>573</v>
      </c>
      <c r="C32" s="8" t="s">
        <v>574</v>
      </c>
      <c r="D32" s="59">
        <v>46239.0</v>
      </c>
      <c r="E32" s="8">
        <v>0.0</v>
      </c>
      <c r="F32" s="8">
        <v>0.0</v>
      </c>
      <c r="G32" s="8">
        <v>-9755761.56</v>
      </c>
      <c r="H32" s="8">
        <v>9810857.0</v>
      </c>
      <c r="I32" s="14">
        <f t="shared" si="1"/>
        <v>55095.44</v>
      </c>
    </row>
    <row r="33">
      <c r="A33" s="59">
        <v>46241.0</v>
      </c>
      <c r="B33" s="8" t="s">
        <v>573</v>
      </c>
      <c r="C33" s="8" t="s">
        <v>574</v>
      </c>
      <c r="D33" s="59">
        <v>46240.0</v>
      </c>
      <c r="E33" s="8">
        <v>0.0</v>
      </c>
      <c r="F33" s="8">
        <v>0.0</v>
      </c>
      <c r="G33" s="8">
        <v>-9755761.56</v>
      </c>
      <c r="H33" s="8">
        <v>9723359.0</v>
      </c>
      <c r="I33" s="14">
        <f t="shared" si="1"/>
        <v>-32402.56</v>
      </c>
    </row>
    <row r="34">
      <c r="A34" s="59">
        <v>46244.0</v>
      </c>
      <c r="B34" s="8" t="s">
        <v>573</v>
      </c>
      <c r="C34" s="8" t="s">
        <v>574</v>
      </c>
      <c r="D34" s="59">
        <v>46241.0</v>
      </c>
      <c r="E34" s="8">
        <v>0.0</v>
      </c>
      <c r="F34" s="8">
        <v>0.0</v>
      </c>
      <c r="G34" s="8">
        <v>-9755761.56</v>
      </c>
      <c r="H34" s="8">
        <v>9740632.0</v>
      </c>
      <c r="I34" s="14">
        <f t="shared" si="1"/>
        <v>-15129.56</v>
      </c>
    </row>
    <row r="35">
      <c r="A35" s="59">
        <v>46245.0</v>
      </c>
      <c r="B35" s="8" t="s">
        <v>573</v>
      </c>
      <c r="C35" s="8" t="s">
        <v>574</v>
      </c>
      <c r="D35" s="59">
        <v>46244.0</v>
      </c>
      <c r="E35" s="8">
        <v>0.0</v>
      </c>
      <c r="F35" s="8">
        <v>0.0</v>
      </c>
      <c r="G35" s="8">
        <v>-9755761.56</v>
      </c>
      <c r="H35" s="8">
        <v>9756594.0</v>
      </c>
      <c r="I35" s="14">
        <f t="shared" si="1"/>
        <v>832.44</v>
      </c>
    </row>
    <row r="36">
      <c r="A36" s="59">
        <v>46246.0</v>
      </c>
      <c r="B36" s="8" t="s">
        <v>573</v>
      </c>
      <c r="C36" s="8" t="s">
        <v>574</v>
      </c>
      <c r="D36" s="59">
        <v>46245.0</v>
      </c>
      <c r="E36" s="8">
        <v>0.0</v>
      </c>
      <c r="F36" s="8">
        <v>0.0</v>
      </c>
      <c r="G36" s="8">
        <v>-9755761.56</v>
      </c>
      <c r="H36" s="8">
        <v>9652717.0</v>
      </c>
      <c r="I36" s="14">
        <f t="shared" si="1"/>
        <v>-103044.56</v>
      </c>
    </row>
    <row r="37">
      <c r="A37" s="59">
        <v>46247.0</v>
      </c>
      <c r="B37" s="8" t="s">
        <v>573</v>
      </c>
      <c r="C37" s="8" t="s">
        <v>574</v>
      </c>
      <c r="D37" s="59">
        <v>46246.0</v>
      </c>
      <c r="E37" s="8">
        <v>0.0</v>
      </c>
      <c r="F37" s="8">
        <v>0.0</v>
      </c>
      <c r="G37" s="8">
        <v>-9755761.56</v>
      </c>
      <c r="H37" s="8">
        <v>9680189.0</v>
      </c>
      <c r="I37" s="14">
        <f t="shared" si="1"/>
        <v>-75572.56</v>
      </c>
    </row>
    <row r="38">
      <c r="A38" s="59">
        <v>46248.0</v>
      </c>
      <c r="B38" s="8" t="s">
        <v>573</v>
      </c>
      <c r="C38" s="8" t="s">
        <v>574</v>
      </c>
      <c r="D38" s="59">
        <v>46247.0</v>
      </c>
      <c r="E38" s="8">
        <v>0.0</v>
      </c>
      <c r="F38" s="8">
        <v>0.0</v>
      </c>
      <c r="G38" s="8">
        <v>-9755761.56</v>
      </c>
      <c r="H38" s="8">
        <v>9674856.0</v>
      </c>
      <c r="I38" s="14">
        <f t="shared" si="1"/>
        <v>-80905.56</v>
      </c>
    </row>
    <row r="39">
      <c r="A39" s="59">
        <v>46251.0</v>
      </c>
      <c r="B39" s="8" t="s">
        <v>573</v>
      </c>
      <c r="C39" s="8" t="s">
        <v>574</v>
      </c>
      <c r="D39" s="59">
        <v>46248.0</v>
      </c>
      <c r="E39" s="8">
        <v>0.0</v>
      </c>
      <c r="F39" s="8">
        <v>0.0</v>
      </c>
      <c r="G39" s="8">
        <v>-9755761.56</v>
      </c>
      <c r="H39" s="8">
        <v>9609968.0</v>
      </c>
      <c r="I39" s="14">
        <f t="shared" si="1"/>
        <v>-145793.56</v>
      </c>
    </row>
    <row r="40">
      <c r="A40" s="59">
        <v>46252.0</v>
      </c>
      <c r="B40" s="8" t="s">
        <v>573</v>
      </c>
      <c r="C40" s="8" t="s">
        <v>574</v>
      </c>
      <c r="D40" s="59">
        <v>46251.0</v>
      </c>
      <c r="E40" s="8">
        <v>0.0</v>
      </c>
      <c r="F40" s="8">
        <v>0.0</v>
      </c>
      <c r="G40" s="8">
        <v>-9755761.56</v>
      </c>
      <c r="H40" s="8">
        <v>9726803.0</v>
      </c>
      <c r="I40" s="14">
        <f t="shared" si="1"/>
        <v>-28958.56</v>
      </c>
    </row>
    <row r="41">
      <c r="A41" s="59">
        <v>46253.0</v>
      </c>
      <c r="B41" s="8" t="s">
        <v>573</v>
      </c>
      <c r="C41" s="8" t="s">
        <v>574</v>
      </c>
      <c r="D41" s="59">
        <v>46252.0</v>
      </c>
      <c r="E41" s="8">
        <v>0.0</v>
      </c>
      <c r="F41" s="8">
        <v>0.0</v>
      </c>
      <c r="G41" s="8">
        <v>-9755761.56</v>
      </c>
      <c r="H41" s="8">
        <v>9722981.0</v>
      </c>
      <c r="I41" s="14">
        <f t="shared" si="1"/>
        <v>-32780.56</v>
      </c>
    </row>
    <row r="42">
      <c r="A42" s="59">
        <v>46254.0</v>
      </c>
      <c r="B42" s="8" t="s">
        <v>573</v>
      </c>
      <c r="C42" s="8" t="s">
        <v>574</v>
      </c>
      <c r="D42" s="59">
        <v>46253.0</v>
      </c>
      <c r="E42" s="8">
        <v>0.0</v>
      </c>
      <c r="F42" s="8">
        <v>0.0</v>
      </c>
      <c r="G42" s="8">
        <v>-9755761.56</v>
      </c>
      <c r="H42" s="8">
        <v>9696521.0</v>
      </c>
      <c r="I42" s="14">
        <f t="shared" si="1"/>
        <v>-59240.56</v>
      </c>
    </row>
    <row r="43">
      <c r="A43" s="59">
        <v>46255.0</v>
      </c>
      <c r="B43" s="8" t="s">
        <v>573</v>
      </c>
      <c r="C43" s="8" t="s">
        <v>574</v>
      </c>
      <c r="D43" s="59">
        <v>46254.0</v>
      </c>
      <c r="E43" s="8">
        <v>0.0</v>
      </c>
      <c r="F43" s="8">
        <v>0.0</v>
      </c>
      <c r="G43" s="8">
        <v>-9755761.56</v>
      </c>
      <c r="H43" s="8">
        <v>9742763.0</v>
      </c>
      <c r="I43" s="14">
        <f t="shared" si="1"/>
        <v>-12998.56</v>
      </c>
    </row>
    <row r="44">
      <c r="A44" s="59">
        <v>46258.0</v>
      </c>
      <c r="B44" s="8" t="s">
        <v>573</v>
      </c>
      <c r="C44" s="8" t="s">
        <v>574</v>
      </c>
      <c r="D44" s="59">
        <v>46255.0</v>
      </c>
      <c r="E44" s="8">
        <v>0.0</v>
      </c>
      <c r="F44" s="8">
        <v>0.0</v>
      </c>
      <c r="G44" s="8">
        <v>-9755761.56</v>
      </c>
      <c r="H44" s="8">
        <v>9779193.0</v>
      </c>
      <c r="I44" s="14">
        <f t="shared" si="1"/>
        <v>23431.44</v>
      </c>
    </row>
    <row r="45">
      <c r="A45" s="59">
        <v>46259.0</v>
      </c>
      <c r="B45" s="8" t="s">
        <v>573</v>
      </c>
      <c r="C45" s="8" t="s">
        <v>574</v>
      </c>
      <c r="D45" s="59">
        <v>46258.0</v>
      </c>
      <c r="E45" s="8">
        <v>0.0</v>
      </c>
      <c r="F45" s="8">
        <v>0.0</v>
      </c>
      <c r="G45" s="8">
        <v>-9755761.56</v>
      </c>
      <c r="H45" s="8">
        <v>9815394.0</v>
      </c>
      <c r="I45" s="14">
        <f t="shared" si="1"/>
        <v>59632.44</v>
      </c>
    </row>
    <row r="46">
      <c r="A46" s="59">
        <v>46260.0</v>
      </c>
      <c r="B46" s="8" t="s">
        <v>573</v>
      </c>
      <c r="C46" s="8" t="s">
        <v>574</v>
      </c>
      <c r="D46" s="59">
        <v>46259.0</v>
      </c>
      <c r="E46" s="8">
        <v>0.0</v>
      </c>
      <c r="F46" s="8">
        <v>0.0</v>
      </c>
      <c r="G46" s="8">
        <v>-9755761.56</v>
      </c>
      <c r="H46" s="8">
        <v>9817321.0</v>
      </c>
      <c r="I46" s="14">
        <f t="shared" si="1"/>
        <v>61559.44</v>
      </c>
    </row>
    <row r="47">
      <c r="A47" s="59">
        <v>46261.0</v>
      </c>
      <c r="B47" s="8" t="s">
        <v>573</v>
      </c>
      <c r="C47" s="8" t="s">
        <v>574</v>
      </c>
      <c r="D47" s="59">
        <v>46260.0</v>
      </c>
      <c r="E47" s="8">
        <v>0.0</v>
      </c>
      <c r="F47" s="8">
        <v>0.0</v>
      </c>
      <c r="G47" s="8">
        <v>-9755761.56</v>
      </c>
      <c r="H47" s="8">
        <v>9938512.0</v>
      </c>
      <c r="I47" s="14">
        <f t="shared" si="1"/>
        <v>182750.44</v>
      </c>
    </row>
    <row r="48">
      <c r="A48" s="59">
        <v>46262.0</v>
      </c>
      <c r="B48" s="8" t="s">
        <v>573</v>
      </c>
      <c r="C48" s="8" t="s">
        <v>574</v>
      </c>
      <c r="D48" s="59">
        <v>46261.0</v>
      </c>
      <c r="E48" s="8">
        <v>0.0</v>
      </c>
      <c r="F48" s="8">
        <v>0.0</v>
      </c>
      <c r="G48" s="8">
        <v>-9755761.56</v>
      </c>
      <c r="H48" s="8">
        <v>9824865.0</v>
      </c>
      <c r="I48" s="14">
        <f t="shared" si="1"/>
        <v>69103.44</v>
      </c>
    </row>
    <row r="49">
      <c r="A49" s="59">
        <v>46265.0</v>
      </c>
      <c r="B49" s="8" t="s">
        <v>573</v>
      </c>
      <c r="C49" s="8" t="s">
        <v>574</v>
      </c>
      <c r="D49" s="59">
        <v>46262.0</v>
      </c>
      <c r="E49" s="8">
        <v>0.0</v>
      </c>
      <c r="F49" s="8">
        <v>0.0</v>
      </c>
      <c r="G49" s="8">
        <v>-9755761.56</v>
      </c>
      <c r="H49" s="8">
        <v>9853824.0</v>
      </c>
      <c r="I49" s="14">
        <f t="shared" si="1"/>
        <v>98062.44</v>
      </c>
    </row>
    <row r="50">
      <c r="A50" s="59">
        <v>46266.0</v>
      </c>
      <c r="B50" s="8" t="s">
        <v>573</v>
      </c>
      <c r="C50" s="8" t="s">
        <v>574</v>
      </c>
      <c r="D50" s="59">
        <v>46265.0</v>
      </c>
      <c r="E50" s="8">
        <v>0.0</v>
      </c>
      <c r="F50" s="8">
        <v>0.0</v>
      </c>
      <c r="G50" s="8">
        <v>-9755761.56</v>
      </c>
      <c r="H50" s="8">
        <v>9773556.0</v>
      </c>
      <c r="I50" s="14">
        <f t="shared" si="1"/>
        <v>17794.44</v>
      </c>
    </row>
    <row r="51">
      <c r="A51" s="59">
        <v>46267.0</v>
      </c>
      <c r="B51" s="8" t="s">
        <v>573</v>
      </c>
      <c r="C51" s="8" t="s">
        <v>574</v>
      </c>
      <c r="D51" s="59">
        <v>46266.0</v>
      </c>
      <c r="E51" s="8">
        <v>0.0</v>
      </c>
      <c r="F51" s="8">
        <v>0.0</v>
      </c>
      <c r="G51" s="8">
        <v>-9755761.56</v>
      </c>
      <c r="H51" s="8">
        <v>9781398.0</v>
      </c>
      <c r="I51" s="14">
        <f t="shared" si="1"/>
        <v>25636.44</v>
      </c>
    </row>
    <row r="52">
      <c r="A52" s="59">
        <v>46268.0</v>
      </c>
      <c r="B52" s="8" t="s">
        <v>579</v>
      </c>
      <c r="C52" s="8" t="s">
        <v>580</v>
      </c>
      <c r="D52" s="59">
        <v>46267.0</v>
      </c>
      <c r="E52" s="8">
        <v>96770.33</v>
      </c>
      <c r="F52" s="8">
        <v>0.0</v>
      </c>
      <c r="G52" s="8">
        <v>-9852531.89</v>
      </c>
      <c r="H52" s="8">
        <v>9885012.0</v>
      </c>
      <c r="I52" s="14">
        <f t="shared" si="1"/>
        <v>32480.11</v>
      </c>
    </row>
    <row r="53">
      <c r="A53" s="59">
        <v>46269.0</v>
      </c>
      <c r="B53" s="8" t="s">
        <v>579</v>
      </c>
      <c r="C53" s="8" t="s">
        <v>580</v>
      </c>
      <c r="D53" s="59">
        <v>46268.0</v>
      </c>
      <c r="F53" s="8">
        <v>0.0</v>
      </c>
      <c r="G53" s="8">
        <v>-9852531.89</v>
      </c>
      <c r="H53" s="8">
        <v>9961941.0</v>
      </c>
      <c r="I53" s="14">
        <f t="shared" si="1"/>
        <v>109409.11</v>
      </c>
    </row>
    <row r="54">
      <c r="A54" s="59">
        <v>46272.0</v>
      </c>
      <c r="B54" s="8" t="s">
        <v>579</v>
      </c>
      <c r="C54" s="8" t="s">
        <v>580</v>
      </c>
      <c r="D54" s="59">
        <v>46269.0</v>
      </c>
      <c r="F54" s="8">
        <v>0.0</v>
      </c>
      <c r="G54" s="8">
        <v>-9852531.89</v>
      </c>
      <c r="H54" s="8">
        <v>1.0032683E7</v>
      </c>
      <c r="I54" s="14">
        <f t="shared" si="1"/>
        <v>180151.11</v>
      </c>
    </row>
    <row r="55">
      <c r="A55" s="59">
        <v>46273.0</v>
      </c>
      <c r="B55" s="8" t="s">
        <v>579</v>
      </c>
      <c r="C55" s="8" t="s">
        <v>580</v>
      </c>
      <c r="D55" s="59">
        <v>46272.0</v>
      </c>
      <c r="F55" s="8">
        <v>0.0</v>
      </c>
      <c r="G55" s="8">
        <v>-9852531.89</v>
      </c>
      <c r="H55" s="8">
        <v>9938231.0</v>
      </c>
      <c r="I55" s="14">
        <f t="shared" si="1"/>
        <v>85699.11</v>
      </c>
    </row>
    <row r="56">
      <c r="A56" s="59">
        <v>46274.0</v>
      </c>
      <c r="B56" s="8" t="s">
        <v>579</v>
      </c>
      <c r="C56" s="8" t="s">
        <v>580</v>
      </c>
      <c r="D56" s="59">
        <v>46273.0</v>
      </c>
      <c r="F56" s="8">
        <v>0.0</v>
      </c>
      <c r="G56" s="8">
        <v>-9852531.89</v>
      </c>
      <c r="H56" s="8">
        <v>9914220.0</v>
      </c>
      <c r="I56" s="14">
        <f t="shared" si="1"/>
        <v>61688.11</v>
      </c>
    </row>
    <row r="57">
      <c r="A57" s="59">
        <v>46275.0</v>
      </c>
      <c r="B57" s="8" t="s">
        <v>579</v>
      </c>
      <c r="C57" s="8" t="s">
        <v>580</v>
      </c>
      <c r="D57" s="59">
        <v>46274.0</v>
      </c>
      <c r="F57" s="8">
        <v>0.0</v>
      </c>
      <c r="G57" s="8">
        <v>-9852531.89</v>
      </c>
      <c r="H57" s="8">
        <v>9892403.0</v>
      </c>
      <c r="I57" s="14">
        <f t="shared" si="1"/>
        <v>39871.11</v>
      </c>
    </row>
    <row r="58">
      <c r="A58" s="59">
        <v>46276.0</v>
      </c>
      <c r="B58" s="8" t="s">
        <v>579</v>
      </c>
      <c r="C58" s="8" t="s">
        <v>580</v>
      </c>
      <c r="D58" s="59">
        <v>46275.0</v>
      </c>
      <c r="F58" s="8">
        <v>0.0</v>
      </c>
      <c r="G58" s="8">
        <v>-9852531.89</v>
      </c>
      <c r="H58" s="8">
        <v>9912415.0</v>
      </c>
      <c r="I58" s="14">
        <f t="shared" si="1"/>
        <v>59883.11</v>
      </c>
    </row>
    <row r="59">
      <c r="A59" s="59">
        <v>46280.0</v>
      </c>
      <c r="B59" s="8" t="s">
        <v>579</v>
      </c>
      <c r="C59" s="8" t="s">
        <v>580</v>
      </c>
      <c r="D59" s="59">
        <v>46276.0</v>
      </c>
      <c r="F59" s="8">
        <v>0.0</v>
      </c>
      <c r="G59" s="8">
        <v>-9852531.89</v>
      </c>
      <c r="H59" s="8">
        <v>9839016.0</v>
      </c>
      <c r="I59" s="14">
        <f t="shared" si="1"/>
        <v>-13515.89</v>
      </c>
    </row>
    <row r="60">
      <c r="A60" s="59">
        <v>46281.0</v>
      </c>
      <c r="B60" s="8" t="s">
        <v>579</v>
      </c>
      <c r="C60" s="8" t="s">
        <v>580</v>
      </c>
      <c r="D60" s="59">
        <v>46280.0</v>
      </c>
      <c r="F60" s="8">
        <v>0.0</v>
      </c>
      <c r="G60" s="8">
        <v>-9852531.89</v>
      </c>
      <c r="H60" s="8">
        <v>9595854.0</v>
      </c>
      <c r="I60" s="14">
        <f t="shared" si="1"/>
        <v>-256677.89</v>
      </c>
    </row>
    <row r="61">
      <c r="A61" s="59">
        <v>46282.0</v>
      </c>
      <c r="B61" s="8" t="s">
        <v>579</v>
      </c>
      <c r="C61" s="8" t="s">
        <v>580</v>
      </c>
      <c r="D61" s="59">
        <v>46281.0</v>
      </c>
      <c r="F61" s="8">
        <v>0.0</v>
      </c>
      <c r="G61" s="8">
        <v>-9852531.89</v>
      </c>
      <c r="H61" s="8">
        <v>9610390.0</v>
      </c>
      <c r="I61" s="14">
        <f t="shared" si="1"/>
        <v>-242141.89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sheetData>
    <row r="1">
      <c r="A1" s="8" t="s">
        <v>589</v>
      </c>
      <c r="B1" s="8" t="s">
        <v>590</v>
      </c>
      <c r="D1" s="8" t="s">
        <v>591</v>
      </c>
      <c r="E1" s="8" t="s">
        <v>592</v>
      </c>
      <c r="F1" s="8" t="s">
        <v>593</v>
      </c>
      <c r="G1" s="8" t="s">
        <v>594</v>
      </c>
    </row>
    <row r="2">
      <c r="A2" s="59">
        <v>45903.0</v>
      </c>
      <c r="B2" s="8" t="s">
        <v>595</v>
      </c>
      <c r="C2" s="8" t="s">
        <v>596</v>
      </c>
      <c r="D2" s="59">
        <v>45902.0</v>
      </c>
      <c r="E2" s="8">
        <v>52109.0</v>
      </c>
      <c r="F2" s="8">
        <v>0.0</v>
      </c>
      <c r="G2" s="8">
        <v>-52109.0</v>
      </c>
    </row>
    <row r="3">
      <c r="A3" s="59">
        <v>45904.0</v>
      </c>
      <c r="B3" s="8" t="s">
        <v>597</v>
      </c>
      <c r="C3" s="8" t="s">
        <v>598</v>
      </c>
      <c r="D3" s="59">
        <v>45903.0</v>
      </c>
      <c r="E3" s="8">
        <v>0.0</v>
      </c>
      <c r="F3" s="8">
        <v>36390.0</v>
      </c>
      <c r="G3" s="8">
        <v>-15719.0</v>
      </c>
    </row>
    <row r="4">
      <c r="A4" s="59">
        <v>45909.0</v>
      </c>
      <c r="B4" s="8" t="s">
        <v>603</v>
      </c>
      <c r="C4" s="8" t="s">
        <v>604</v>
      </c>
      <c r="D4" s="59">
        <v>45904.0</v>
      </c>
      <c r="E4" s="8">
        <v>0.0</v>
      </c>
      <c r="F4" s="8">
        <v>4320.0</v>
      </c>
      <c r="G4" s="8">
        <v>-11399.0</v>
      </c>
    </row>
    <row r="5">
      <c r="A5" s="59">
        <v>45909.0</v>
      </c>
      <c r="B5" s="8" t="s">
        <v>605</v>
      </c>
      <c r="C5" s="8" t="s">
        <v>606</v>
      </c>
      <c r="D5" s="59">
        <v>45905.0</v>
      </c>
      <c r="E5" s="8">
        <v>0.0</v>
      </c>
      <c r="F5" s="8">
        <v>6060.0</v>
      </c>
      <c r="G5" s="8">
        <v>-5339.0</v>
      </c>
    </row>
    <row r="6">
      <c r="A6" s="59">
        <v>45909.0</v>
      </c>
      <c r="B6" s="8" t="s">
        <v>607</v>
      </c>
      <c r="C6" s="8" t="s">
        <v>608</v>
      </c>
      <c r="D6" s="59">
        <v>45908.0</v>
      </c>
      <c r="E6" s="8">
        <v>0.0</v>
      </c>
      <c r="F6" s="8">
        <v>13500.0</v>
      </c>
      <c r="G6" s="8">
        <v>8161.0</v>
      </c>
    </row>
    <row r="7">
      <c r="A7" s="59">
        <v>45910.0</v>
      </c>
      <c r="B7" s="8" t="s">
        <v>609</v>
      </c>
      <c r="C7" s="8" t="s">
        <v>610</v>
      </c>
      <c r="D7" s="59">
        <v>45909.0</v>
      </c>
      <c r="E7" s="8">
        <v>0.0</v>
      </c>
      <c r="F7" s="8">
        <v>17280.0</v>
      </c>
      <c r="G7" s="8">
        <v>25441.0</v>
      </c>
    </row>
    <row r="8">
      <c r="A8" s="59">
        <v>45911.0</v>
      </c>
      <c r="B8" s="8" t="s">
        <v>611</v>
      </c>
      <c r="C8" s="8" t="s">
        <v>612</v>
      </c>
      <c r="D8" s="59">
        <v>45910.0</v>
      </c>
      <c r="E8" s="8">
        <v>0.0</v>
      </c>
      <c r="F8" s="8">
        <v>36600.0</v>
      </c>
      <c r="G8" s="8">
        <v>62041.0</v>
      </c>
    </row>
    <row r="9">
      <c r="A9" s="59">
        <v>45912.0</v>
      </c>
      <c r="B9" s="8" t="s">
        <v>613</v>
      </c>
      <c r="C9" s="8" t="s">
        <v>614</v>
      </c>
      <c r="D9" s="59">
        <v>45911.0</v>
      </c>
      <c r="E9" s="8">
        <v>0.0</v>
      </c>
      <c r="F9" s="8">
        <v>9660.0</v>
      </c>
      <c r="G9" s="8">
        <v>71701.0</v>
      </c>
    </row>
    <row r="10">
      <c r="A10" s="59">
        <v>45915.0</v>
      </c>
      <c r="B10" s="8" t="s">
        <v>615</v>
      </c>
      <c r="C10" s="8" t="s">
        <v>616</v>
      </c>
      <c r="D10" s="59">
        <v>45912.0</v>
      </c>
      <c r="E10" s="8">
        <v>0.0</v>
      </c>
      <c r="F10" s="8">
        <v>30150.0</v>
      </c>
      <c r="G10" s="8">
        <v>101851.0</v>
      </c>
    </row>
    <row r="11">
      <c r="A11" s="59">
        <v>45916.0</v>
      </c>
      <c r="B11" s="8" t="s">
        <v>617</v>
      </c>
      <c r="C11" s="8" t="s">
        <v>618</v>
      </c>
      <c r="D11" s="59">
        <v>45915.0</v>
      </c>
      <c r="E11" s="8">
        <v>12090.0</v>
      </c>
      <c r="F11" s="8">
        <v>0.0</v>
      </c>
      <c r="G11" s="8">
        <v>89761.0</v>
      </c>
    </row>
    <row r="12">
      <c r="A12" s="59">
        <v>45917.0</v>
      </c>
      <c r="B12" s="8" t="s">
        <v>619</v>
      </c>
      <c r="C12" s="8" t="s">
        <v>620</v>
      </c>
      <c r="D12" s="59">
        <v>45916.0</v>
      </c>
      <c r="E12" s="8">
        <v>0.0</v>
      </c>
      <c r="F12" s="8">
        <v>50010.0</v>
      </c>
      <c r="G12" s="8">
        <v>139771.0</v>
      </c>
    </row>
    <row r="13">
      <c r="A13" s="59">
        <v>45918.0</v>
      </c>
      <c r="B13" s="8" t="s">
        <v>621</v>
      </c>
      <c r="C13" s="8" t="s">
        <v>622</v>
      </c>
      <c r="D13" s="59">
        <v>45917.0</v>
      </c>
      <c r="E13" s="8">
        <v>0.0</v>
      </c>
      <c r="F13" s="8">
        <v>27600.0</v>
      </c>
      <c r="G13" s="8">
        <v>167371.0</v>
      </c>
    </row>
    <row r="14">
      <c r="A14" s="59">
        <v>45919.0</v>
      </c>
      <c r="B14" s="8" t="s">
        <v>623</v>
      </c>
      <c r="C14" s="8" t="s">
        <v>624</v>
      </c>
      <c r="D14" s="59">
        <v>45918.0</v>
      </c>
      <c r="E14" s="8">
        <v>0.0</v>
      </c>
      <c r="F14" s="8">
        <v>26250.0</v>
      </c>
      <c r="G14" s="8">
        <v>193621.0</v>
      </c>
    </row>
    <row r="15">
      <c r="A15" s="59">
        <v>45922.0</v>
      </c>
      <c r="B15" s="8" t="s">
        <v>625</v>
      </c>
      <c r="C15" s="8" t="s">
        <v>626</v>
      </c>
      <c r="D15" s="59">
        <v>45919.0</v>
      </c>
      <c r="E15" s="8">
        <v>29910.0</v>
      </c>
      <c r="F15" s="8">
        <v>0.0</v>
      </c>
      <c r="G15" s="8">
        <v>163711.0</v>
      </c>
    </row>
    <row r="16">
      <c r="A16" s="59">
        <v>45923.0</v>
      </c>
      <c r="B16" s="8" t="s">
        <v>627</v>
      </c>
      <c r="C16" s="8" t="s">
        <v>628</v>
      </c>
      <c r="D16" s="59">
        <v>45922.0</v>
      </c>
      <c r="E16" s="8">
        <v>40050.0</v>
      </c>
      <c r="F16" s="8">
        <v>0.0</v>
      </c>
      <c r="G16" s="8">
        <v>123661.0</v>
      </c>
    </row>
    <row r="17">
      <c r="A17" s="59">
        <v>45924.0</v>
      </c>
      <c r="B17" s="8" t="s">
        <v>629</v>
      </c>
      <c r="C17" s="8" t="s">
        <v>630</v>
      </c>
      <c r="D17" s="59">
        <v>45923.0</v>
      </c>
      <c r="E17" s="8">
        <v>6570.0</v>
      </c>
      <c r="F17" s="8">
        <v>0.0</v>
      </c>
      <c r="G17" s="8">
        <v>117091.0</v>
      </c>
    </row>
    <row r="18">
      <c r="A18" s="59">
        <v>45925.0</v>
      </c>
      <c r="B18" s="8" t="s">
        <v>631</v>
      </c>
      <c r="C18" s="8" t="s">
        <v>632</v>
      </c>
      <c r="D18" s="59">
        <v>45924.0</v>
      </c>
      <c r="E18" s="8">
        <v>43170.0</v>
      </c>
      <c r="F18" s="8">
        <v>0.0</v>
      </c>
      <c r="G18" s="8">
        <v>73921.0</v>
      </c>
    </row>
    <row r="19">
      <c r="A19" s="59">
        <v>45926.0</v>
      </c>
      <c r="B19" s="8" t="s">
        <v>633</v>
      </c>
      <c r="C19" s="8" t="s">
        <v>634</v>
      </c>
      <c r="D19" s="59">
        <v>45925.0</v>
      </c>
      <c r="E19" s="8">
        <v>43260.0</v>
      </c>
      <c r="F19" s="8">
        <v>0.0</v>
      </c>
      <c r="G19" s="8">
        <v>30661.0</v>
      </c>
    </row>
    <row r="20">
      <c r="A20" s="59">
        <v>45929.0</v>
      </c>
      <c r="B20" s="8" t="s">
        <v>635</v>
      </c>
      <c r="C20" s="8" t="s">
        <v>636</v>
      </c>
      <c r="D20" s="59">
        <v>45926.0</v>
      </c>
      <c r="E20" s="8">
        <v>83340.0</v>
      </c>
      <c r="F20" s="8">
        <v>0.0</v>
      </c>
      <c r="G20" s="8">
        <v>-52679.0</v>
      </c>
    </row>
    <row r="21">
      <c r="A21" s="59">
        <v>45930.0</v>
      </c>
      <c r="B21" s="8" t="s">
        <v>637</v>
      </c>
      <c r="C21" s="8" t="s">
        <v>638</v>
      </c>
      <c r="D21" s="59">
        <v>45929.0</v>
      </c>
      <c r="E21" s="8">
        <v>3396.93</v>
      </c>
      <c r="F21" s="8">
        <v>0.0</v>
      </c>
      <c r="G21" s="8">
        <v>-56075.93</v>
      </c>
    </row>
    <row r="22">
      <c r="A22" s="59">
        <v>45931.0</v>
      </c>
      <c r="B22" s="8" t="s">
        <v>639</v>
      </c>
      <c r="C22" s="8" t="s">
        <v>640</v>
      </c>
      <c r="D22" s="59">
        <v>45930.0</v>
      </c>
      <c r="E22" s="8">
        <v>9150.0</v>
      </c>
      <c r="F22" s="8">
        <v>0.0</v>
      </c>
      <c r="G22" s="8">
        <v>-65225.93</v>
      </c>
    </row>
    <row r="23">
      <c r="A23" s="59">
        <v>45933.0</v>
      </c>
      <c r="B23" s="8" t="s">
        <v>641</v>
      </c>
      <c r="C23" s="8" t="s">
        <v>642</v>
      </c>
      <c r="D23" s="59">
        <v>45931.0</v>
      </c>
      <c r="E23" s="8">
        <v>0.0</v>
      </c>
      <c r="F23" s="8">
        <v>53790.0</v>
      </c>
      <c r="G23" s="8">
        <v>-11435.93</v>
      </c>
    </row>
    <row r="24">
      <c r="A24" s="59">
        <v>45936.0</v>
      </c>
      <c r="B24" s="8" t="s">
        <v>643</v>
      </c>
      <c r="C24" s="8" t="s">
        <v>644</v>
      </c>
      <c r="D24" s="59">
        <v>45933.0</v>
      </c>
      <c r="E24" s="8">
        <v>0.0</v>
      </c>
      <c r="F24" s="8">
        <v>13140.0</v>
      </c>
      <c r="G24" s="8">
        <v>1704.07</v>
      </c>
    </row>
    <row r="25">
      <c r="A25" s="59">
        <v>45937.0</v>
      </c>
      <c r="B25" s="8" t="s">
        <v>645</v>
      </c>
      <c r="C25" s="8" t="s">
        <v>646</v>
      </c>
      <c r="D25" s="59">
        <v>45936.0</v>
      </c>
      <c r="E25" s="8">
        <v>0.0</v>
      </c>
      <c r="F25" s="8">
        <v>53040.0</v>
      </c>
      <c r="G25" s="8">
        <v>54744.07</v>
      </c>
    </row>
    <row r="26">
      <c r="A26" s="59">
        <v>45938.0</v>
      </c>
      <c r="B26" s="8" t="s">
        <v>647</v>
      </c>
      <c r="C26" s="8" t="s">
        <v>648</v>
      </c>
      <c r="D26" s="59">
        <v>45937.0</v>
      </c>
      <c r="E26" s="8">
        <v>0.0</v>
      </c>
      <c r="F26" s="8">
        <v>12570.0</v>
      </c>
      <c r="G26" s="8">
        <v>67314.07</v>
      </c>
    </row>
    <row r="27">
      <c r="A27" s="59">
        <v>45939.0</v>
      </c>
      <c r="B27" s="8" t="s">
        <v>649</v>
      </c>
      <c r="C27" s="8" t="s">
        <v>650</v>
      </c>
      <c r="D27" s="59">
        <v>45938.0</v>
      </c>
      <c r="E27" s="8">
        <v>32520.0</v>
      </c>
      <c r="F27" s="8">
        <v>0.0</v>
      </c>
      <c r="G27" s="8">
        <v>34794.07</v>
      </c>
    </row>
    <row r="28">
      <c r="A28" s="102">
        <v>45940.0</v>
      </c>
      <c r="B28" s="8" t="s">
        <v>651</v>
      </c>
      <c r="C28" s="8" t="s">
        <v>652</v>
      </c>
      <c r="D28" s="59">
        <v>45939.0</v>
      </c>
      <c r="E28" s="8">
        <v>0.0</v>
      </c>
      <c r="F28" s="8">
        <v>46590.0</v>
      </c>
      <c r="G28" s="8">
        <v>81384.07</v>
      </c>
    </row>
    <row r="29">
      <c r="A29" s="102">
        <v>45943.0</v>
      </c>
      <c r="B29" s="8" t="s">
        <v>653</v>
      </c>
      <c r="C29" s="8" t="s">
        <v>654</v>
      </c>
      <c r="D29" s="102">
        <v>45940.0</v>
      </c>
      <c r="E29" s="8">
        <v>0.0</v>
      </c>
      <c r="F29" s="8">
        <v>41130.0</v>
      </c>
      <c r="G29" s="8">
        <v>122514.07</v>
      </c>
    </row>
    <row r="30">
      <c r="A30" s="102">
        <v>45944.0</v>
      </c>
      <c r="B30" s="8" t="s">
        <v>655</v>
      </c>
      <c r="C30" s="8" t="s">
        <v>656</v>
      </c>
      <c r="D30" s="102">
        <v>45943.0</v>
      </c>
      <c r="E30" s="8">
        <v>28230.0</v>
      </c>
      <c r="F30" s="8">
        <v>0.0</v>
      </c>
      <c r="G30" s="8">
        <v>94284.07</v>
      </c>
    </row>
    <row r="31">
      <c r="A31" s="102">
        <v>45945.0</v>
      </c>
      <c r="B31" s="8" t="s">
        <v>657</v>
      </c>
      <c r="C31" s="8" t="s">
        <v>658</v>
      </c>
      <c r="D31" s="102">
        <v>45944.0</v>
      </c>
      <c r="E31" s="8">
        <v>33330.0</v>
      </c>
      <c r="F31" s="8">
        <v>0.0</v>
      </c>
      <c r="G31" s="8">
        <v>60954.07</v>
      </c>
    </row>
    <row r="32">
      <c r="A32" s="102">
        <v>45946.0</v>
      </c>
      <c r="B32" s="8" t="s">
        <v>659</v>
      </c>
      <c r="C32" s="8" t="s">
        <v>660</v>
      </c>
      <c r="D32" s="102">
        <v>45945.0</v>
      </c>
      <c r="E32" s="8">
        <v>0.0</v>
      </c>
      <c r="F32" s="8">
        <v>64110.0</v>
      </c>
      <c r="G32" s="8">
        <v>125064.07</v>
      </c>
    </row>
    <row r="33">
      <c r="A33" s="102">
        <v>45947.0</v>
      </c>
      <c r="B33" s="8" t="s">
        <v>661</v>
      </c>
      <c r="C33" s="8" t="s">
        <v>662</v>
      </c>
      <c r="D33" s="102">
        <v>45946.0</v>
      </c>
      <c r="E33" s="8">
        <v>0.0</v>
      </c>
      <c r="F33" s="8">
        <v>71340.0</v>
      </c>
      <c r="G33" s="8">
        <v>196404.07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15.57"/>
    <col customWidth="1" min="2" max="2" width="36.29"/>
    <col customWidth="1" min="3" max="3" width="27.86"/>
    <col customWidth="1" min="9" max="9" width="20.29"/>
  </cols>
  <sheetData>
    <row r="1">
      <c r="A1" s="153" t="s">
        <v>665</v>
      </c>
      <c r="B1" s="153" t="s">
        <v>666</v>
      </c>
      <c r="C1" s="153" t="s">
        <v>667</v>
      </c>
      <c r="D1" s="153" t="s">
        <v>668</v>
      </c>
      <c r="E1" s="153" t="s">
        <v>669</v>
      </c>
      <c r="F1" s="153" t="s">
        <v>670</v>
      </c>
      <c r="G1" s="153" t="s">
        <v>671</v>
      </c>
      <c r="H1" s="153" t="s">
        <v>672</v>
      </c>
      <c r="I1" s="8" t="s">
        <v>673</v>
      </c>
      <c r="J1" s="8">
        <v>390.0</v>
      </c>
    </row>
    <row r="2">
      <c r="A2" s="8" t="s">
        <v>674</v>
      </c>
      <c r="B2" s="8" t="s">
        <v>675</v>
      </c>
      <c r="C2" s="8" t="s">
        <v>676</v>
      </c>
      <c r="D2" s="8" t="s">
        <v>677</v>
      </c>
      <c r="E2" s="8">
        <v>866136.0</v>
      </c>
      <c r="F2" s="8">
        <v>0.0</v>
      </c>
    </row>
    <row r="3">
      <c r="A3" s="8" t="s">
        <v>364</v>
      </c>
      <c r="B3" s="8" t="s">
        <v>675</v>
      </c>
      <c r="C3" s="8" t="s">
        <v>676</v>
      </c>
      <c r="D3" s="8" t="s">
        <v>365</v>
      </c>
      <c r="E3" s="8">
        <v>866136.0</v>
      </c>
      <c r="F3" s="8">
        <v>0.0</v>
      </c>
      <c r="G3" s="8">
        <v>996525.0</v>
      </c>
      <c r="H3" s="8">
        <f t="shared" ref="H3:H475" si="1">F3-E3+G3</f>
        <v>130389</v>
      </c>
      <c r="J3" s="8">
        <v>2.0E7</v>
      </c>
    </row>
    <row r="4">
      <c r="A4" s="8" t="s">
        <v>366</v>
      </c>
      <c r="B4" s="8" t="s">
        <v>675</v>
      </c>
      <c r="C4" s="8" t="s">
        <v>676</v>
      </c>
      <c r="D4" s="8" t="s">
        <v>364</v>
      </c>
      <c r="E4" s="8">
        <v>866136.0</v>
      </c>
      <c r="F4" s="8">
        <v>0.0</v>
      </c>
      <c r="G4" s="8">
        <v>1059525.0</v>
      </c>
      <c r="H4" s="8">
        <f t="shared" si="1"/>
        <v>193389</v>
      </c>
      <c r="J4" s="14">
        <f>J3/26000</f>
        <v>769.2307692</v>
      </c>
    </row>
    <row r="5">
      <c r="A5" s="8" t="s">
        <v>367</v>
      </c>
      <c r="B5" s="8" t="s">
        <v>675</v>
      </c>
      <c r="C5" s="8" t="s">
        <v>676</v>
      </c>
      <c r="D5" s="8" t="s">
        <v>366</v>
      </c>
      <c r="E5" s="8">
        <v>866136.0</v>
      </c>
      <c r="F5" s="8">
        <v>0.0</v>
      </c>
      <c r="G5" s="8">
        <v>1053600.0</v>
      </c>
      <c r="H5" s="8">
        <f t="shared" si="1"/>
        <v>187464</v>
      </c>
      <c r="J5" s="14">
        <f>J4/25</f>
        <v>30.76923077</v>
      </c>
    </row>
    <row r="6">
      <c r="A6" s="8" t="s">
        <v>368</v>
      </c>
      <c r="B6" s="8" t="s">
        <v>675</v>
      </c>
      <c r="C6" s="8" t="s">
        <v>676</v>
      </c>
      <c r="D6" s="8" t="s">
        <v>367</v>
      </c>
      <c r="E6" s="8">
        <v>866136.0</v>
      </c>
      <c r="F6" s="8">
        <v>0.0</v>
      </c>
      <c r="G6" s="8">
        <v>1026607.5</v>
      </c>
      <c r="H6" s="8">
        <f t="shared" si="1"/>
        <v>160471.5</v>
      </c>
    </row>
    <row r="7">
      <c r="A7" s="8" t="s">
        <v>369</v>
      </c>
      <c r="B7" s="8" t="s">
        <v>675</v>
      </c>
      <c r="C7" s="8" t="s">
        <v>676</v>
      </c>
      <c r="D7" s="8" t="s">
        <v>368</v>
      </c>
      <c r="E7" s="8">
        <v>866136.0</v>
      </c>
      <c r="F7" s="8">
        <v>0.0</v>
      </c>
      <c r="G7" s="8">
        <v>1087912.5</v>
      </c>
      <c r="H7" s="8">
        <f t="shared" si="1"/>
        <v>221776.5</v>
      </c>
    </row>
    <row r="8">
      <c r="A8" s="8" t="s">
        <v>370</v>
      </c>
      <c r="B8" s="8" t="s">
        <v>675</v>
      </c>
      <c r="C8" s="8" t="s">
        <v>676</v>
      </c>
      <c r="D8" s="8" t="s">
        <v>369</v>
      </c>
      <c r="E8" s="8">
        <v>866136.0</v>
      </c>
      <c r="F8" s="8">
        <v>0.0</v>
      </c>
      <c r="G8" s="8">
        <v>1044337.5</v>
      </c>
      <c r="H8" s="8">
        <f t="shared" si="1"/>
        <v>178201.5</v>
      </c>
    </row>
    <row r="9">
      <c r="A9" s="8" t="s">
        <v>371</v>
      </c>
      <c r="B9" s="8" t="s">
        <v>675</v>
      </c>
      <c r="C9" s="8" t="s">
        <v>676</v>
      </c>
      <c r="D9" s="8" t="s">
        <v>370</v>
      </c>
      <c r="E9" s="8">
        <v>866136.0</v>
      </c>
      <c r="F9" s="8">
        <v>0.0</v>
      </c>
      <c r="G9" s="8">
        <v>1003200.0</v>
      </c>
      <c r="H9" s="8">
        <f t="shared" si="1"/>
        <v>137064</v>
      </c>
    </row>
    <row r="10">
      <c r="A10" s="8" t="s">
        <v>372</v>
      </c>
      <c r="B10" s="8" t="s">
        <v>675</v>
      </c>
      <c r="C10" s="8" t="s">
        <v>676</v>
      </c>
      <c r="D10" s="8" t="s">
        <v>371</v>
      </c>
      <c r="E10" s="8">
        <v>866136.0</v>
      </c>
      <c r="F10" s="8">
        <v>0.0</v>
      </c>
      <c r="G10" s="8">
        <v>1032487.5</v>
      </c>
      <c r="H10" s="8">
        <f t="shared" si="1"/>
        <v>166351.5</v>
      </c>
    </row>
    <row r="11">
      <c r="A11" s="96">
        <v>45302.0</v>
      </c>
      <c r="B11" s="8" t="s">
        <v>675</v>
      </c>
      <c r="C11" s="8" t="s">
        <v>676</v>
      </c>
      <c r="D11" s="8" t="s">
        <v>372</v>
      </c>
      <c r="E11" s="8">
        <v>866136.0</v>
      </c>
      <c r="F11" s="8">
        <v>0.0</v>
      </c>
      <c r="G11" s="8">
        <v>1065187.5</v>
      </c>
      <c r="H11" s="8">
        <f t="shared" si="1"/>
        <v>199051.5</v>
      </c>
    </row>
    <row r="12">
      <c r="A12" s="96">
        <v>45393.0</v>
      </c>
      <c r="B12" s="8" t="s">
        <v>675</v>
      </c>
      <c r="C12" s="8" t="s">
        <v>676</v>
      </c>
      <c r="D12" s="96">
        <v>45302.0</v>
      </c>
      <c r="E12" s="8">
        <v>866136.0</v>
      </c>
      <c r="F12" s="8">
        <v>0.0</v>
      </c>
      <c r="G12" s="8">
        <v>1063350.0</v>
      </c>
      <c r="H12" s="8">
        <f t="shared" si="1"/>
        <v>197214</v>
      </c>
    </row>
    <row r="13">
      <c r="A13" s="96">
        <v>45423.0</v>
      </c>
      <c r="B13" s="8" t="s">
        <v>675</v>
      </c>
      <c r="C13" s="8" t="s">
        <v>676</v>
      </c>
      <c r="D13" s="96">
        <v>45393.0</v>
      </c>
      <c r="E13" s="8">
        <v>866136.0</v>
      </c>
      <c r="F13" s="8">
        <v>0.0</v>
      </c>
      <c r="G13" s="8">
        <v>1154850.0</v>
      </c>
      <c r="H13" s="8">
        <f t="shared" si="1"/>
        <v>288714</v>
      </c>
    </row>
    <row r="14">
      <c r="A14" s="96">
        <v>45454.0</v>
      </c>
      <c r="B14" s="8" t="s">
        <v>675</v>
      </c>
      <c r="C14" s="8" t="s">
        <v>676</v>
      </c>
      <c r="D14" s="96">
        <v>45423.0</v>
      </c>
      <c r="E14" s="8">
        <v>866136.0</v>
      </c>
      <c r="F14" s="8">
        <v>0.0</v>
      </c>
      <c r="G14" s="8">
        <v>1093762.5</v>
      </c>
      <c r="H14" s="8">
        <f t="shared" si="1"/>
        <v>227626.5</v>
      </c>
    </row>
    <row r="15">
      <c r="A15" s="96">
        <v>45484.0</v>
      </c>
      <c r="B15" s="8" t="s">
        <v>675</v>
      </c>
      <c r="C15" s="8" t="s">
        <v>676</v>
      </c>
      <c r="D15" s="96">
        <v>45454.0</v>
      </c>
      <c r="E15" s="8">
        <v>866136.0</v>
      </c>
      <c r="F15" s="8">
        <v>0.0</v>
      </c>
      <c r="G15" s="8">
        <v>985837.5</v>
      </c>
      <c r="H15" s="8">
        <f t="shared" si="1"/>
        <v>119701.5</v>
      </c>
    </row>
    <row r="16">
      <c r="A16" s="96">
        <v>45515.0</v>
      </c>
      <c r="B16" s="8" t="s">
        <v>675</v>
      </c>
      <c r="C16" s="8" t="s">
        <v>676</v>
      </c>
      <c r="D16" s="96">
        <v>45484.0</v>
      </c>
      <c r="E16" s="8">
        <v>866136.0</v>
      </c>
      <c r="F16" s="8">
        <v>0.0</v>
      </c>
      <c r="G16" s="8">
        <v>1043625.0</v>
      </c>
      <c r="H16" s="8">
        <f t="shared" si="1"/>
        <v>177489</v>
      </c>
    </row>
    <row r="17">
      <c r="A17" s="96">
        <v>45607.0</v>
      </c>
      <c r="B17" s="8" t="s">
        <v>675</v>
      </c>
      <c r="C17" s="8" t="s">
        <v>676</v>
      </c>
      <c r="D17" s="96">
        <v>45515.0</v>
      </c>
      <c r="E17" s="8">
        <v>866136.0</v>
      </c>
      <c r="F17" s="8">
        <v>0.0</v>
      </c>
      <c r="G17" s="8">
        <v>1053300.0</v>
      </c>
      <c r="H17" s="8">
        <f t="shared" si="1"/>
        <v>187164</v>
      </c>
    </row>
    <row r="18">
      <c r="A18" s="96">
        <v>45637.0</v>
      </c>
      <c r="B18" s="8" t="s">
        <v>675</v>
      </c>
      <c r="C18" s="8" t="s">
        <v>676</v>
      </c>
      <c r="D18" s="96">
        <v>45607.0</v>
      </c>
      <c r="E18" s="8">
        <v>866136.0</v>
      </c>
      <c r="F18" s="8">
        <v>0.0</v>
      </c>
      <c r="G18" s="8">
        <v>1038562.5</v>
      </c>
      <c r="H18" s="8">
        <f t="shared" si="1"/>
        <v>172426.5</v>
      </c>
    </row>
    <row r="19">
      <c r="A19" s="8" t="s">
        <v>374</v>
      </c>
      <c r="B19" s="8" t="s">
        <v>675</v>
      </c>
      <c r="C19" s="8" t="s">
        <v>676</v>
      </c>
      <c r="D19" s="96">
        <v>45637.0</v>
      </c>
      <c r="E19" s="8">
        <v>866136.0</v>
      </c>
      <c r="F19" s="8">
        <v>0.0</v>
      </c>
      <c r="G19" s="8">
        <v>1132200.0</v>
      </c>
      <c r="H19" s="8">
        <f t="shared" si="1"/>
        <v>266064</v>
      </c>
    </row>
    <row r="20">
      <c r="A20" s="8" t="s">
        <v>376</v>
      </c>
      <c r="B20" s="8" t="s">
        <v>675</v>
      </c>
      <c r="C20" s="8" t="s">
        <v>676</v>
      </c>
      <c r="D20" s="8" t="s">
        <v>374</v>
      </c>
      <c r="E20" s="8">
        <v>866136.0</v>
      </c>
      <c r="F20" s="8">
        <v>0.0</v>
      </c>
      <c r="G20" s="8">
        <v>1215112.5</v>
      </c>
      <c r="H20" s="8">
        <f t="shared" si="1"/>
        <v>348976.5</v>
      </c>
    </row>
    <row r="21">
      <c r="A21" s="8" t="s">
        <v>377</v>
      </c>
      <c r="B21" s="8" t="s">
        <v>675</v>
      </c>
      <c r="C21" s="8" t="s">
        <v>676</v>
      </c>
      <c r="D21" s="8" t="s">
        <v>376</v>
      </c>
      <c r="E21" s="8">
        <v>866136.0</v>
      </c>
      <c r="F21" s="8">
        <v>0.0</v>
      </c>
      <c r="G21" s="8">
        <v>1221300.0</v>
      </c>
      <c r="H21" s="8">
        <f t="shared" si="1"/>
        <v>355164</v>
      </c>
    </row>
    <row r="22">
      <c r="A22" s="8" t="s">
        <v>378</v>
      </c>
      <c r="B22" s="8" t="s">
        <v>675</v>
      </c>
      <c r="C22" s="8" t="s">
        <v>676</v>
      </c>
      <c r="D22" s="8" t="s">
        <v>377</v>
      </c>
      <c r="E22" s="8">
        <v>866136.0</v>
      </c>
      <c r="F22" s="8">
        <v>0.0</v>
      </c>
      <c r="G22" s="8">
        <v>1267162.5</v>
      </c>
      <c r="H22" s="8">
        <f t="shared" si="1"/>
        <v>401026.5</v>
      </c>
    </row>
    <row r="23">
      <c r="A23" s="8" t="s">
        <v>380</v>
      </c>
      <c r="B23" s="8" t="s">
        <v>675</v>
      </c>
      <c r="C23" s="8" t="s">
        <v>676</v>
      </c>
      <c r="D23" s="8" t="s">
        <v>378</v>
      </c>
      <c r="E23" s="8">
        <v>866136.0</v>
      </c>
      <c r="F23" s="8">
        <v>0.0</v>
      </c>
      <c r="G23" s="8">
        <v>1286400.0</v>
      </c>
      <c r="H23" s="8">
        <f t="shared" si="1"/>
        <v>420264</v>
      </c>
    </row>
    <row r="24">
      <c r="A24" s="8" t="s">
        <v>381</v>
      </c>
      <c r="B24" s="8" t="s">
        <v>675</v>
      </c>
      <c r="C24" s="8" t="s">
        <v>676</v>
      </c>
      <c r="D24" s="8" t="s">
        <v>380</v>
      </c>
      <c r="E24" s="8">
        <v>866136.0</v>
      </c>
      <c r="F24" s="8">
        <v>0.0</v>
      </c>
      <c r="G24" s="8">
        <v>1315200.0</v>
      </c>
      <c r="H24" s="8">
        <f t="shared" si="1"/>
        <v>449064</v>
      </c>
    </row>
    <row r="25">
      <c r="A25" s="8" t="s">
        <v>382</v>
      </c>
      <c r="B25" s="8" t="s">
        <v>675</v>
      </c>
      <c r="C25" s="8" t="s">
        <v>676</v>
      </c>
      <c r="D25" s="8" t="s">
        <v>381</v>
      </c>
      <c r="E25" s="8">
        <v>866136.0</v>
      </c>
      <c r="F25" s="8">
        <v>0.0</v>
      </c>
      <c r="G25" s="8">
        <v>1120725.0</v>
      </c>
      <c r="H25" s="8">
        <f t="shared" si="1"/>
        <v>254589</v>
      </c>
    </row>
    <row r="26">
      <c r="A26" s="8" t="s">
        <v>383</v>
      </c>
      <c r="B26" s="8" t="s">
        <v>675</v>
      </c>
      <c r="C26" s="8" t="s">
        <v>676</v>
      </c>
      <c r="D26" s="8" t="s">
        <v>382</v>
      </c>
      <c r="E26" s="8">
        <v>866136.0</v>
      </c>
      <c r="F26" s="8">
        <v>0.0</v>
      </c>
      <c r="G26" s="8">
        <v>967050.0</v>
      </c>
      <c r="H26" s="8">
        <f t="shared" si="1"/>
        <v>100914</v>
      </c>
    </row>
    <row r="27">
      <c r="A27" s="8" t="s">
        <v>384</v>
      </c>
      <c r="B27" s="8" t="s">
        <v>675</v>
      </c>
      <c r="C27" s="8" t="s">
        <v>676</v>
      </c>
      <c r="D27" s="8" t="s">
        <v>383</v>
      </c>
      <c r="E27" s="8">
        <v>866136.0</v>
      </c>
      <c r="F27" s="8">
        <v>0.0</v>
      </c>
      <c r="G27" s="8">
        <v>981300.0</v>
      </c>
      <c r="H27" s="8">
        <f t="shared" si="1"/>
        <v>115164</v>
      </c>
    </row>
    <row r="28">
      <c r="A28" s="8" t="s">
        <v>385</v>
      </c>
      <c r="B28" s="8" t="s">
        <v>675</v>
      </c>
      <c r="C28" s="8" t="s">
        <v>676</v>
      </c>
      <c r="D28" s="8" t="s">
        <v>384</v>
      </c>
      <c r="E28" s="8">
        <v>866136.0</v>
      </c>
      <c r="F28" s="8">
        <v>0.0</v>
      </c>
      <c r="G28" s="8">
        <v>932512.5</v>
      </c>
      <c r="H28" s="8">
        <f t="shared" si="1"/>
        <v>66376.5</v>
      </c>
    </row>
    <row r="29">
      <c r="A29" s="8" t="s">
        <v>387</v>
      </c>
      <c r="B29" s="8" t="s">
        <v>675</v>
      </c>
      <c r="C29" s="8" t="s">
        <v>676</v>
      </c>
      <c r="D29" s="8" t="s">
        <v>385</v>
      </c>
      <c r="E29" s="8">
        <v>866136.0</v>
      </c>
      <c r="F29" s="8">
        <v>0.0</v>
      </c>
      <c r="G29" s="8">
        <v>1046887.5</v>
      </c>
      <c r="H29" s="8">
        <f t="shared" si="1"/>
        <v>180751.5</v>
      </c>
    </row>
    <row r="30">
      <c r="A30" s="96">
        <v>45334.0</v>
      </c>
      <c r="B30" s="8" t="s">
        <v>675</v>
      </c>
      <c r="C30" s="8" t="s">
        <v>676</v>
      </c>
      <c r="D30" s="8" t="s">
        <v>387</v>
      </c>
      <c r="E30" s="8">
        <v>866136.0</v>
      </c>
      <c r="F30" s="8">
        <v>0.0</v>
      </c>
      <c r="G30" s="8">
        <v>989175.0</v>
      </c>
      <c r="H30" s="8">
        <f t="shared" si="1"/>
        <v>123039</v>
      </c>
    </row>
    <row r="31">
      <c r="A31" s="96">
        <v>45363.0</v>
      </c>
      <c r="B31" s="8" t="s">
        <v>675</v>
      </c>
      <c r="C31" s="8" t="s">
        <v>676</v>
      </c>
      <c r="D31" s="96">
        <v>45334.0</v>
      </c>
      <c r="E31" s="8">
        <v>866136.0</v>
      </c>
      <c r="F31" s="8">
        <v>0.0</v>
      </c>
      <c r="G31" s="8">
        <v>945225.0</v>
      </c>
      <c r="H31" s="8">
        <f t="shared" si="1"/>
        <v>79089</v>
      </c>
    </row>
    <row r="32">
      <c r="A32" s="96">
        <v>45394.0</v>
      </c>
      <c r="B32" s="8" t="s">
        <v>675</v>
      </c>
      <c r="C32" s="8" t="s">
        <v>676</v>
      </c>
      <c r="D32" s="96">
        <v>45363.0</v>
      </c>
      <c r="E32" s="8">
        <v>866136.0</v>
      </c>
      <c r="F32" s="8">
        <v>0.0</v>
      </c>
      <c r="G32" s="8">
        <v>907687.5</v>
      </c>
      <c r="H32" s="8">
        <f t="shared" si="1"/>
        <v>41551.5</v>
      </c>
    </row>
    <row r="33">
      <c r="A33" s="96">
        <v>45424.0</v>
      </c>
      <c r="B33" s="8" t="s">
        <v>675</v>
      </c>
      <c r="C33" s="8" t="s">
        <v>676</v>
      </c>
      <c r="D33" s="96">
        <v>45394.0</v>
      </c>
      <c r="E33" s="8">
        <v>866136.0</v>
      </c>
      <c r="F33" s="8">
        <v>0.0</v>
      </c>
      <c r="G33" s="8">
        <v>916237.5</v>
      </c>
      <c r="H33" s="8">
        <f t="shared" si="1"/>
        <v>50101.5</v>
      </c>
    </row>
    <row r="34">
      <c r="A34" s="96">
        <v>45455.0</v>
      </c>
      <c r="B34" s="8" t="s">
        <v>675</v>
      </c>
      <c r="C34" s="8" t="s">
        <v>676</v>
      </c>
      <c r="D34" s="96">
        <v>45424.0</v>
      </c>
      <c r="E34" s="8">
        <v>866136.0</v>
      </c>
      <c r="F34" s="8">
        <v>0.0</v>
      </c>
      <c r="G34" s="8">
        <v>843975.0</v>
      </c>
      <c r="H34" s="8">
        <f t="shared" si="1"/>
        <v>-22161</v>
      </c>
    </row>
    <row r="35">
      <c r="A35" s="96">
        <v>45547.0</v>
      </c>
      <c r="B35" s="8" t="s">
        <v>675</v>
      </c>
      <c r="C35" s="8" t="s">
        <v>676</v>
      </c>
      <c r="D35" s="96">
        <v>45455.0</v>
      </c>
      <c r="E35" s="8">
        <v>866136.0</v>
      </c>
      <c r="F35" s="8">
        <v>0.0</v>
      </c>
      <c r="G35" s="8">
        <v>832200.0</v>
      </c>
      <c r="H35" s="8">
        <f t="shared" si="1"/>
        <v>-33936</v>
      </c>
    </row>
    <row r="36">
      <c r="A36" s="133">
        <v>45636.0</v>
      </c>
      <c r="B36" s="8" t="s">
        <v>675</v>
      </c>
      <c r="C36" s="8" t="s">
        <v>676</v>
      </c>
      <c r="D36" s="133">
        <v>45635.0</v>
      </c>
      <c r="E36" s="8">
        <v>866136.0</v>
      </c>
      <c r="F36" s="8">
        <v>0.0</v>
      </c>
      <c r="G36" s="8">
        <v>853050.0</v>
      </c>
      <c r="H36" s="8">
        <f t="shared" si="1"/>
        <v>-13086</v>
      </c>
    </row>
    <row r="37">
      <c r="A37" s="133">
        <v>45637.0</v>
      </c>
      <c r="B37" s="8" t="s">
        <v>675</v>
      </c>
      <c r="C37" s="8" t="s">
        <v>676</v>
      </c>
      <c r="D37" s="133">
        <v>45636.0</v>
      </c>
      <c r="E37" s="8">
        <v>866136.0</v>
      </c>
      <c r="F37" s="8">
        <v>0.0</v>
      </c>
      <c r="G37" s="8">
        <v>858937.5</v>
      </c>
      <c r="H37" s="8">
        <f t="shared" si="1"/>
        <v>-7198.5</v>
      </c>
    </row>
    <row r="38">
      <c r="A38" s="133">
        <v>45638.0</v>
      </c>
      <c r="B38" s="8" t="s">
        <v>675</v>
      </c>
      <c r="C38" s="8" t="s">
        <v>676</v>
      </c>
      <c r="D38" s="133">
        <v>45637.0</v>
      </c>
      <c r="E38" s="8">
        <v>866136.0</v>
      </c>
      <c r="F38" s="8">
        <v>0.0</v>
      </c>
      <c r="G38" s="8">
        <v>856162.5</v>
      </c>
      <c r="H38" s="8">
        <f t="shared" si="1"/>
        <v>-9973.5</v>
      </c>
    </row>
    <row r="39">
      <c r="A39" s="133">
        <v>45639.0</v>
      </c>
      <c r="B39" s="8" t="s">
        <v>675</v>
      </c>
      <c r="C39" s="8" t="s">
        <v>676</v>
      </c>
      <c r="D39" s="133">
        <v>45638.0</v>
      </c>
      <c r="E39" s="8">
        <v>866136.0</v>
      </c>
      <c r="F39" s="8">
        <v>0.0</v>
      </c>
      <c r="G39" s="8">
        <v>868575.0</v>
      </c>
      <c r="H39" s="8">
        <f t="shared" si="1"/>
        <v>2439</v>
      </c>
    </row>
    <row r="40">
      <c r="A40" s="133">
        <v>45642.0</v>
      </c>
      <c r="B40" s="8" t="s">
        <v>675</v>
      </c>
      <c r="C40" s="8" t="s">
        <v>676</v>
      </c>
      <c r="D40" s="133">
        <v>45639.0</v>
      </c>
      <c r="E40" s="8">
        <v>866136.0</v>
      </c>
      <c r="F40" s="8">
        <v>0.0</v>
      </c>
      <c r="G40" s="8">
        <v>822900.0</v>
      </c>
      <c r="H40" s="8">
        <f t="shared" si="1"/>
        <v>-43236</v>
      </c>
    </row>
    <row r="41">
      <c r="A41" s="135">
        <v>45643.0</v>
      </c>
      <c r="B41" s="8" t="s">
        <v>675</v>
      </c>
      <c r="C41" s="8" t="s">
        <v>676</v>
      </c>
      <c r="D41" s="135">
        <v>45642.0</v>
      </c>
      <c r="E41" s="8">
        <v>866136.0</v>
      </c>
      <c r="F41" s="8">
        <v>0.0</v>
      </c>
      <c r="G41" s="8">
        <v>829612.5</v>
      </c>
      <c r="H41" s="8">
        <f t="shared" si="1"/>
        <v>-36523.5</v>
      </c>
    </row>
    <row r="42">
      <c r="A42" s="135">
        <v>45644.0</v>
      </c>
      <c r="B42" s="8" t="s">
        <v>675</v>
      </c>
      <c r="C42" s="8" t="s">
        <v>676</v>
      </c>
      <c r="D42" s="135">
        <v>45643.0</v>
      </c>
      <c r="E42" s="8">
        <v>866136.0</v>
      </c>
      <c r="F42" s="8">
        <v>0.0</v>
      </c>
      <c r="G42" s="8">
        <v>905737.5</v>
      </c>
      <c r="H42" s="8">
        <f t="shared" si="1"/>
        <v>39601.5</v>
      </c>
    </row>
    <row r="43">
      <c r="A43" s="135">
        <v>45645.0</v>
      </c>
      <c r="B43" s="8" t="s">
        <v>675</v>
      </c>
      <c r="C43" s="8" t="s">
        <v>676</v>
      </c>
      <c r="D43" s="135">
        <v>45644.0</v>
      </c>
      <c r="E43" s="8">
        <v>866136.0</v>
      </c>
      <c r="F43" s="8">
        <v>0.0</v>
      </c>
      <c r="G43" s="8">
        <v>966112.5</v>
      </c>
      <c r="H43" s="8">
        <f t="shared" si="1"/>
        <v>99976.5</v>
      </c>
    </row>
    <row r="44">
      <c r="A44" s="135">
        <v>45646.0</v>
      </c>
      <c r="B44" s="8" t="s">
        <v>675</v>
      </c>
      <c r="C44" s="8" t="s">
        <v>676</v>
      </c>
      <c r="D44" s="135">
        <v>45645.0</v>
      </c>
      <c r="E44" s="8">
        <v>866136.0</v>
      </c>
      <c r="F44" s="8">
        <v>0.0</v>
      </c>
      <c r="G44" s="8">
        <v>1037887.5</v>
      </c>
      <c r="H44" s="8">
        <f t="shared" si="1"/>
        <v>171751.5</v>
      </c>
    </row>
    <row r="45">
      <c r="A45" s="135">
        <v>45649.0</v>
      </c>
      <c r="B45" s="8" t="s">
        <v>675</v>
      </c>
      <c r="C45" s="8" t="s">
        <v>676</v>
      </c>
      <c r="D45" s="135">
        <v>45646.0</v>
      </c>
      <c r="E45" s="8">
        <v>866136.0</v>
      </c>
      <c r="F45" s="8">
        <v>0.0</v>
      </c>
      <c r="G45" s="8">
        <v>1185375.0</v>
      </c>
      <c r="H45" s="8">
        <f t="shared" si="1"/>
        <v>319239</v>
      </c>
    </row>
    <row r="46">
      <c r="A46" s="135">
        <v>45650.0</v>
      </c>
      <c r="B46" s="8" t="s">
        <v>675</v>
      </c>
      <c r="C46" s="8" t="s">
        <v>676</v>
      </c>
      <c r="D46" s="135">
        <v>45649.0</v>
      </c>
      <c r="E46" s="8">
        <v>866136.0</v>
      </c>
      <c r="F46" s="8">
        <v>0.0</v>
      </c>
      <c r="G46" s="8">
        <v>1119487.5</v>
      </c>
      <c r="H46" s="8">
        <f t="shared" si="1"/>
        <v>253351.5</v>
      </c>
    </row>
    <row r="47">
      <c r="A47" s="135">
        <v>45652.0</v>
      </c>
      <c r="B47" s="8" t="s">
        <v>675</v>
      </c>
      <c r="C47" s="8" t="s">
        <v>676</v>
      </c>
      <c r="D47" s="135">
        <v>45650.0</v>
      </c>
      <c r="E47" s="8">
        <v>866136.0</v>
      </c>
      <c r="F47" s="8">
        <v>0.0</v>
      </c>
      <c r="G47" s="8">
        <v>1117537.5</v>
      </c>
      <c r="H47" s="8">
        <f t="shared" si="1"/>
        <v>251401.5</v>
      </c>
    </row>
    <row r="48">
      <c r="A48" s="135">
        <v>45653.0</v>
      </c>
      <c r="B48" s="8" t="s">
        <v>675</v>
      </c>
      <c r="C48" s="8" t="s">
        <v>676</v>
      </c>
      <c r="D48" s="135">
        <v>45652.0</v>
      </c>
      <c r="E48" s="8">
        <v>866136.0</v>
      </c>
      <c r="F48" s="8">
        <v>0.0</v>
      </c>
      <c r="G48" s="8">
        <v>1107600.0</v>
      </c>
      <c r="H48" s="8">
        <f t="shared" si="1"/>
        <v>241464</v>
      </c>
    </row>
    <row r="49">
      <c r="A49" s="135">
        <v>45656.0</v>
      </c>
      <c r="B49" s="8" t="s">
        <v>675</v>
      </c>
      <c r="C49" s="8" t="s">
        <v>676</v>
      </c>
      <c r="D49" s="135">
        <v>45653.0</v>
      </c>
      <c r="E49" s="8">
        <v>866136.0</v>
      </c>
      <c r="F49" s="8">
        <v>0.0</v>
      </c>
      <c r="G49" s="8">
        <v>1090912.5</v>
      </c>
      <c r="H49" s="8">
        <f t="shared" si="1"/>
        <v>224776.5</v>
      </c>
    </row>
    <row r="50">
      <c r="A50" s="135">
        <v>45657.0</v>
      </c>
      <c r="B50" s="8" t="s">
        <v>675</v>
      </c>
      <c r="C50" s="8" t="s">
        <v>676</v>
      </c>
      <c r="D50" s="135">
        <v>45656.0</v>
      </c>
      <c r="E50" s="8">
        <v>866136.0</v>
      </c>
      <c r="F50" s="8">
        <v>0.0</v>
      </c>
      <c r="G50" s="8">
        <v>1162987.5</v>
      </c>
      <c r="H50" s="8">
        <f t="shared" si="1"/>
        <v>296851.5</v>
      </c>
    </row>
    <row r="51">
      <c r="A51" s="135">
        <v>45658.0</v>
      </c>
      <c r="B51" s="8" t="s">
        <v>675</v>
      </c>
      <c r="C51" s="8" t="s">
        <v>676</v>
      </c>
      <c r="D51" s="135">
        <v>45657.0</v>
      </c>
      <c r="E51" s="8">
        <v>866136.0</v>
      </c>
      <c r="F51" s="8">
        <v>0.0</v>
      </c>
      <c r="G51" s="8">
        <v>1147687.5</v>
      </c>
      <c r="H51" s="8">
        <f t="shared" si="1"/>
        <v>281551.5</v>
      </c>
    </row>
    <row r="52">
      <c r="A52" s="135">
        <v>45659.0</v>
      </c>
      <c r="B52" s="8" t="s">
        <v>675</v>
      </c>
      <c r="C52" s="8" t="s">
        <v>676</v>
      </c>
      <c r="D52" s="135">
        <v>45658.0</v>
      </c>
      <c r="E52" s="8">
        <v>866136.0</v>
      </c>
      <c r="F52" s="8">
        <v>0.0</v>
      </c>
      <c r="G52" s="8">
        <v>1155787.5</v>
      </c>
      <c r="H52" s="8">
        <f t="shared" si="1"/>
        <v>289651.5</v>
      </c>
    </row>
    <row r="53">
      <c r="A53" s="135">
        <v>45660.0</v>
      </c>
      <c r="B53" s="8" t="s">
        <v>675</v>
      </c>
      <c r="C53" s="8" t="s">
        <v>676</v>
      </c>
      <c r="D53" s="135">
        <v>45659.0</v>
      </c>
      <c r="E53" s="8">
        <v>866136.0</v>
      </c>
      <c r="F53" s="8">
        <v>0.0</v>
      </c>
      <c r="G53" s="8">
        <v>1011900.0</v>
      </c>
      <c r="H53" s="8">
        <f t="shared" si="1"/>
        <v>145764</v>
      </c>
    </row>
    <row r="54">
      <c r="A54" s="135">
        <v>45663.0</v>
      </c>
      <c r="B54" s="8" t="s">
        <v>675</v>
      </c>
      <c r="C54" s="8" t="s">
        <v>676</v>
      </c>
      <c r="D54" s="135">
        <v>45660.0</v>
      </c>
      <c r="E54" s="8">
        <v>866136.0</v>
      </c>
      <c r="F54" s="8">
        <v>0.0</v>
      </c>
      <c r="G54" s="8">
        <v>1062787.5</v>
      </c>
      <c r="H54" s="8">
        <f t="shared" si="1"/>
        <v>196651.5</v>
      </c>
    </row>
    <row r="55">
      <c r="A55" s="135">
        <v>45664.0</v>
      </c>
      <c r="B55" s="8" t="s">
        <v>675</v>
      </c>
      <c r="C55" s="8" t="s">
        <v>676</v>
      </c>
      <c r="D55" s="135">
        <v>45663.0</v>
      </c>
      <c r="E55" s="8">
        <v>866136.0</v>
      </c>
      <c r="F55" s="8">
        <v>0.0</v>
      </c>
      <c r="G55" s="8">
        <v>1230075.0</v>
      </c>
      <c r="H55" s="8">
        <f t="shared" si="1"/>
        <v>363939</v>
      </c>
    </row>
    <row r="56">
      <c r="A56" s="135">
        <v>45665.0</v>
      </c>
      <c r="B56" s="8" t="s">
        <v>675</v>
      </c>
      <c r="C56" s="8" t="s">
        <v>676</v>
      </c>
      <c r="D56" s="135">
        <v>45664.0</v>
      </c>
      <c r="E56" s="8">
        <v>866136.0</v>
      </c>
      <c r="F56" s="8">
        <v>0.0</v>
      </c>
      <c r="G56" s="8">
        <v>1230750.0</v>
      </c>
      <c r="H56" s="8">
        <f t="shared" si="1"/>
        <v>364614</v>
      </c>
    </row>
    <row r="57">
      <c r="A57" s="135">
        <v>45666.0</v>
      </c>
      <c r="B57" s="8" t="s">
        <v>675</v>
      </c>
      <c r="C57" s="8" t="s">
        <v>676</v>
      </c>
      <c r="D57" s="135">
        <v>45665.0</v>
      </c>
      <c r="E57" s="8">
        <v>866136.0</v>
      </c>
      <c r="F57" s="8">
        <v>0.0</v>
      </c>
      <c r="G57" s="8">
        <v>1209712.5</v>
      </c>
      <c r="H57" s="8">
        <f t="shared" si="1"/>
        <v>343576.5</v>
      </c>
    </row>
    <row r="58">
      <c r="A58" s="135">
        <v>45667.0</v>
      </c>
      <c r="B58" s="8" t="s">
        <v>675</v>
      </c>
      <c r="C58" s="8" t="s">
        <v>676</v>
      </c>
      <c r="D58" s="135">
        <v>45666.0</v>
      </c>
      <c r="E58" s="8">
        <v>866136.0</v>
      </c>
      <c r="F58" s="8">
        <v>0.0</v>
      </c>
      <c r="G58" s="8">
        <v>1263000.0</v>
      </c>
      <c r="H58" s="8">
        <f t="shared" si="1"/>
        <v>396864</v>
      </c>
    </row>
    <row r="59">
      <c r="A59" s="135">
        <v>45670.0</v>
      </c>
      <c r="B59" s="8" t="s">
        <v>675</v>
      </c>
      <c r="C59" s="8" t="s">
        <v>676</v>
      </c>
      <c r="D59" s="135">
        <v>45667.0</v>
      </c>
      <c r="E59" s="8">
        <v>866136.0</v>
      </c>
      <c r="F59" s="8">
        <v>0.0</v>
      </c>
      <c r="G59" s="8">
        <v>1317825.0</v>
      </c>
      <c r="H59" s="8">
        <f t="shared" si="1"/>
        <v>451689</v>
      </c>
    </row>
    <row r="60">
      <c r="A60" s="135">
        <v>45671.0</v>
      </c>
      <c r="B60" s="8" t="s">
        <v>675</v>
      </c>
      <c r="C60" s="8" t="s">
        <v>676</v>
      </c>
      <c r="D60" s="135">
        <v>45670.0</v>
      </c>
      <c r="E60" s="8">
        <v>866136.0</v>
      </c>
      <c r="F60" s="8">
        <v>0.0</v>
      </c>
      <c r="G60" s="8">
        <v>1446862.5</v>
      </c>
      <c r="H60" s="8">
        <f t="shared" si="1"/>
        <v>580726.5</v>
      </c>
    </row>
    <row r="61">
      <c r="A61" s="135">
        <v>45672.0</v>
      </c>
      <c r="B61" s="8" t="s">
        <v>675</v>
      </c>
      <c r="C61" s="8" t="s">
        <v>676</v>
      </c>
      <c r="D61" s="135">
        <v>45671.0</v>
      </c>
      <c r="E61" s="8">
        <v>866136.0</v>
      </c>
      <c r="F61" s="8">
        <v>0.0</v>
      </c>
      <c r="G61" s="8">
        <v>1470225.0</v>
      </c>
      <c r="H61" s="8">
        <f t="shared" si="1"/>
        <v>604089</v>
      </c>
    </row>
    <row r="62">
      <c r="A62" s="135">
        <v>45673.0</v>
      </c>
      <c r="B62" s="8" t="s">
        <v>675</v>
      </c>
      <c r="C62" s="8" t="s">
        <v>676</v>
      </c>
      <c r="D62" s="135">
        <v>45672.0</v>
      </c>
      <c r="E62" s="8">
        <v>866136.0</v>
      </c>
      <c r="F62" s="8">
        <v>0.0</v>
      </c>
      <c r="G62" s="8">
        <v>1420087.0</v>
      </c>
      <c r="H62" s="8">
        <f t="shared" si="1"/>
        <v>553951</v>
      </c>
    </row>
    <row r="63">
      <c r="A63" s="135">
        <v>45674.0</v>
      </c>
      <c r="B63" s="8" t="s">
        <v>675</v>
      </c>
      <c r="C63" s="8" t="s">
        <v>676</v>
      </c>
      <c r="D63" s="135">
        <v>45673.0</v>
      </c>
      <c r="E63" s="8">
        <v>866136.0</v>
      </c>
      <c r="F63" s="8">
        <v>0.0</v>
      </c>
      <c r="G63" s="8">
        <v>1356825.0</v>
      </c>
      <c r="H63" s="8">
        <f t="shared" si="1"/>
        <v>490689</v>
      </c>
    </row>
    <row r="64">
      <c r="A64" s="135">
        <v>45677.0</v>
      </c>
      <c r="B64" s="8" t="s">
        <v>675</v>
      </c>
      <c r="C64" s="8" t="s">
        <v>676</v>
      </c>
      <c r="D64" s="135">
        <v>45674.0</v>
      </c>
      <c r="E64" s="8">
        <v>866136.0</v>
      </c>
      <c r="F64" s="8">
        <v>0.0</v>
      </c>
      <c r="G64" s="8">
        <v>1400662.0</v>
      </c>
      <c r="H64" s="8">
        <f t="shared" si="1"/>
        <v>534526</v>
      </c>
    </row>
    <row r="65">
      <c r="A65" s="135">
        <v>45678.0</v>
      </c>
      <c r="B65" s="8" t="s">
        <v>675</v>
      </c>
      <c r="C65" s="8" t="s">
        <v>676</v>
      </c>
      <c r="D65" s="135">
        <v>45677.0</v>
      </c>
      <c r="E65" s="8">
        <v>866136.0</v>
      </c>
      <c r="F65" s="8">
        <v>0.0</v>
      </c>
      <c r="G65" s="8">
        <v>1361212.0</v>
      </c>
      <c r="H65" s="8">
        <f t="shared" si="1"/>
        <v>495076</v>
      </c>
    </row>
    <row r="66">
      <c r="A66" s="135">
        <v>45679.0</v>
      </c>
      <c r="B66" s="8" t="s">
        <v>675</v>
      </c>
      <c r="C66" s="8" t="s">
        <v>676</v>
      </c>
      <c r="D66" s="135">
        <v>45678.0</v>
      </c>
      <c r="E66" s="8">
        <v>866136.0</v>
      </c>
      <c r="F66" s="8">
        <v>0.0</v>
      </c>
      <c r="G66" s="8">
        <v>1497787.0</v>
      </c>
      <c r="H66" s="8">
        <f t="shared" si="1"/>
        <v>631651</v>
      </c>
    </row>
    <row r="67">
      <c r="A67" s="135">
        <v>45680.0</v>
      </c>
      <c r="B67" s="8" t="s">
        <v>675</v>
      </c>
      <c r="C67" s="8" t="s">
        <v>676</v>
      </c>
      <c r="D67" s="135">
        <v>45679.0</v>
      </c>
      <c r="E67" s="8">
        <v>866136.0</v>
      </c>
      <c r="F67" s="8">
        <v>0.0</v>
      </c>
      <c r="G67" s="8">
        <v>1471500.0</v>
      </c>
      <c r="H67" s="8">
        <f t="shared" si="1"/>
        <v>605364</v>
      </c>
    </row>
    <row r="68">
      <c r="A68" s="135">
        <v>45681.0</v>
      </c>
      <c r="B68" s="8" t="s">
        <v>675</v>
      </c>
      <c r="C68" s="8" t="s">
        <v>676</v>
      </c>
      <c r="D68" s="135">
        <v>45680.0</v>
      </c>
      <c r="E68" s="8">
        <v>866136.0</v>
      </c>
      <c r="F68" s="8">
        <v>0.0</v>
      </c>
      <c r="G68" s="8">
        <v>1432500.0</v>
      </c>
      <c r="H68" s="8">
        <f t="shared" si="1"/>
        <v>566364</v>
      </c>
    </row>
    <row r="69">
      <c r="A69" s="135">
        <v>45684.0</v>
      </c>
      <c r="B69" s="8" t="s">
        <v>675</v>
      </c>
      <c r="C69" s="8" t="s">
        <v>676</v>
      </c>
      <c r="D69" s="135">
        <v>45681.0</v>
      </c>
      <c r="E69" s="8">
        <v>866136.0</v>
      </c>
      <c r="F69" s="8">
        <v>0.0</v>
      </c>
      <c r="G69" s="8">
        <v>1495275.0</v>
      </c>
      <c r="H69" s="8">
        <f t="shared" si="1"/>
        <v>629139</v>
      </c>
    </row>
    <row r="70">
      <c r="A70" s="135">
        <v>45685.0</v>
      </c>
      <c r="B70" s="8" t="s">
        <v>675</v>
      </c>
      <c r="C70" s="8" t="s">
        <v>676</v>
      </c>
      <c r="D70" s="135">
        <v>45684.0</v>
      </c>
      <c r="E70" s="8">
        <v>866136.0</v>
      </c>
      <c r="F70" s="8">
        <v>0.0</v>
      </c>
      <c r="G70" s="8">
        <v>1638975.0</v>
      </c>
      <c r="H70" s="8">
        <f t="shared" si="1"/>
        <v>772839</v>
      </c>
    </row>
    <row r="71">
      <c r="A71" s="135">
        <v>45686.0</v>
      </c>
      <c r="B71" s="8" t="s">
        <v>675</v>
      </c>
      <c r="C71" s="8" t="s">
        <v>676</v>
      </c>
      <c r="D71" s="135">
        <v>45685.0</v>
      </c>
      <c r="E71" s="8">
        <v>866136.0</v>
      </c>
      <c r="F71" s="8">
        <v>0.0</v>
      </c>
      <c r="G71" s="8">
        <v>1570725.0</v>
      </c>
      <c r="H71" s="8">
        <f t="shared" si="1"/>
        <v>704589</v>
      </c>
    </row>
    <row r="72">
      <c r="A72" s="135">
        <v>45687.0</v>
      </c>
      <c r="B72" s="8" t="s">
        <v>675</v>
      </c>
      <c r="C72" s="8" t="s">
        <v>676</v>
      </c>
      <c r="D72" s="135">
        <v>45686.0</v>
      </c>
      <c r="E72" s="8">
        <v>866136.0</v>
      </c>
      <c r="F72" s="8">
        <v>0.0</v>
      </c>
      <c r="G72" s="8">
        <v>1469887.0</v>
      </c>
      <c r="H72" s="8">
        <f t="shared" si="1"/>
        <v>603751</v>
      </c>
    </row>
    <row r="73">
      <c r="A73" s="135">
        <v>45688.0</v>
      </c>
      <c r="B73" s="8" t="s">
        <v>675</v>
      </c>
      <c r="C73" s="8" t="s">
        <v>676</v>
      </c>
      <c r="D73" s="135">
        <v>45687.0</v>
      </c>
      <c r="E73" s="8">
        <v>866136.0</v>
      </c>
      <c r="F73" s="8">
        <v>0.0</v>
      </c>
      <c r="G73" s="8">
        <v>1382437.0</v>
      </c>
      <c r="H73" s="8">
        <f t="shared" si="1"/>
        <v>516301</v>
      </c>
    </row>
    <row r="74">
      <c r="A74" s="135">
        <v>45689.0</v>
      </c>
      <c r="B74" s="8" t="s">
        <v>675</v>
      </c>
      <c r="C74" s="8" t="s">
        <v>676</v>
      </c>
      <c r="D74" s="135">
        <v>45688.0</v>
      </c>
      <c r="E74" s="8">
        <v>866136.0</v>
      </c>
      <c r="F74" s="8">
        <v>0.0</v>
      </c>
      <c r="G74" s="8">
        <v>1282875.0</v>
      </c>
      <c r="H74" s="8">
        <f t="shared" si="1"/>
        <v>416739</v>
      </c>
    </row>
    <row r="75">
      <c r="A75" s="135">
        <v>45691.0</v>
      </c>
      <c r="B75" s="8" t="s">
        <v>675</v>
      </c>
      <c r="C75" s="8" t="s">
        <v>676</v>
      </c>
      <c r="D75" s="135">
        <v>45689.0</v>
      </c>
      <c r="E75" s="8">
        <v>866136.0</v>
      </c>
      <c r="F75" s="8">
        <v>0.0</v>
      </c>
      <c r="G75" s="8">
        <v>1290412.0</v>
      </c>
      <c r="H75" s="8">
        <f t="shared" si="1"/>
        <v>424276</v>
      </c>
    </row>
    <row r="76">
      <c r="A76" s="135">
        <v>45692.0</v>
      </c>
      <c r="B76" s="8" t="s">
        <v>675</v>
      </c>
      <c r="C76" s="8" t="s">
        <v>676</v>
      </c>
      <c r="D76" s="135">
        <v>45691.0</v>
      </c>
      <c r="E76" s="8">
        <v>866136.0</v>
      </c>
      <c r="F76" s="8">
        <v>0.0</v>
      </c>
      <c r="G76" s="8">
        <v>1341975.0</v>
      </c>
      <c r="H76" s="8">
        <f t="shared" si="1"/>
        <v>475839</v>
      </c>
    </row>
    <row r="77">
      <c r="A77" s="135">
        <v>45693.0</v>
      </c>
      <c r="B77" s="8" t="s">
        <v>675</v>
      </c>
      <c r="C77" s="8" t="s">
        <v>676</v>
      </c>
      <c r="D77" s="135">
        <v>45692.0</v>
      </c>
      <c r="E77" s="8">
        <v>866136.0</v>
      </c>
      <c r="F77" s="8">
        <v>0.0</v>
      </c>
      <c r="G77" s="8">
        <v>1209675.0</v>
      </c>
      <c r="H77" s="8">
        <f t="shared" si="1"/>
        <v>343539</v>
      </c>
    </row>
    <row r="78">
      <c r="A78" s="135">
        <v>45694.0</v>
      </c>
      <c r="B78" s="8" t="s">
        <v>675</v>
      </c>
      <c r="C78" s="8" t="s">
        <v>676</v>
      </c>
      <c r="D78" s="135">
        <v>45693.0</v>
      </c>
      <c r="E78" s="8">
        <v>866136.0</v>
      </c>
      <c r="F78" s="8">
        <v>0.0</v>
      </c>
      <c r="G78" s="8">
        <v>1202250.0</v>
      </c>
      <c r="H78" s="8">
        <f t="shared" si="1"/>
        <v>336114</v>
      </c>
    </row>
    <row r="79">
      <c r="A79" s="135">
        <v>45695.0</v>
      </c>
      <c r="B79" s="8" t="s">
        <v>675</v>
      </c>
      <c r="C79" s="8" t="s">
        <v>676</v>
      </c>
      <c r="D79" s="135">
        <v>45694.0</v>
      </c>
      <c r="E79" s="8">
        <v>866136.0</v>
      </c>
      <c r="F79" s="8">
        <v>0.0</v>
      </c>
      <c r="G79" s="8">
        <v>1248787.0</v>
      </c>
      <c r="H79" s="8">
        <f t="shared" si="1"/>
        <v>382651</v>
      </c>
    </row>
    <row r="80">
      <c r="A80" s="135">
        <v>45698.0</v>
      </c>
      <c r="B80" s="8" t="s">
        <v>675</v>
      </c>
      <c r="C80" s="8" t="s">
        <v>676</v>
      </c>
      <c r="D80" s="135">
        <v>45695.0</v>
      </c>
      <c r="E80" s="8">
        <v>866136.0</v>
      </c>
      <c r="F80" s="8">
        <v>0.0</v>
      </c>
      <c r="G80" s="8">
        <v>1332037.0</v>
      </c>
      <c r="H80" s="8">
        <f t="shared" si="1"/>
        <v>465901</v>
      </c>
    </row>
    <row r="81">
      <c r="A81" s="135">
        <v>45699.0</v>
      </c>
      <c r="B81" s="8" t="s">
        <v>675</v>
      </c>
      <c r="C81" s="8" t="s">
        <v>676</v>
      </c>
      <c r="D81" s="135">
        <v>45698.0</v>
      </c>
      <c r="E81" s="8">
        <v>866136.0</v>
      </c>
      <c r="F81" s="8">
        <v>0.0</v>
      </c>
      <c r="G81" s="8">
        <v>1368375.0</v>
      </c>
      <c r="H81" s="8">
        <f t="shared" si="1"/>
        <v>502239</v>
      </c>
    </row>
    <row r="82">
      <c r="A82" s="135">
        <v>45700.0</v>
      </c>
      <c r="B82" s="8" t="s">
        <v>675</v>
      </c>
      <c r="C82" s="8" t="s">
        <v>676</v>
      </c>
      <c r="D82" s="135">
        <v>45699.0</v>
      </c>
      <c r="E82" s="8">
        <v>866136.0</v>
      </c>
      <c r="F82" s="8">
        <v>0.0</v>
      </c>
      <c r="G82" s="8">
        <v>1513800.0</v>
      </c>
      <c r="H82" s="8">
        <f t="shared" si="1"/>
        <v>647664</v>
      </c>
    </row>
    <row r="83">
      <c r="A83" s="135">
        <v>45701.0</v>
      </c>
      <c r="B83" s="8" t="s">
        <v>675</v>
      </c>
      <c r="C83" s="8" t="s">
        <v>676</v>
      </c>
      <c r="D83" s="135">
        <v>45700.0</v>
      </c>
      <c r="E83" s="8">
        <v>866136.0</v>
      </c>
      <c r="F83" s="8">
        <v>0.0</v>
      </c>
      <c r="G83" s="8">
        <v>1512375.0</v>
      </c>
      <c r="H83" s="8">
        <f t="shared" si="1"/>
        <v>646239</v>
      </c>
    </row>
    <row r="84">
      <c r="A84" s="135">
        <v>45702.0</v>
      </c>
      <c r="B84" s="8" t="s">
        <v>675</v>
      </c>
      <c r="C84" s="8" t="s">
        <v>676</v>
      </c>
      <c r="D84" s="135">
        <v>45701.0</v>
      </c>
      <c r="E84" s="8">
        <v>866136.0</v>
      </c>
      <c r="F84" s="8">
        <v>0.0</v>
      </c>
      <c r="G84" s="8">
        <v>1504612.0</v>
      </c>
      <c r="H84" s="8">
        <f t="shared" si="1"/>
        <v>638476</v>
      </c>
    </row>
    <row r="85">
      <c r="A85" s="135">
        <v>45705.0</v>
      </c>
      <c r="B85" s="8" t="s">
        <v>675</v>
      </c>
      <c r="C85" s="8" t="s">
        <v>676</v>
      </c>
      <c r="D85" s="135">
        <v>45702.0</v>
      </c>
      <c r="E85" s="8">
        <v>866136.0</v>
      </c>
      <c r="F85" s="8">
        <v>0.0</v>
      </c>
      <c r="G85" s="8">
        <v>1541812.0</v>
      </c>
      <c r="H85" s="8">
        <f t="shared" si="1"/>
        <v>675676</v>
      </c>
    </row>
    <row r="86">
      <c r="A86" s="135">
        <v>45706.0</v>
      </c>
      <c r="B86" s="8" t="s">
        <v>675</v>
      </c>
      <c r="C86" s="8" t="s">
        <v>676</v>
      </c>
      <c r="D86" s="135">
        <v>45705.0</v>
      </c>
      <c r="E86" s="8">
        <v>866136.0</v>
      </c>
      <c r="F86" s="8">
        <v>0.0</v>
      </c>
      <c r="G86" s="8">
        <v>1524637.0</v>
      </c>
      <c r="H86" s="8">
        <f t="shared" si="1"/>
        <v>658501</v>
      </c>
    </row>
    <row r="87">
      <c r="A87" s="135">
        <v>45707.0</v>
      </c>
      <c r="B87" s="8" t="s">
        <v>675</v>
      </c>
      <c r="C87" s="8" t="s">
        <v>676</v>
      </c>
      <c r="D87" s="135">
        <v>45706.0</v>
      </c>
      <c r="E87" s="8">
        <v>866136.0</v>
      </c>
      <c r="F87" s="8">
        <v>0.0</v>
      </c>
      <c r="G87" s="8">
        <v>1571175.0</v>
      </c>
      <c r="H87" s="8">
        <f t="shared" si="1"/>
        <v>705039</v>
      </c>
    </row>
    <row r="88">
      <c r="A88" s="135">
        <v>45708.0</v>
      </c>
      <c r="B88" s="8" t="s">
        <v>675</v>
      </c>
      <c r="C88" s="8" t="s">
        <v>676</v>
      </c>
      <c r="D88" s="135">
        <v>45707.0</v>
      </c>
      <c r="E88" s="8">
        <v>866136.0</v>
      </c>
      <c r="F88" s="8">
        <v>0.0</v>
      </c>
      <c r="G88" s="8">
        <v>1545487.0</v>
      </c>
      <c r="H88" s="8">
        <f t="shared" si="1"/>
        <v>679351</v>
      </c>
    </row>
    <row r="89">
      <c r="A89" s="135">
        <v>45709.0</v>
      </c>
      <c r="B89" s="8" t="s">
        <v>675</v>
      </c>
      <c r="C89" s="8" t="s">
        <v>676</v>
      </c>
      <c r="D89" s="135">
        <v>45708.0</v>
      </c>
      <c r="E89" s="8">
        <v>866136.0</v>
      </c>
      <c r="F89" s="8">
        <v>0.0</v>
      </c>
      <c r="G89" s="8">
        <v>1556100.0</v>
      </c>
      <c r="H89" s="8">
        <f t="shared" si="1"/>
        <v>689964</v>
      </c>
    </row>
    <row r="90">
      <c r="A90" s="135">
        <v>45712.0</v>
      </c>
      <c r="B90" s="8" t="s">
        <v>675</v>
      </c>
      <c r="C90" s="8" t="s">
        <v>676</v>
      </c>
      <c r="D90" s="135">
        <v>45709.0</v>
      </c>
      <c r="E90" s="8">
        <v>866136.0</v>
      </c>
      <c r="F90" s="8">
        <v>0.0</v>
      </c>
      <c r="G90" s="8">
        <v>1621725.0</v>
      </c>
      <c r="H90" s="8">
        <f t="shared" si="1"/>
        <v>755589</v>
      </c>
    </row>
    <row r="91">
      <c r="A91" s="135">
        <v>45713.0</v>
      </c>
      <c r="B91" s="8" t="s">
        <v>675</v>
      </c>
      <c r="C91" s="8" t="s">
        <v>676</v>
      </c>
      <c r="D91" s="135">
        <v>45712.0</v>
      </c>
      <c r="E91" s="8">
        <v>866136.0</v>
      </c>
      <c r="F91" s="8">
        <v>0.0</v>
      </c>
      <c r="G91" s="8">
        <v>1725375.0</v>
      </c>
      <c r="H91" s="8">
        <f t="shared" si="1"/>
        <v>859239</v>
      </c>
    </row>
    <row r="92">
      <c r="A92" s="135">
        <v>45715.0</v>
      </c>
      <c r="B92" s="8" t="s">
        <v>675</v>
      </c>
      <c r="C92" s="8" t="s">
        <v>676</v>
      </c>
      <c r="D92" s="135">
        <v>45713.0</v>
      </c>
      <c r="E92" s="8">
        <v>866136.0</v>
      </c>
      <c r="F92" s="8">
        <v>0.0</v>
      </c>
      <c r="G92" s="8">
        <v>1734150.0</v>
      </c>
      <c r="H92" s="8">
        <f t="shared" si="1"/>
        <v>868014</v>
      </c>
    </row>
    <row r="93">
      <c r="A93" s="135">
        <v>45716.0</v>
      </c>
      <c r="B93" s="8" t="s">
        <v>675</v>
      </c>
      <c r="C93" s="8" t="s">
        <v>676</v>
      </c>
      <c r="D93" s="135">
        <v>45715.0</v>
      </c>
      <c r="E93" s="8">
        <v>866136.0</v>
      </c>
      <c r="F93" s="8">
        <v>0.0</v>
      </c>
      <c r="G93" s="8">
        <v>1735687.0</v>
      </c>
      <c r="H93" s="8">
        <f t="shared" si="1"/>
        <v>869551</v>
      </c>
    </row>
    <row r="94">
      <c r="A94" s="135">
        <v>45719.0</v>
      </c>
      <c r="B94" s="8" t="s">
        <v>675</v>
      </c>
      <c r="C94" s="8" t="s">
        <v>676</v>
      </c>
      <c r="D94" s="135">
        <v>45716.0</v>
      </c>
      <c r="E94" s="8">
        <v>866136.0</v>
      </c>
      <c r="F94" s="8">
        <v>0.0</v>
      </c>
      <c r="G94" s="8">
        <v>1966725.0</v>
      </c>
      <c r="H94" s="8">
        <f t="shared" si="1"/>
        <v>1100589</v>
      </c>
    </row>
    <row r="95">
      <c r="A95" s="135">
        <v>45720.0</v>
      </c>
      <c r="B95" s="8" t="s">
        <v>675</v>
      </c>
      <c r="C95" s="8" t="s">
        <v>676</v>
      </c>
      <c r="D95" s="135">
        <v>45719.0</v>
      </c>
      <c r="E95" s="8">
        <v>866136.0</v>
      </c>
      <c r="F95" s="8">
        <v>0.0</v>
      </c>
      <c r="G95" s="8">
        <v>1947712.0</v>
      </c>
      <c r="H95" s="8">
        <f t="shared" si="1"/>
        <v>1081576</v>
      </c>
    </row>
    <row r="96">
      <c r="A96" s="135">
        <v>45721.0</v>
      </c>
      <c r="B96" s="8" t="s">
        <v>675</v>
      </c>
      <c r="C96" s="8" t="s">
        <v>676</v>
      </c>
      <c r="D96" s="135">
        <v>45720.0</v>
      </c>
      <c r="E96" s="8">
        <v>866136.0</v>
      </c>
      <c r="F96" s="8">
        <v>0.0</v>
      </c>
      <c r="G96" s="8">
        <v>1984912.0</v>
      </c>
      <c r="H96" s="8">
        <f t="shared" si="1"/>
        <v>1118776</v>
      </c>
    </row>
    <row r="97">
      <c r="A97" s="135">
        <v>45722.0</v>
      </c>
      <c r="B97" s="8" t="s">
        <v>675</v>
      </c>
      <c r="C97" s="8" t="s">
        <v>676</v>
      </c>
      <c r="D97" s="135">
        <v>45721.0</v>
      </c>
      <c r="E97" s="8">
        <v>866136.0</v>
      </c>
      <c r="F97" s="8">
        <v>0.0</v>
      </c>
      <c r="G97" s="8">
        <v>1837275.0</v>
      </c>
      <c r="H97" s="8">
        <f t="shared" si="1"/>
        <v>971139</v>
      </c>
    </row>
    <row r="98">
      <c r="A98" s="135">
        <v>45723.0</v>
      </c>
      <c r="B98" s="8" t="s">
        <v>675</v>
      </c>
      <c r="C98" s="8" t="s">
        <v>676</v>
      </c>
      <c r="D98" s="135">
        <v>45722.0</v>
      </c>
      <c r="E98" s="8">
        <v>866136.0</v>
      </c>
      <c r="F98" s="8">
        <v>0.0</v>
      </c>
      <c r="G98" s="8">
        <v>1753012.5</v>
      </c>
      <c r="H98" s="8">
        <f t="shared" si="1"/>
        <v>886876.5</v>
      </c>
    </row>
    <row r="99">
      <c r="A99" s="135">
        <v>45726.0</v>
      </c>
      <c r="B99" s="8" t="s">
        <v>675</v>
      </c>
      <c r="C99" s="8" t="s">
        <v>676</v>
      </c>
      <c r="D99" s="135">
        <v>45723.0</v>
      </c>
      <c r="E99" s="8">
        <v>866136.0</v>
      </c>
      <c r="F99" s="8">
        <v>0.0</v>
      </c>
      <c r="G99" s="8">
        <v>1729875.0</v>
      </c>
      <c r="H99" s="8">
        <f t="shared" si="1"/>
        <v>863739</v>
      </c>
    </row>
    <row r="100">
      <c r="A100" s="135">
        <v>45727.0</v>
      </c>
      <c r="B100" s="8" t="s">
        <v>675</v>
      </c>
      <c r="C100" s="8" t="s">
        <v>676</v>
      </c>
      <c r="D100" s="135">
        <v>45726.0</v>
      </c>
      <c r="E100" s="8">
        <v>866136.0</v>
      </c>
      <c r="F100" s="8">
        <v>0.0</v>
      </c>
      <c r="G100" s="8">
        <v>1794150.0</v>
      </c>
      <c r="H100" s="8">
        <f t="shared" si="1"/>
        <v>928014</v>
      </c>
    </row>
    <row r="101">
      <c r="A101" s="135">
        <v>45728.0</v>
      </c>
      <c r="B101" s="8" t="s">
        <v>675</v>
      </c>
      <c r="C101" s="8" t="s">
        <v>676</v>
      </c>
      <c r="D101" s="135">
        <v>45727.0</v>
      </c>
      <c r="E101" s="8">
        <v>866136.0</v>
      </c>
      <c r="F101" s="8">
        <v>0.0</v>
      </c>
      <c r="G101" s="8">
        <v>1774275.0</v>
      </c>
      <c r="H101" s="8">
        <f t="shared" si="1"/>
        <v>908139</v>
      </c>
    </row>
    <row r="102">
      <c r="A102" s="135">
        <v>45729.0</v>
      </c>
      <c r="B102" s="8" t="s">
        <v>675</v>
      </c>
      <c r="C102" s="8" t="s">
        <v>676</v>
      </c>
      <c r="D102" s="135">
        <v>45728.0</v>
      </c>
      <c r="E102" s="8">
        <v>866136.0</v>
      </c>
      <c r="F102" s="8">
        <v>0.0</v>
      </c>
      <c r="G102" s="8">
        <v>1802100.0</v>
      </c>
      <c r="H102" s="8">
        <f t="shared" si="1"/>
        <v>935964</v>
      </c>
    </row>
    <row r="103">
      <c r="A103" s="135">
        <v>45733.0</v>
      </c>
      <c r="B103" s="8" t="s">
        <v>675</v>
      </c>
      <c r="C103" s="8" t="s">
        <v>676</v>
      </c>
      <c r="D103" s="135">
        <v>45729.0</v>
      </c>
      <c r="E103" s="8">
        <v>866136.0</v>
      </c>
      <c r="F103" s="8">
        <v>0.0</v>
      </c>
      <c r="G103" s="8">
        <v>1839900.0</v>
      </c>
      <c r="H103" s="8">
        <f t="shared" si="1"/>
        <v>973764</v>
      </c>
    </row>
    <row r="104">
      <c r="A104" s="135">
        <v>45734.0</v>
      </c>
      <c r="B104" s="8" t="s">
        <v>675</v>
      </c>
      <c r="C104" s="8" t="s">
        <v>676</v>
      </c>
      <c r="D104" s="135">
        <v>45733.0</v>
      </c>
      <c r="E104" s="8">
        <v>866136.0</v>
      </c>
      <c r="F104" s="8">
        <v>0.0</v>
      </c>
      <c r="G104" s="8">
        <v>1753875.0</v>
      </c>
      <c r="H104" s="8">
        <f t="shared" si="1"/>
        <v>887739</v>
      </c>
    </row>
    <row r="105">
      <c r="A105" s="135">
        <v>45735.0</v>
      </c>
      <c r="B105" s="8" t="s">
        <v>675</v>
      </c>
      <c r="C105" s="8" t="s">
        <v>676</v>
      </c>
      <c r="D105" s="135">
        <v>45734.0</v>
      </c>
      <c r="E105" s="8">
        <v>866136.0</v>
      </c>
      <c r="F105" s="8">
        <v>0.0</v>
      </c>
      <c r="G105" s="8">
        <v>1585500.0</v>
      </c>
      <c r="H105" s="8">
        <f t="shared" si="1"/>
        <v>719364</v>
      </c>
    </row>
    <row r="106">
      <c r="A106" s="135">
        <v>45736.0</v>
      </c>
      <c r="B106" s="8" t="s">
        <v>675</v>
      </c>
      <c r="C106" s="8" t="s">
        <v>676</v>
      </c>
      <c r="D106" s="135">
        <v>45735.0</v>
      </c>
      <c r="E106" s="8">
        <v>866136.0</v>
      </c>
      <c r="F106" s="8">
        <v>0.0</v>
      </c>
      <c r="G106" s="8">
        <v>1541737.0</v>
      </c>
      <c r="H106" s="8">
        <f t="shared" si="1"/>
        <v>675601</v>
      </c>
    </row>
    <row r="107">
      <c r="A107" s="135">
        <v>45737.0</v>
      </c>
      <c r="B107" s="8" t="s">
        <v>675</v>
      </c>
      <c r="C107" s="8" t="s">
        <v>676</v>
      </c>
      <c r="D107" s="135">
        <v>45736.0</v>
      </c>
      <c r="E107" s="8">
        <v>866136.0</v>
      </c>
      <c r="F107" s="8">
        <v>0.0</v>
      </c>
      <c r="G107" s="8">
        <v>1416825.0</v>
      </c>
      <c r="H107" s="8">
        <f t="shared" si="1"/>
        <v>550689</v>
      </c>
    </row>
    <row r="108">
      <c r="A108" s="135">
        <v>45740.0</v>
      </c>
      <c r="B108" s="8" t="s">
        <v>675</v>
      </c>
      <c r="C108" s="8" t="s">
        <v>676</v>
      </c>
      <c r="D108" s="135">
        <v>45737.0</v>
      </c>
      <c r="E108" s="8">
        <v>866136.0</v>
      </c>
      <c r="F108" s="8">
        <v>0.0</v>
      </c>
      <c r="G108" s="8">
        <v>1297162.5</v>
      </c>
      <c r="H108" s="8">
        <f t="shared" si="1"/>
        <v>431026.5</v>
      </c>
    </row>
    <row r="109">
      <c r="A109" s="135">
        <v>45741.0</v>
      </c>
      <c r="B109" s="8" t="s">
        <v>675</v>
      </c>
      <c r="C109" s="8" t="s">
        <v>676</v>
      </c>
      <c r="D109" s="135">
        <v>45740.0</v>
      </c>
      <c r="E109" s="8">
        <v>866136.0</v>
      </c>
      <c r="F109" s="8">
        <v>0.0</v>
      </c>
      <c r="G109" s="8">
        <v>1163137.0</v>
      </c>
      <c r="H109" s="8">
        <f t="shared" si="1"/>
        <v>297001</v>
      </c>
    </row>
    <row r="110">
      <c r="A110" s="135">
        <v>45742.0</v>
      </c>
      <c r="B110" s="8" t="s">
        <v>675</v>
      </c>
      <c r="C110" s="8" t="s">
        <v>676</v>
      </c>
      <c r="D110" s="135">
        <v>45741.0</v>
      </c>
      <c r="E110" s="8">
        <v>866136.0</v>
      </c>
      <c r="F110" s="8">
        <v>0.0</v>
      </c>
      <c r="G110" s="8">
        <v>1173975.0</v>
      </c>
      <c r="H110" s="8">
        <f t="shared" si="1"/>
        <v>307839</v>
      </c>
    </row>
    <row r="111">
      <c r="A111" s="135">
        <v>45743.0</v>
      </c>
      <c r="B111" s="8" t="s">
        <v>675</v>
      </c>
      <c r="C111" s="8" t="s">
        <v>676</v>
      </c>
      <c r="D111" s="135">
        <v>45742.0</v>
      </c>
      <c r="E111" s="8">
        <v>866136.0</v>
      </c>
      <c r="F111" s="8">
        <v>0.0</v>
      </c>
      <c r="G111" s="8">
        <v>1249612.0</v>
      </c>
      <c r="H111" s="8">
        <f t="shared" si="1"/>
        <v>383476</v>
      </c>
    </row>
    <row r="112">
      <c r="A112" s="135">
        <v>45744.0</v>
      </c>
      <c r="B112" s="8" t="s">
        <v>675</v>
      </c>
      <c r="C112" s="8" t="s">
        <v>676</v>
      </c>
      <c r="D112" s="135">
        <v>45743.0</v>
      </c>
      <c r="E112" s="8">
        <v>866136.0</v>
      </c>
      <c r="F112" s="8">
        <v>0.0</v>
      </c>
      <c r="G112" s="8">
        <v>1212262.0</v>
      </c>
      <c r="H112" s="8">
        <f t="shared" si="1"/>
        <v>346126</v>
      </c>
    </row>
    <row r="113">
      <c r="A113" s="135">
        <v>45748.0</v>
      </c>
      <c r="B113" s="8" t="s">
        <v>675</v>
      </c>
      <c r="C113" s="8" t="s">
        <v>676</v>
      </c>
      <c r="D113" s="135">
        <v>45744.0</v>
      </c>
      <c r="E113" s="8">
        <v>866136.0</v>
      </c>
      <c r="F113" s="8">
        <v>0.0</v>
      </c>
      <c r="G113" s="8">
        <v>1304887.0</v>
      </c>
      <c r="H113" s="8">
        <f t="shared" si="1"/>
        <v>438751</v>
      </c>
    </row>
    <row r="114">
      <c r="A114" s="135">
        <v>45749.0</v>
      </c>
      <c r="B114" s="8" t="s">
        <v>675</v>
      </c>
      <c r="C114" s="8" t="s">
        <v>676</v>
      </c>
      <c r="D114" s="135">
        <v>45748.0</v>
      </c>
      <c r="E114" s="8">
        <v>866136.0</v>
      </c>
      <c r="F114" s="8">
        <v>0.0</v>
      </c>
      <c r="G114" s="8">
        <v>1449712.0</v>
      </c>
      <c r="H114" s="8">
        <f t="shared" si="1"/>
        <v>583576</v>
      </c>
    </row>
    <row r="115">
      <c r="A115" s="135">
        <v>45750.0</v>
      </c>
      <c r="B115" s="8" t="s">
        <v>675</v>
      </c>
      <c r="C115" s="8" t="s">
        <v>676</v>
      </c>
      <c r="D115" s="135">
        <v>45749.0</v>
      </c>
      <c r="E115" s="8">
        <v>866136.0</v>
      </c>
      <c r="F115" s="8">
        <v>0.0</v>
      </c>
      <c r="G115" s="8">
        <v>1403925.0</v>
      </c>
      <c r="H115" s="8">
        <f t="shared" si="1"/>
        <v>537789</v>
      </c>
    </row>
    <row r="116">
      <c r="A116" s="135">
        <v>45751.0</v>
      </c>
      <c r="B116" s="8" t="s">
        <v>675</v>
      </c>
      <c r="C116" s="8" t="s">
        <v>676</v>
      </c>
      <c r="D116" s="135">
        <v>45750.0</v>
      </c>
      <c r="E116" s="8">
        <v>866136.0</v>
      </c>
      <c r="F116" s="8">
        <v>0.0</v>
      </c>
      <c r="G116" s="8">
        <v>1448512.0</v>
      </c>
      <c r="H116" s="8">
        <f t="shared" si="1"/>
        <v>582376</v>
      </c>
    </row>
    <row r="117">
      <c r="A117" s="135">
        <v>45754.0</v>
      </c>
      <c r="B117" s="8" t="s">
        <v>675</v>
      </c>
      <c r="C117" s="8" t="s">
        <v>676</v>
      </c>
      <c r="D117" s="135">
        <v>45751.0</v>
      </c>
      <c r="E117" s="8">
        <v>866136.0</v>
      </c>
      <c r="F117" s="8">
        <v>0.0</v>
      </c>
      <c r="G117" s="8">
        <v>1668487.0</v>
      </c>
      <c r="H117" s="8">
        <f t="shared" si="1"/>
        <v>802351</v>
      </c>
    </row>
    <row r="118">
      <c r="A118" s="135">
        <v>45755.0</v>
      </c>
      <c r="B118" s="8" t="s">
        <v>675</v>
      </c>
      <c r="C118" s="8" t="s">
        <v>676</v>
      </c>
      <c r="D118" s="135">
        <v>45754.0</v>
      </c>
      <c r="E118" s="8">
        <v>866136.0</v>
      </c>
      <c r="F118" s="8">
        <v>0.0</v>
      </c>
      <c r="G118" s="8">
        <v>2119537.0</v>
      </c>
      <c r="H118" s="8">
        <f t="shared" si="1"/>
        <v>1253401</v>
      </c>
    </row>
    <row r="119">
      <c r="A119" s="135">
        <v>45756.0</v>
      </c>
      <c r="B119" s="8" t="s">
        <v>675</v>
      </c>
      <c r="C119" s="8" t="s">
        <v>676</v>
      </c>
      <c r="D119" s="135">
        <v>45755.0</v>
      </c>
      <c r="E119" s="8">
        <v>866136.0</v>
      </c>
      <c r="F119" s="8">
        <v>0.0</v>
      </c>
      <c r="G119" s="8">
        <v>1886775.0</v>
      </c>
      <c r="H119" s="8">
        <f t="shared" si="1"/>
        <v>1020639</v>
      </c>
    </row>
    <row r="120">
      <c r="A120" s="135">
        <v>45758.0</v>
      </c>
      <c r="B120" s="8" t="s">
        <v>675</v>
      </c>
      <c r="C120" s="8" t="s">
        <v>676</v>
      </c>
      <c r="D120" s="135">
        <v>45756.0</v>
      </c>
      <c r="E120" s="8">
        <v>866136.0</v>
      </c>
      <c r="F120" s="8">
        <v>0.0</v>
      </c>
      <c r="G120" s="8">
        <v>2010675.0</v>
      </c>
      <c r="H120" s="8">
        <f t="shared" si="1"/>
        <v>1144539</v>
      </c>
    </row>
    <row r="121">
      <c r="A121" s="135">
        <v>45762.0</v>
      </c>
      <c r="B121" s="8" t="s">
        <v>675</v>
      </c>
      <c r="C121" s="8" t="s">
        <v>676</v>
      </c>
      <c r="D121" s="135">
        <v>45758.0</v>
      </c>
      <c r="E121" s="8">
        <v>866136.0</v>
      </c>
      <c r="F121" s="8">
        <v>0.0</v>
      </c>
      <c r="G121" s="8">
        <v>1765987.0</v>
      </c>
      <c r="H121" s="8">
        <f t="shared" si="1"/>
        <v>899851</v>
      </c>
    </row>
    <row r="122">
      <c r="A122" s="135">
        <v>45763.0</v>
      </c>
      <c r="B122" s="8" t="s">
        <v>675</v>
      </c>
      <c r="C122" s="8" t="s">
        <v>676</v>
      </c>
      <c r="D122" s="135">
        <v>45762.0</v>
      </c>
      <c r="E122" s="8">
        <v>866136.0</v>
      </c>
      <c r="F122" s="8">
        <v>0.0</v>
      </c>
      <c r="G122" s="8">
        <v>1479262.0</v>
      </c>
      <c r="H122" s="8">
        <f t="shared" si="1"/>
        <v>613126</v>
      </c>
    </row>
    <row r="123">
      <c r="A123" s="135">
        <v>45764.0</v>
      </c>
      <c r="B123" s="8" t="s">
        <v>675</v>
      </c>
      <c r="C123" s="8" t="s">
        <v>676</v>
      </c>
      <c r="D123" s="135">
        <v>45763.0</v>
      </c>
      <c r="E123" s="8">
        <v>866136.0</v>
      </c>
      <c r="F123" s="8">
        <v>0.0</v>
      </c>
      <c r="G123" s="8">
        <v>1438612.0</v>
      </c>
      <c r="H123" s="8">
        <f t="shared" si="1"/>
        <v>572476</v>
      </c>
    </row>
    <row r="124">
      <c r="A124" s="135">
        <v>45768.0</v>
      </c>
      <c r="B124" s="8" t="s">
        <v>675</v>
      </c>
      <c r="C124" s="8" t="s">
        <v>676</v>
      </c>
      <c r="D124" s="135">
        <v>45764.0</v>
      </c>
      <c r="E124" s="8">
        <v>866136.0</v>
      </c>
      <c r="F124" s="8">
        <v>0.0</v>
      </c>
      <c r="G124" s="8">
        <v>1260375.0</v>
      </c>
      <c r="H124" s="8">
        <f t="shared" si="1"/>
        <v>394239</v>
      </c>
    </row>
    <row r="125">
      <c r="A125" s="135">
        <v>45769.0</v>
      </c>
      <c r="B125" s="8" t="s">
        <v>675</v>
      </c>
      <c r="C125" s="8" t="s">
        <v>676</v>
      </c>
      <c r="D125" s="135">
        <v>45768.0</v>
      </c>
      <c r="E125" s="8">
        <v>866136.0</v>
      </c>
      <c r="F125" s="8">
        <v>0.0</v>
      </c>
      <c r="G125" s="8">
        <v>1132950.0</v>
      </c>
      <c r="H125" s="8">
        <f t="shared" si="1"/>
        <v>266814</v>
      </c>
    </row>
    <row r="126">
      <c r="A126" s="135">
        <v>45770.0</v>
      </c>
      <c r="B126" s="8" t="s">
        <v>675</v>
      </c>
      <c r="C126" s="8" t="s">
        <v>676</v>
      </c>
      <c r="D126" s="135">
        <v>45769.0</v>
      </c>
      <c r="E126" s="8">
        <v>866136.0</v>
      </c>
      <c r="F126" s="8">
        <v>0.0</v>
      </c>
      <c r="G126" s="8">
        <v>1117800.0</v>
      </c>
      <c r="H126" s="8">
        <f t="shared" si="1"/>
        <v>251664</v>
      </c>
    </row>
    <row r="127">
      <c r="A127" s="135">
        <v>45771.0</v>
      </c>
      <c r="B127" s="8" t="s">
        <v>675</v>
      </c>
      <c r="C127" s="8" t="s">
        <v>676</v>
      </c>
      <c r="D127" s="135">
        <v>45770.0</v>
      </c>
      <c r="E127" s="8">
        <v>866136.0</v>
      </c>
      <c r="F127" s="8">
        <v>0.0</v>
      </c>
      <c r="G127" s="8">
        <v>1041712.0</v>
      </c>
      <c r="H127" s="8">
        <f t="shared" si="1"/>
        <v>175576</v>
      </c>
    </row>
    <row r="128">
      <c r="A128" s="135">
        <v>45772.0</v>
      </c>
      <c r="B128" s="8" t="s">
        <v>675</v>
      </c>
      <c r="C128" s="8" t="s">
        <v>676</v>
      </c>
      <c r="D128" s="135">
        <v>45771.0</v>
      </c>
      <c r="E128" s="8">
        <v>866136.0</v>
      </c>
      <c r="F128" s="8">
        <v>0.0</v>
      </c>
      <c r="G128" s="8">
        <v>1063425.0</v>
      </c>
      <c r="H128" s="8">
        <f t="shared" si="1"/>
        <v>197289</v>
      </c>
    </row>
    <row r="129">
      <c r="A129" s="135">
        <v>45775.0</v>
      </c>
      <c r="B129" s="8" t="s">
        <v>675</v>
      </c>
      <c r="C129" s="8" t="s">
        <v>676</v>
      </c>
      <c r="D129" s="135">
        <v>45772.0</v>
      </c>
      <c r="E129" s="8">
        <v>866136.0</v>
      </c>
      <c r="F129" s="8">
        <v>0.0</v>
      </c>
      <c r="G129" s="8">
        <v>1173037.0</v>
      </c>
      <c r="H129" s="8">
        <f t="shared" si="1"/>
        <v>306901</v>
      </c>
    </row>
    <row r="130">
      <c r="A130" s="135">
        <v>45776.0</v>
      </c>
      <c r="B130" s="8" t="s">
        <v>675</v>
      </c>
      <c r="C130" s="8" t="s">
        <v>676</v>
      </c>
      <c r="D130" s="135">
        <v>45775.0</v>
      </c>
      <c r="E130" s="8">
        <v>866136.0</v>
      </c>
      <c r="F130" s="8">
        <v>0.0</v>
      </c>
      <c r="G130" s="8">
        <v>1035300.0</v>
      </c>
      <c r="H130" s="8">
        <f t="shared" si="1"/>
        <v>169164</v>
      </c>
    </row>
    <row r="131">
      <c r="A131" s="135">
        <v>45777.0</v>
      </c>
      <c r="B131" s="8" t="s">
        <v>675</v>
      </c>
      <c r="C131" s="8" t="s">
        <v>676</v>
      </c>
      <c r="D131" s="135">
        <v>45776.0</v>
      </c>
      <c r="E131" s="8">
        <v>866136.0</v>
      </c>
      <c r="F131" s="8">
        <v>0.0</v>
      </c>
      <c r="G131" s="8">
        <v>1020112.0</v>
      </c>
      <c r="H131" s="8">
        <f t="shared" si="1"/>
        <v>153976</v>
      </c>
    </row>
    <row r="132">
      <c r="A132" s="135">
        <v>45779.0</v>
      </c>
      <c r="B132" s="8" t="s">
        <v>675</v>
      </c>
      <c r="C132" s="8" t="s">
        <v>676</v>
      </c>
      <c r="D132" s="135">
        <v>45777.0</v>
      </c>
      <c r="E132" s="8">
        <v>866136.0</v>
      </c>
      <c r="F132" s="8">
        <v>0.0</v>
      </c>
      <c r="G132" s="8">
        <v>1044337.0</v>
      </c>
      <c r="H132" s="8">
        <f t="shared" si="1"/>
        <v>178201</v>
      </c>
    </row>
    <row r="133">
      <c r="A133" s="135">
        <v>45782.0</v>
      </c>
      <c r="B133" s="8" t="s">
        <v>675</v>
      </c>
      <c r="C133" s="8" t="s">
        <v>676</v>
      </c>
      <c r="D133" s="135">
        <v>45779.0</v>
      </c>
      <c r="E133" s="8">
        <v>866136.0</v>
      </c>
      <c r="F133" s="8">
        <v>0.0</v>
      </c>
      <c r="G133" s="8">
        <v>1046962.0</v>
      </c>
      <c r="H133" s="8">
        <f t="shared" si="1"/>
        <v>180826</v>
      </c>
    </row>
    <row r="134">
      <c r="A134" s="135">
        <v>45783.0</v>
      </c>
      <c r="B134" s="8" t="s">
        <v>675</v>
      </c>
      <c r="C134" s="8" t="s">
        <v>676</v>
      </c>
      <c r="D134" s="135">
        <v>45782.0</v>
      </c>
      <c r="E134" s="8">
        <v>866136.0</v>
      </c>
      <c r="F134" s="8">
        <v>0.0</v>
      </c>
      <c r="G134" s="8">
        <v>985837.0</v>
      </c>
      <c r="H134" s="8">
        <f t="shared" si="1"/>
        <v>119701</v>
      </c>
    </row>
    <row r="135">
      <c r="A135" s="135">
        <v>45784.0</v>
      </c>
      <c r="B135" s="8" t="s">
        <v>675</v>
      </c>
      <c r="C135" s="8" t="s">
        <v>676</v>
      </c>
      <c r="D135" s="135">
        <v>45783.0</v>
      </c>
      <c r="E135" s="8">
        <v>866136.0</v>
      </c>
      <c r="F135" s="8">
        <v>0.0</v>
      </c>
      <c r="G135" s="8">
        <v>1056975.0</v>
      </c>
      <c r="H135" s="8">
        <f t="shared" si="1"/>
        <v>190839</v>
      </c>
    </row>
    <row r="136">
      <c r="A136" s="135">
        <v>45785.0</v>
      </c>
      <c r="B136" s="8" t="s">
        <v>675</v>
      </c>
      <c r="C136" s="8" t="s">
        <v>676</v>
      </c>
      <c r="D136" s="135">
        <v>45784.0</v>
      </c>
      <c r="E136" s="8">
        <v>866136.0</v>
      </c>
      <c r="F136" s="8">
        <v>0.0</v>
      </c>
      <c r="G136" s="8">
        <v>1023600.0</v>
      </c>
      <c r="H136" s="8">
        <f t="shared" si="1"/>
        <v>157464</v>
      </c>
    </row>
    <row r="137">
      <c r="A137" s="135">
        <v>45786.0</v>
      </c>
      <c r="B137" s="8" t="s">
        <v>675</v>
      </c>
      <c r="C137" s="8" t="s">
        <v>676</v>
      </c>
      <c r="D137" s="135">
        <v>45785.0</v>
      </c>
      <c r="E137" s="8">
        <v>866136.0</v>
      </c>
      <c r="F137" s="8">
        <v>0.0</v>
      </c>
      <c r="G137" s="8">
        <v>1127625.0</v>
      </c>
      <c r="H137" s="8">
        <f t="shared" si="1"/>
        <v>261489</v>
      </c>
    </row>
    <row r="138">
      <c r="A138" s="135">
        <v>45789.0</v>
      </c>
      <c r="B138" s="8" t="s">
        <v>675</v>
      </c>
      <c r="C138" s="8" t="s">
        <v>676</v>
      </c>
      <c r="D138" s="135">
        <v>45786.0</v>
      </c>
      <c r="E138" s="8">
        <v>866136.0</v>
      </c>
      <c r="F138" s="8">
        <v>0.0</v>
      </c>
      <c r="G138" s="8">
        <v>1196250.0</v>
      </c>
      <c r="H138" s="8">
        <f t="shared" si="1"/>
        <v>330114</v>
      </c>
    </row>
    <row r="139">
      <c r="A139" s="135">
        <v>45790.0</v>
      </c>
      <c r="B139" s="8" t="s">
        <v>675</v>
      </c>
      <c r="C139" s="8" t="s">
        <v>676</v>
      </c>
      <c r="D139" s="135">
        <v>45789.0</v>
      </c>
      <c r="E139" s="8">
        <v>866136.0</v>
      </c>
      <c r="F139" s="8">
        <v>0.0</v>
      </c>
      <c r="G139" s="8">
        <v>803512.0</v>
      </c>
      <c r="H139" s="8">
        <f t="shared" si="1"/>
        <v>-62624</v>
      </c>
    </row>
    <row r="140">
      <c r="A140" s="135">
        <v>45791.0</v>
      </c>
      <c r="B140" s="8" t="s">
        <v>675</v>
      </c>
      <c r="C140" s="8" t="s">
        <v>676</v>
      </c>
      <c r="D140" s="135">
        <v>45790.0</v>
      </c>
      <c r="E140" s="8">
        <v>866136.0</v>
      </c>
      <c r="F140" s="8">
        <v>0.0</v>
      </c>
      <c r="G140" s="8">
        <v>925087.0</v>
      </c>
      <c r="H140" s="8">
        <f t="shared" si="1"/>
        <v>58951</v>
      </c>
    </row>
    <row r="141">
      <c r="A141" s="135">
        <v>45792.0</v>
      </c>
      <c r="B141" s="8" t="s">
        <v>675</v>
      </c>
      <c r="C141" s="8" t="s">
        <v>676</v>
      </c>
      <c r="D141" s="135">
        <v>45791.0</v>
      </c>
      <c r="E141" s="8">
        <v>866136.0</v>
      </c>
      <c r="F141" s="8">
        <v>0.0</v>
      </c>
      <c r="G141" s="8">
        <v>889950.0</v>
      </c>
      <c r="H141" s="8">
        <f t="shared" si="1"/>
        <v>23814</v>
      </c>
    </row>
    <row r="142">
      <c r="A142" s="135">
        <v>45793.0</v>
      </c>
      <c r="B142" s="8" t="s">
        <v>675</v>
      </c>
      <c r="C142" s="8" t="s">
        <v>676</v>
      </c>
      <c r="D142" s="135">
        <v>45792.0</v>
      </c>
      <c r="E142" s="8">
        <v>866136.0</v>
      </c>
      <c r="F142" s="8">
        <v>0.0</v>
      </c>
      <c r="G142" s="8">
        <v>761962.0</v>
      </c>
      <c r="H142" s="8">
        <f t="shared" si="1"/>
        <v>-104174</v>
      </c>
    </row>
    <row r="143">
      <c r="A143" s="135">
        <v>45796.0</v>
      </c>
      <c r="B143" s="8" t="s">
        <v>675</v>
      </c>
      <c r="C143" s="8" t="s">
        <v>676</v>
      </c>
      <c r="D143" s="135">
        <v>45793.0</v>
      </c>
      <c r="E143" s="8">
        <v>866136.0</v>
      </c>
      <c r="F143" s="8">
        <v>0.0</v>
      </c>
      <c r="G143" s="8">
        <v>755512.0</v>
      </c>
      <c r="H143" s="8">
        <f t="shared" si="1"/>
        <v>-110624</v>
      </c>
    </row>
    <row r="144">
      <c r="A144" s="135">
        <v>45797.0</v>
      </c>
      <c r="B144" s="8" t="s">
        <v>675</v>
      </c>
      <c r="C144" s="8" t="s">
        <v>676</v>
      </c>
      <c r="D144" s="135">
        <v>45796.0</v>
      </c>
      <c r="E144" s="8">
        <v>866136.0</v>
      </c>
      <c r="F144" s="8">
        <v>0.0</v>
      </c>
      <c r="G144" s="8">
        <v>801750.0</v>
      </c>
      <c r="H144" s="8">
        <f t="shared" si="1"/>
        <v>-64386</v>
      </c>
    </row>
    <row r="145">
      <c r="A145" s="135">
        <v>45798.0</v>
      </c>
      <c r="B145" s="8" t="s">
        <v>675</v>
      </c>
      <c r="C145" s="8" t="s">
        <v>676</v>
      </c>
      <c r="D145" s="135">
        <v>45797.0</v>
      </c>
      <c r="E145" s="8">
        <v>866136.0</v>
      </c>
      <c r="F145" s="8">
        <v>0.0</v>
      </c>
      <c r="G145" s="8">
        <v>869812.0</v>
      </c>
      <c r="H145" s="8">
        <f t="shared" si="1"/>
        <v>3676</v>
      </c>
    </row>
    <row r="146">
      <c r="A146" s="135">
        <v>45799.0</v>
      </c>
      <c r="B146" s="8" t="s">
        <v>675</v>
      </c>
      <c r="C146" s="8" t="s">
        <v>676</v>
      </c>
      <c r="D146" s="135">
        <v>45798.0</v>
      </c>
      <c r="E146" s="8">
        <v>866136.0</v>
      </c>
      <c r="F146" s="8">
        <v>0.0</v>
      </c>
      <c r="G146" s="8">
        <v>862987.0</v>
      </c>
      <c r="H146" s="8">
        <f t="shared" si="1"/>
        <v>-3149</v>
      </c>
    </row>
    <row r="147">
      <c r="A147" s="135">
        <v>45800.0</v>
      </c>
      <c r="B147" s="8" t="s">
        <v>675</v>
      </c>
      <c r="C147" s="8" t="s">
        <v>676</v>
      </c>
      <c r="D147" s="135">
        <v>45799.0</v>
      </c>
      <c r="E147" s="8">
        <v>866136.0</v>
      </c>
      <c r="F147" s="8">
        <v>0.0</v>
      </c>
      <c r="G147" s="8">
        <v>919162.0</v>
      </c>
      <c r="H147" s="8">
        <f t="shared" si="1"/>
        <v>53026</v>
      </c>
    </row>
    <row r="148">
      <c r="A148" s="135">
        <v>45803.0</v>
      </c>
      <c r="B148" s="8" t="s">
        <v>675</v>
      </c>
      <c r="C148" s="8" t="s">
        <v>676</v>
      </c>
      <c r="D148" s="135">
        <v>45800.0</v>
      </c>
      <c r="E148" s="8">
        <v>866136.0</v>
      </c>
      <c r="F148" s="8">
        <v>0.0</v>
      </c>
      <c r="G148" s="8">
        <v>853050.0</v>
      </c>
      <c r="H148" s="8">
        <f t="shared" si="1"/>
        <v>-13086</v>
      </c>
    </row>
    <row r="149">
      <c r="A149" s="135">
        <v>45804.0</v>
      </c>
      <c r="B149" s="8" t="s">
        <v>675</v>
      </c>
      <c r="C149" s="8" t="s">
        <v>676</v>
      </c>
      <c r="D149" s="135">
        <v>45803.0</v>
      </c>
      <c r="E149" s="8">
        <v>866136.0</v>
      </c>
      <c r="F149" s="8">
        <v>0.0</v>
      </c>
      <c r="G149" s="8">
        <v>813900.0</v>
      </c>
      <c r="H149" s="8">
        <f t="shared" si="1"/>
        <v>-52236</v>
      </c>
    </row>
    <row r="150">
      <c r="A150" s="135">
        <v>45805.0</v>
      </c>
      <c r="B150" s="8" t="s">
        <v>675</v>
      </c>
      <c r="C150" s="8" t="s">
        <v>676</v>
      </c>
      <c r="D150" s="135">
        <v>45804.0</v>
      </c>
      <c r="E150" s="8">
        <v>866136.0</v>
      </c>
      <c r="F150" s="8">
        <v>0.0</v>
      </c>
      <c r="G150" s="8">
        <v>867562.0</v>
      </c>
      <c r="H150" s="8">
        <f t="shared" si="1"/>
        <v>1426</v>
      </c>
    </row>
    <row r="151">
      <c r="A151" s="135">
        <v>45806.0</v>
      </c>
      <c r="B151" s="8" t="s">
        <v>675</v>
      </c>
      <c r="C151" s="8" t="s">
        <v>676</v>
      </c>
      <c r="D151" s="135">
        <v>45805.0</v>
      </c>
      <c r="E151" s="8">
        <v>866136.0</v>
      </c>
      <c r="F151" s="8">
        <v>0.0</v>
      </c>
      <c r="G151" s="8">
        <v>890550.0</v>
      </c>
      <c r="H151" s="8">
        <f t="shared" si="1"/>
        <v>24414</v>
      </c>
    </row>
    <row r="152">
      <c r="A152" s="135">
        <v>45807.0</v>
      </c>
      <c r="B152" s="8" t="s">
        <v>675</v>
      </c>
      <c r="C152" s="8" t="s">
        <v>676</v>
      </c>
      <c r="D152" s="135">
        <v>45806.0</v>
      </c>
      <c r="E152" s="8">
        <v>866136.0</v>
      </c>
      <c r="F152" s="8">
        <v>0.0</v>
      </c>
      <c r="G152" s="8">
        <v>856237.0</v>
      </c>
      <c r="H152" s="8">
        <f t="shared" si="1"/>
        <v>-9899</v>
      </c>
    </row>
    <row r="153">
      <c r="A153" s="135">
        <v>45810.0</v>
      </c>
      <c r="B153" s="8" t="s">
        <v>675</v>
      </c>
      <c r="C153" s="8" t="s">
        <v>676</v>
      </c>
      <c r="D153" s="135">
        <v>45807.0</v>
      </c>
      <c r="E153" s="8">
        <v>866136.0</v>
      </c>
      <c r="F153" s="8">
        <v>0.0</v>
      </c>
      <c r="G153" s="8">
        <v>887587.0</v>
      </c>
      <c r="H153" s="8">
        <f t="shared" si="1"/>
        <v>21451</v>
      </c>
    </row>
    <row r="154">
      <c r="A154" s="135">
        <v>45811.0</v>
      </c>
      <c r="B154" s="8" t="s">
        <v>675</v>
      </c>
      <c r="C154" s="8" t="s">
        <v>676</v>
      </c>
      <c r="D154" s="135">
        <v>45810.0</v>
      </c>
      <c r="E154" s="8">
        <v>866136.0</v>
      </c>
      <c r="F154" s="8">
        <v>0.0</v>
      </c>
      <c r="G154" s="8">
        <v>920662.0</v>
      </c>
      <c r="H154" s="8">
        <f t="shared" si="1"/>
        <v>54526</v>
      </c>
    </row>
    <row r="155">
      <c r="A155" s="135">
        <v>45812.0</v>
      </c>
      <c r="B155" s="8" t="s">
        <v>675</v>
      </c>
      <c r="C155" s="8" t="s">
        <v>676</v>
      </c>
      <c r="D155" s="135">
        <v>45811.0</v>
      </c>
      <c r="E155" s="8">
        <v>866136.0</v>
      </c>
      <c r="F155" s="8">
        <v>0.0</v>
      </c>
      <c r="G155" s="8">
        <v>959362.5</v>
      </c>
      <c r="H155" s="8">
        <f t="shared" si="1"/>
        <v>93226.5</v>
      </c>
    </row>
    <row r="156">
      <c r="A156" s="135">
        <v>45813.0</v>
      </c>
      <c r="B156" s="8" t="s">
        <v>675</v>
      </c>
      <c r="C156" s="8" t="s">
        <v>676</v>
      </c>
      <c r="D156" s="135">
        <v>45812.0</v>
      </c>
      <c r="E156" s="8">
        <v>866136.0</v>
      </c>
      <c r="F156" s="8">
        <v>0.0</v>
      </c>
      <c r="G156" s="8">
        <v>938475.0</v>
      </c>
      <c r="H156" s="8">
        <f t="shared" si="1"/>
        <v>72339</v>
      </c>
    </row>
    <row r="157">
      <c r="A157" s="135">
        <v>45814.0</v>
      </c>
      <c r="B157" s="8" t="s">
        <v>675</v>
      </c>
      <c r="C157" s="8" t="s">
        <v>676</v>
      </c>
      <c r="D157" s="135">
        <v>45813.0</v>
      </c>
      <c r="E157" s="8">
        <v>866136.0</v>
      </c>
      <c r="F157" s="8">
        <v>0.0</v>
      </c>
      <c r="G157" s="8">
        <v>880725.0</v>
      </c>
      <c r="H157" s="8">
        <f t="shared" si="1"/>
        <v>14589</v>
      </c>
    </row>
    <row r="158">
      <c r="A158" s="135">
        <v>45817.0</v>
      </c>
      <c r="B158" s="8" t="s">
        <v>675</v>
      </c>
      <c r="C158" s="8" t="s">
        <v>676</v>
      </c>
      <c r="D158" s="135">
        <v>45814.0</v>
      </c>
      <c r="E158" s="8">
        <v>866136.0</v>
      </c>
      <c r="F158" s="8">
        <v>0.0</v>
      </c>
      <c r="G158" s="8">
        <v>793725.0</v>
      </c>
      <c r="H158" s="8">
        <f t="shared" si="1"/>
        <v>-72411</v>
      </c>
    </row>
    <row r="159">
      <c r="A159" s="135">
        <v>45818.0</v>
      </c>
      <c r="B159" s="8" t="s">
        <v>675</v>
      </c>
      <c r="C159" s="8" t="s">
        <v>676</v>
      </c>
      <c r="D159" s="135">
        <v>45817.0</v>
      </c>
      <c r="E159" s="8">
        <v>866136.0</v>
      </c>
      <c r="F159" s="8">
        <v>0.0</v>
      </c>
      <c r="G159" s="8">
        <v>758512.0</v>
      </c>
      <c r="H159" s="8">
        <f t="shared" si="1"/>
        <v>-107624</v>
      </c>
    </row>
    <row r="160">
      <c r="A160" s="135">
        <v>45819.0</v>
      </c>
      <c r="B160" s="8" t="s">
        <v>675</v>
      </c>
      <c r="C160" s="8" t="s">
        <v>676</v>
      </c>
      <c r="D160" s="135">
        <v>45818.0</v>
      </c>
      <c r="E160" s="8">
        <v>866136.0</v>
      </c>
      <c r="F160" s="8">
        <v>0.0</v>
      </c>
      <c r="G160" s="8">
        <v>762787.0</v>
      </c>
      <c r="H160" s="8">
        <f t="shared" si="1"/>
        <v>-103349</v>
      </c>
    </row>
    <row r="161">
      <c r="A161" s="135">
        <v>45820.0</v>
      </c>
      <c r="B161" s="8" t="s">
        <v>675</v>
      </c>
      <c r="C161" s="8" t="s">
        <v>676</v>
      </c>
      <c r="D161" s="135">
        <v>45819.0</v>
      </c>
      <c r="E161" s="8">
        <v>866136.0</v>
      </c>
      <c r="F161" s="8">
        <v>0.0</v>
      </c>
      <c r="G161" s="8">
        <v>739987.0</v>
      </c>
      <c r="H161" s="8">
        <f t="shared" si="1"/>
        <v>-126149</v>
      </c>
    </row>
    <row r="162">
      <c r="A162" s="135">
        <v>45821.0</v>
      </c>
      <c r="B162" s="8" t="s">
        <v>675</v>
      </c>
      <c r="C162" s="8" t="s">
        <v>676</v>
      </c>
      <c r="D162" s="135">
        <v>45820.0</v>
      </c>
      <c r="E162" s="8">
        <v>866136.0</v>
      </c>
      <c r="F162" s="8">
        <v>0.0</v>
      </c>
      <c r="G162" s="8">
        <v>844350.0</v>
      </c>
      <c r="H162" s="8">
        <f t="shared" si="1"/>
        <v>-21786</v>
      </c>
    </row>
    <row r="163">
      <c r="A163" s="135">
        <v>45824.0</v>
      </c>
      <c r="B163" s="8" t="s">
        <v>675</v>
      </c>
      <c r="C163" s="8" t="s">
        <v>676</v>
      </c>
      <c r="D163" s="135">
        <v>45821.0</v>
      </c>
      <c r="E163" s="8">
        <v>866136.0</v>
      </c>
      <c r="F163" s="8">
        <v>0.0</v>
      </c>
      <c r="G163" s="8">
        <v>924450.0</v>
      </c>
      <c r="H163" s="8">
        <f t="shared" si="1"/>
        <v>58314</v>
      </c>
    </row>
    <row r="164">
      <c r="A164" s="135">
        <v>45825.0</v>
      </c>
      <c r="B164" s="8" t="s">
        <v>675</v>
      </c>
      <c r="C164" s="8" t="s">
        <v>676</v>
      </c>
      <c r="D164" s="135">
        <v>45824.0</v>
      </c>
      <c r="E164" s="8">
        <v>866136.0</v>
      </c>
      <c r="F164" s="8">
        <v>0.0</v>
      </c>
      <c r="G164" s="8">
        <v>818625.0</v>
      </c>
      <c r="H164" s="8">
        <f t="shared" si="1"/>
        <v>-47511</v>
      </c>
    </row>
    <row r="165">
      <c r="A165" s="135">
        <v>45826.0</v>
      </c>
      <c r="B165" s="8" t="s">
        <v>675</v>
      </c>
      <c r="C165" s="8" t="s">
        <v>676</v>
      </c>
      <c r="D165" s="135">
        <v>45825.0</v>
      </c>
      <c r="E165" s="8">
        <v>866136.0</v>
      </c>
      <c r="F165" s="8">
        <v>0.0</v>
      </c>
      <c r="G165" s="8">
        <v>864637.0</v>
      </c>
      <c r="H165" s="8">
        <f t="shared" si="1"/>
        <v>-1499</v>
      </c>
    </row>
    <row r="166">
      <c r="A166" s="135">
        <v>45827.0</v>
      </c>
      <c r="B166" s="8" t="s">
        <v>675</v>
      </c>
      <c r="C166" s="8" t="s">
        <v>676</v>
      </c>
      <c r="D166" s="135">
        <v>45826.0</v>
      </c>
      <c r="E166" s="8">
        <v>866136.0</v>
      </c>
      <c r="F166" s="8">
        <v>0.0</v>
      </c>
      <c r="G166" s="8">
        <v>881662.0</v>
      </c>
      <c r="H166" s="8">
        <f t="shared" si="1"/>
        <v>15526</v>
      </c>
    </row>
    <row r="167">
      <c r="A167" s="135">
        <v>45828.0</v>
      </c>
      <c r="B167" s="8" t="s">
        <v>675</v>
      </c>
      <c r="C167" s="8" t="s">
        <v>676</v>
      </c>
      <c r="D167" s="135">
        <v>45827.0</v>
      </c>
      <c r="E167" s="8">
        <v>866136.0</v>
      </c>
      <c r="F167" s="8">
        <v>0.0</v>
      </c>
      <c r="G167" s="8">
        <v>885112.0</v>
      </c>
      <c r="H167" s="8">
        <f t="shared" si="1"/>
        <v>18976</v>
      </c>
    </row>
    <row r="168">
      <c r="A168" s="135">
        <v>45831.0</v>
      </c>
      <c r="B168" s="8" t="s">
        <v>675</v>
      </c>
      <c r="C168" s="8" t="s">
        <v>676</v>
      </c>
      <c r="D168" s="135">
        <v>45828.0</v>
      </c>
      <c r="E168" s="8">
        <v>866136.0</v>
      </c>
      <c r="F168" s="8">
        <v>0.0</v>
      </c>
      <c r="G168" s="8">
        <v>773062.0</v>
      </c>
      <c r="H168" s="8">
        <f t="shared" si="1"/>
        <v>-93074</v>
      </c>
    </row>
    <row r="169">
      <c r="A169" s="135">
        <v>45832.0</v>
      </c>
      <c r="B169" s="8" t="s">
        <v>675</v>
      </c>
      <c r="C169" s="8" t="s">
        <v>676</v>
      </c>
      <c r="D169" s="135">
        <v>45831.0</v>
      </c>
      <c r="E169" s="8">
        <v>866136.0</v>
      </c>
      <c r="F169" s="8">
        <v>0.0</v>
      </c>
      <c r="G169" s="8">
        <v>804150.0</v>
      </c>
      <c r="H169" s="8">
        <f t="shared" si="1"/>
        <v>-61986</v>
      </c>
    </row>
    <row r="170">
      <c r="A170" s="135">
        <v>45833.0</v>
      </c>
      <c r="B170" s="8" t="s">
        <v>675</v>
      </c>
      <c r="C170" s="8" t="s">
        <v>676</v>
      </c>
      <c r="D170" s="135">
        <v>45832.0</v>
      </c>
      <c r="E170" s="8">
        <v>866136.0</v>
      </c>
      <c r="F170" s="8">
        <v>0.0</v>
      </c>
      <c r="G170" s="8">
        <v>756037.0</v>
      </c>
      <c r="H170" s="8">
        <f t="shared" si="1"/>
        <v>-110099</v>
      </c>
    </row>
    <row r="171">
      <c r="A171" s="135">
        <v>45834.0</v>
      </c>
      <c r="B171" s="8" t="s">
        <v>675</v>
      </c>
      <c r="C171" s="8" t="s">
        <v>676</v>
      </c>
      <c r="D171" s="135">
        <v>45833.0</v>
      </c>
      <c r="E171" s="8">
        <v>866136.0</v>
      </c>
      <c r="F171" s="8">
        <v>0.0</v>
      </c>
      <c r="G171" s="8">
        <v>696750.0</v>
      </c>
      <c r="H171" s="8">
        <f t="shared" si="1"/>
        <v>-169386</v>
      </c>
    </row>
    <row r="172">
      <c r="A172" s="135">
        <v>45835.0</v>
      </c>
      <c r="B172" s="8" t="s">
        <v>675</v>
      </c>
      <c r="C172" s="8" t="s">
        <v>676</v>
      </c>
      <c r="D172" s="135">
        <v>45834.0</v>
      </c>
      <c r="E172" s="8">
        <v>866136.0</v>
      </c>
      <c r="F172" s="8">
        <v>0.0</v>
      </c>
      <c r="G172" s="8">
        <v>601275.0</v>
      </c>
      <c r="H172" s="8">
        <f t="shared" si="1"/>
        <v>-264861</v>
      </c>
    </row>
    <row r="173">
      <c r="A173" s="135">
        <v>45838.0</v>
      </c>
      <c r="B173" s="8" t="s">
        <v>675</v>
      </c>
      <c r="C173" s="8" t="s">
        <v>676</v>
      </c>
      <c r="D173" s="135">
        <v>45835.0</v>
      </c>
      <c r="E173" s="8">
        <v>866136.0</v>
      </c>
      <c r="F173" s="8">
        <v>0.0</v>
      </c>
      <c r="G173" s="8">
        <v>552000.0</v>
      </c>
      <c r="H173" s="8">
        <f t="shared" si="1"/>
        <v>-314136</v>
      </c>
    </row>
    <row r="174">
      <c r="A174" s="135">
        <v>45839.0</v>
      </c>
      <c r="B174" s="8" t="s">
        <v>675</v>
      </c>
      <c r="C174" s="8" t="s">
        <v>676</v>
      </c>
      <c r="D174" s="135">
        <v>45838.0</v>
      </c>
      <c r="E174" s="8">
        <v>866136.0</v>
      </c>
      <c r="F174" s="8">
        <v>0.0</v>
      </c>
      <c r="G174" s="8">
        <v>590287.0</v>
      </c>
      <c r="H174" s="8">
        <f t="shared" si="1"/>
        <v>-275849</v>
      </c>
    </row>
    <row r="175">
      <c r="A175" s="135">
        <v>45840.0</v>
      </c>
      <c r="B175" s="8" t="s">
        <v>675</v>
      </c>
      <c r="C175" s="8" t="s">
        <v>676</v>
      </c>
      <c r="D175" s="135">
        <v>45839.0</v>
      </c>
      <c r="E175" s="8">
        <v>866136.0</v>
      </c>
      <c r="F175" s="8">
        <v>0.0</v>
      </c>
      <c r="G175" s="8">
        <v>573375.0</v>
      </c>
      <c r="H175" s="8">
        <f t="shared" si="1"/>
        <v>-292761</v>
      </c>
    </row>
    <row r="176">
      <c r="A176" s="135">
        <v>45841.0</v>
      </c>
      <c r="B176" s="8" t="s">
        <v>675</v>
      </c>
      <c r="C176" s="8" t="s">
        <v>676</v>
      </c>
      <c r="D176" s="135">
        <v>45840.0</v>
      </c>
      <c r="E176" s="8">
        <v>866136.0</v>
      </c>
      <c r="F176" s="8">
        <v>0.0</v>
      </c>
      <c r="G176" s="8">
        <v>596437.5</v>
      </c>
      <c r="H176" s="8">
        <f t="shared" si="1"/>
        <v>-269698.5</v>
      </c>
    </row>
    <row r="177">
      <c r="A177" s="135">
        <v>45842.0</v>
      </c>
      <c r="B177" s="8" t="s">
        <v>675</v>
      </c>
      <c r="C177" s="8" t="s">
        <v>676</v>
      </c>
      <c r="D177" s="135">
        <v>45841.0</v>
      </c>
      <c r="E177" s="8">
        <v>866136.0</v>
      </c>
      <c r="F177" s="8">
        <v>0.0</v>
      </c>
      <c r="G177" s="8">
        <v>607800.0</v>
      </c>
      <c r="H177" s="8">
        <f t="shared" si="1"/>
        <v>-258336</v>
      </c>
    </row>
    <row r="178">
      <c r="A178" s="135">
        <v>45845.0</v>
      </c>
      <c r="B178" s="8" t="s">
        <v>675</v>
      </c>
      <c r="C178" s="8" t="s">
        <v>676</v>
      </c>
      <c r="D178" s="135">
        <v>45842.0</v>
      </c>
      <c r="E178" s="8">
        <v>866136.0</v>
      </c>
      <c r="F178" s="8">
        <v>0.0</v>
      </c>
      <c r="G178" s="8">
        <v>588787.0</v>
      </c>
      <c r="H178" s="8">
        <f t="shared" si="1"/>
        <v>-277349</v>
      </c>
    </row>
    <row r="179">
      <c r="A179" s="135">
        <v>45846.0</v>
      </c>
      <c r="B179" s="8" t="s">
        <v>675</v>
      </c>
      <c r="C179" s="8" t="s">
        <v>676</v>
      </c>
      <c r="D179" s="135">
        <v>45845.0</v>
      </c>
      <c r="E179" s="8">
        <v>866136.0</v>
      </c>
      <c r="F179" s="8">
        <v>0.0</v>
      </c>
      <c r="G179" s="8">
        <v>586275.0</v>
      </c>
      <c r="H179" s="8">
        <f t="shared" si="1"/>
        <v>-279861</v>
      </c>
    </row>
    <row r="180">
      <c r="A180" s="135">
        <v>45847.0</v>
      </c>
      <c r="B180" s="8" t="s">
        <v>675</v>
      </c>
      <c r="C180" s="8" t="s">
        <v>676</v>
      </c>
      <c r="D180" s="135">
        <v>45846.0</v>
      </c>
      <c r="E180" s="8">
        <v>866136.0</v>
      </c>
      <c r="F180" s="8">
        <v>0.0</v>
      </c>
      <c r="G180" s="8">
        <v>555600.0</v>
      </c>
      <c r="H180" s="8">
        <f t="shared" si="1"/>
        <v>-310536</v>
      </c>
    </row>
    <row r="181">
      <c r="A181" s="135">
        <v>45848.0</v>
      </c>
      <c r="B181" s="8" t="s">
        <v>675</v>
      </c>
      <c r="C181" s="8" t="s">
        <v>676</v>
      </c>
      <c r="D181" s="135">
        <v>45847.0</v>
      </c>
      <c r="E181" s="8">
        <v>866136.0</v>
      </c>
      <c r="F181" s="8">
        <v>0.0</v>
      </c>
      <c r="G181" s="8">
        <v>562237.0</v>
      </c>
      <c r="H181" s="8">
        <f t="shared" si="1"/>
        <v>-303899</v>
      </c>
    </row>
    <row r="182">
      <c r="A182" s="135">
        <v>45849.0</v>
      </c>
      <c r="B182" s="8" t="s">
        <v>675</v>
      </c>
      <c r="C182" s="8" t="s">
        <v>676</v>
      </c>
      <c r="D182" s="135">
        <v>45848.0</v>
      </c>
      <c r="E182" s="8">
        <v>866136.0</v>
      </c>
      <c r="F182" s="8">
        <v>0.0</v>
      </c>
      <c r="G182" s="8">
        <v>590100.0</v>
      </c>
      <c r="H182" s="8">
        <f t="shared" si="1"/>
        <v>-276036</v>
      </c>
    </row>
    <row r="183">
      <c r="A183" s="135">
        <v>45852.0</v>
      </c>
      <c r="B183" s="8" t="s">
        <v>675</v>
      </c>
      <c r="C183" s="8" t="s">
        <v>676</v>
      </c>
      <c r="D183" s="135">
        <v>45849.0</v>
      </c>
      <c r="E183" s="8">
        <v>866136.0</v>
      </c>
      <c r="F183" s="8">
        <v>0.0</v>
      </c>
      <c r="G183" s="8">
        <v>655200.0</v>
      </c>
      <c r="H183" s="8">
        <f t="shared" si="1"/>
        <v>-210936</v>
      </c>
    </row>
    <row r="184">
      <c r="A184" s="135">
        <v>45853.0</v>
      </c>
      <c r="B184" s="8" t="s">
        <v>675</v>
      </c>
      <c r="C184" s="8" t="s">
        <v>676</v>
      </c>
      <c r="D184" s="135">
        <v>45852.0</v>
      </c>
      <c r="E184" s="8">
        <v>866136.0</v>
      </c>
      <c r="F184" s="8">
        <v>0.0</v>
      </c>
      <c r="G184" s="8">
        <v>662962.0</v>
      </c>
      <c r="H184" s="8">
        <f t="shared" si="1"/>
        <v>-203174</v>
      </c>
    </row>
    <row r="185">
      <c r="A185" s="135">
        <v>45854.0</v>
      </c>
      <c r="B185" s="8" t="s">
        <v>675</v>
      </c>
      <c r="C185" s="8" t="s">
        <v>676</v>
      </c>
      <c r="D185" s="135">
        <v>45853.0</v>
      </c>
      <c r="E185" s="8">
        <v>866136.0</v>
      </c>
      <c r="F185" s="8">
        <v>0.0</v>
      </c>
      <c r="G185" s="8">
        <v>625125.0</v>
      </c>
      <c r="H185" s="8">
        <f t="shared" si="1"/>
        <v>-241011</v>
      </c>
    </row>
    <row r="186">
      <c r="A186" s="135">
        <v>45855.0</v>
      </c>
      <c r="B186" s="8" t="s">
        <v>675</v>
      </c>
      <c r="C186" s="8" t="s">
        <v>676</v>
      </c>
      <c r="D186" s="135">
        <v>45854.0</v>
      </c>
      <c r="E186" s="8">
        <v>866136.0</v>
      </c>
      <c r="F186" s="8">
        <v>0.0</v>
      </c>
      <c r="G186" s="8">
        <v>613387.0</v>
      </c>
      <c r="H186" s="8">
        <f t="shared" si="1"/>
        <v>-252749</v>
      </c>
    </row>
    <row r="187">
      <c r="A187" s="135">
        <v>45856.0</v>
      </c>
      <c r="B187" s="8" t="s">
        <v>675</v>
      </c>
      <c r="C187" s="8" t="s">
        <v>676</v>
      </c>
      <c r="D187" s="135">
        <v>45855.0</v>
      </c>
      <c r="E187" s="8">
        <v>866136.0</v>
      </c>
      <c r="F187" s="8">
        <v>0.0</v>
      </c>
      <c r="G187" s="8">
        <v>630412.0</v>
      </c>
      <c r="H187" s="8">
        <f t="shared" si="1"/>
        <v>-235724</v>
      </c>
    </row>
    <row r="188">
      <c r="A188" s="135">
        <v>45859.0</v>
      </c>
      <c r="B188" s="8" t="s">
        <v>675</v>
      </c>
      <c r="C188" s="8" t="s">
        <v>676</v>
      </c>
      <c r="D188" s="135">
        <v>45856.0</v>
      </c>
      <c r="E188" s="8">
        <v>866136.0</v>
      </c>
      <c r="F188" s="8">
        <v>0.0</v>
      </c>
      <c r="G188" s="8">
        <v>690600.0</v>
      </c>
      <c r="H188" s="8">
        <f t="shared" si="1"/>
        <v>-175536</v>
      </c>
    </row>
    <row r="189">
      <c r="A189" s="135">
        <v>45860.0</v>
      </c>
      <c r="B189" s="8" t="s">
        <v>675</v>
      </c>
      <c r="C189" s="8" t="s">
        <v>676</v>
      </c>
      <c r="D189" s="135">
        <v>45859.0</v>
      </c>
      <c r="E189" s="8">
        <v>866136.0</v>
      </c>
      <c r="F189" s="8">
        <v>0.0</v>
      </c>
      <c r="G189" s="8">
        <v>642487.0</v>
      </c>
      <c r="H189" s="8">
        <f t="shared" si="1"/>
        <v>-223649</v>
      </c>
    </row>
    <row r="190">
      <c r="A190" s="135">
        <v>45861.0</v>
      </c>
      <c r="B190" s="8" t="s">
        <v>675</v>
      </c>
      <c r="C190" s="8" t="s">
        <v>676</v>
      </c>
      <c r="D190" s="135">
        <v>45860.0</v>
      </c>
      <c r="E190" s="8">
        <v>866136.0</v>
      </c>
      <c r="F190" s="8">
        <v>0.0</v>
      </c>
      <c r="G190" s="8">
        <v>638700.0</v>
      </c>
      <c r="H190" s="8">
        <f t="shared" si="1"/>
        <v>-227436</v>
      </c>
    </row>
    <row r="191">
      <c r="A191" s="135">
        <v>45862.0</v>
      </c>
      <c r="B191" s="8" t="s">
        <v>675</v>
      </c>
      <c r="C191" s="8" t="s">
        <v>676</v>
      </c>
      <c r="D191" s="135">
        <v>45861.0</v>
      </c>
      <c r="E191" s="8">
        <v>866136.0</v>
      </c>
      <c r="F191" s="8">
        <v>0.0</v>
      </c>
      <c r="G191" s="8">
        <v>574350.0</v>
      </c>
      <c r="H191" s="8">
        <f t="shared" si="1"/>
        <v>-291786</v>
      </c>
    </row>
    <row r="192">
      <c r="A192" s="135">
        <v>45863.0</v>
      </c>
      <c r="B192" s="8" t="s">
        <v>675</v>
      </c>
      <c r="C192" s="8" t="s">
        <v>676</v>
      </c>
      <c r="D192" s="135">
        <v>45862.0</v>
      </c>
      <c r="E192" s="8">
        <v>866136.0</v>
      </c>
      <c r="F192" s="8">
        <v>0.0</v>
      </c>
      <c r="G192" s="8">
        <v>633375.0</v>
      </c>
      <c r="H192" s="8">
        <f t="shared" si="1"/>
        <v>-232761</v>
      </c>
    </row>
    <row r="193">
      <c r="A193" s="135">
        <v>45866.0</v>
      </c>
      <c r="B193" s="8" t="s">
        <v>675</v>
      </c>
      <c r="C193" s="8" t="s">
        <v>676</v>
      </c>
      <c r="D193" s="135">
        <v>45863.0</v>
      </c>
      <c r="E193" s="8">
        <v>866136.0</v>
      </c>
      <c r="F193" s="8">
        <v>0.0</v>
      </c>
      <c r="G193" s="8">
        <v>738450.0</v>
      </c>
      <c r="H193" s="8">
        <f t="shared" si="1"/>
        <v>-127686</v>
      </c>
    </row>
    <row r="194">
      <c r="A194" s="135">
        <v>45867.0</v>
      </c>
      <c r="B194" s="8" t="s">
        <v>675</v>
      </c>
      <c r="C194" s="8" t="s">
        <v>676</v>
      </c>
      <c r="D194" s="135">
        <v>45866.0</v>
      </c>
      <c r="E194" s="8">
        <v>866136.0</v>
      </c>
      <c r="F194" s="8">
        <v>0.0</v>
      </c>
      <c r="G194" s="8">
        <v>808950.0</v>
      </c>
      <c r="H194" s="8">
        <f t="shared" si="1"/>
        <v>-57186</v>
      </c>
    </row>
    <row r="195">
      <c r="A195" s="135">
        <v>45868.0</v>
      </c>
      <c r="B195" s="8" t="s">
        <v>675</v>
      </c>
      <c r="C195" s="8" t="s">
        <v>676</v>
      </c>
      <c r="D195" s="135">
        <v>45867.0</v>
      </c>
      <c r="E195" s="8">
        <v>866136.0</v>
      </c>
      <c r="F195" s="8">
        <v>0.0</v>
      </c>
      <c r="G195" s="8">
        <v>746662.0</v>
      </c>
      <c r="H195" s="8">
        <f t="shared" si="1"/>
        <v>-119474</v>
      </c>
    </row>
    <row r="196">
      <c r="A196" s="135">
        <v>45869.0</v>
      </c>
      <c r="B196" s="8" t="s">
        <v>675</v>
      </c>
      <c r="C196" s="8" t="s">
        <v>676</v>
      </c>
      <c r="D196" s="135">
        <v>45868.0</v>
      </c>
      <c r="E196" s="8">
        <v>866136.0</v>
      </c>
      <c r="F196" s="8">
        <v>0.0</v>
      </c>
      <c r="G196" s="8">
        <v>730987.0</v>
      </c>
      <c r="H196" s="8">
        <f t="shared" si="1"/>
        <v>-135149</v>
      </c>
    </row>
    <row r="197">
      <c r="A197" s="135">
        <v>45870.0</v>
      </c>
      <c r="B197" s="8" t="s">
        <v>675</v>
      </c>
      <c r="C197" s="8" t="s">
        <v>676</v>
      </c>
      <c r="D197" s="135">
        <v>45869.0</v>
      </c>
      <c r="E197" s="8">
        <v>866136.0</v>
      </c>
      <c r="F197" s="8">
        <v>0.0</v>
      </c>
      <c r="G197" s="8">
        <v>767437.0</v>
      </c>
      <c r="H197" s="8">
        <f t="shared" si="1"/>
        <v>-98699</v>
      </c>
    </row>
    <row r="198">
      <c r="A198" s="135">
        <v>45873.0</v>
      </c>
      <c r="B198" s="8" t="s">
        <v>675</v>
      </c>
      <c r="C198" s="8" t="s">
        <v>676</v>
      </c>
      <c r="D198" s="135">
        <v>45870.0</v>
      </c>
      <c r="E198" s="8">
        <v>866136.0</v>
      </c>
      <c r="F198" s="8">
        <v>0.0</v>
      </c>
      <c r="G198" s="8">
        <v>880500.0</v>
      </c>
      <c r="H198" s="8">
        <f t="shared" si="1"/>
        <v>14364</v>
      </c>
    </row>
    <row r="199">
      <c r="A199" s="135">
        <v>45874.0</v>
      </c>
      <c r="B199" s="8" t="s">
        <v>675</v>
      </c>
      <c r="C199" s="8" t="s">
        <v>676</v>
      </c>
      <c r="D199" s="135">
        <v>45873.0</v>
      </c>
      <c r="E199" s="8">
        <v>866136.0</v>
      </c>
      <c r="F199" s="8">
        <v>0.0</v>
      </c>
      <c r="G199" s="8">
        <v>806400.0</v>
      </c>
      <c r="H199" s="8">
        <f t="shared" si="1"/>
        <v>-59736</v>
      </c>
    </row>
    <row r="200">
      <c r="A200" s="135">
        <v>45875.0</v>
      </c>
      <c r="B200" s="8" t="s">
        <v>675</v>
      </c>
      <c r="C200" s="8" t="s">
        <v>676</v>
      </c>
      <c r="D200" s="135">
        <v>45874.0</v>
      </c>
      <c r="E200" s="8">
        <v>866136.0</v>
      </c>
      <c r="F200" s="8">
        <v>0.0</v>
      </c>
      <c r="G200" s="8">
        <v>839850.0</v>
      </c>
      <c r="H200" s="8">
        <f t="shared" si="1"/>
        <v>-26286</v>
      </c>
    </row>
    <row r="201">
      <c r="A201" s="135">
        <v>45876.0</v>
      </c>
      <c r="B201" s="8" t="s">
        <v>675</v>
      </c>
      <c r="C201" s="8" t="s">
        <v>676</v>
      </c>
      <c r="D201" s="135">
        <v>45875.0</v>
      </c>
      <c r="E201" s="8">
        <v>866136.0</v>
      </c>
      <c r="F201" s="8">
        <v>0.0</v>
      </c>
      <c r="G201" s="8">
        <v>885300.0</v>
      </c>
      <c r="H201" s="8">
        <f t="shared" si="1"/>
        <v>19164</v>
      </c>
    </row>
    <row r="202">
      <c r="A202" s="135">
        <v>45877.0</v>
      </c>
      <c r="B202" s="8" t="s">
        <v>675</v>
      </c>
      <c r="C202" s="8" t="s">
        <v>676</v>
      </c>
      <c r="D202" s="135">
        <v>45876.0</v>
      </c>
      <c r="E202" s="8">
        <v>866136.0</v>
      </c>
      <c r="F202" s="8">
        <v>0.0</v>
      </c>
      <c r="G202" s="8">
        <v>849900.0</v>
      </c>
      <c r="H202" s="8">
        <f t="shared" si="1"/>
        <v>-16236</v>
      </c>
    </row>
    <row r="203">
      <c r="A203" s="135">
        <v>45880.0</v>
      </c>
      <c r="B203" s="8" t="s">
        <v>675</v>
      </c>
      <c r="C203" s="8" t="s">
        <v>676</v>
      </c>
      <c r="D203" s="135">
        <v>45877.0</v>
      </c>
      <c r="E203" s="8">
        <v>866136.0</v>
      </c>
      <c r="F203" s="8">
        <v>0.0</v>
      </c>
      <c r="G203" s="8">
        <v>969562.0</v>
      </c>
      <c r="H203" s="8">
        <f t="shared" si="1"/>
        <v>103426</v>
      </c>
    </row>
    <row r="204">
      <c r="A204" s="135">
        <v>45881.0</v>
      </c>
      <c r="B204" s="8" t="s">
        <v>675</v>
      </c>
      <c r="C204" s="8" t="s">
        <v>676</v>
      </c>
      <c r="D204" s="135">
        <v>45880.0</v>
      </c>
      <c r="E204" s="8">
        <v>866136.0</v>
      </c>
      <c r="F204" s="8">
        <v>0.0</v>
      </c>
      <c r="G204" s="8">
        <v>881175.0</v>
      </c>
      <c r="H204" s="8">
        <f t="shared" si="1"/>
        <v>15039</v>
      </c>
    </row>
    <row r="205">
      <c r="A205" s="135">
        <v>45882.0</v>
      </c>
      <c r="B205" s="8" t="s">
        <v>675</v>
      </c>
      <c r="C205" s="8" t="s">
        <v>676</v>
      </c>
      <c r="D205" s="135">
        <v>45881.0</v>
      </c>
      <c r="E205" s="8">
        <v>866136.0</v>
      </c>
      <c r="F205" s="8">
        <v>0.0</v>
      </c>
      <c r="G205" s="8">
        <v>914400.0</v>
      </c>
      <c r="H205" s="8">
        <f t="shared" si="1"/>
        <v>48264</v>
      </c>
    </row>
    <row r="206">
      <c r="A206" s="135">
        <v>45883.0</v>
      </c>
      <c r="B206" s="8" t="s">
        <v>675</v>
      </c>
      <c r="C206" s="8" t="s">
        <v>676</v>
      </c>
      <c r="D206" s="135">
        <v>45882.0</v>
      </c>
      <c r="E206" s="8">
        <v>866136.0</v>
      </c>
      <c r="F206" s="8">
        <v>0.0</v>
      </c>
      <c r="G206" s="8">
        <v>833625.0</v>
      </c>
      <c r="H206" s="8">
        <f t="shared" si="1"/>
        <v>-32511</v>
      </c>
    </row>
    <row r="207">
      <c r="A207" s="135">
        <v>45887.0</v>
      </c>
      <c r="B207" s="8" t="s">
        <v>675</v>
      </c>
      <c r="C207" s="8" t="s">
        <v>676</v>
      </c>
      <c r="D207" s="135">
        <v>45883.0</v>
      </c>
      <c r="E207" s="8">
        <v>866136.0</v>
      </c>
      <c r="F207" s="8">
        <v>0.0</v>
      </c>
      <c r="G207" s="8">
        <v>851512.0</v>
      </c>
      <c r="H207" s="8">
        <f t="shared" si="1"/>
        <v>-14624</v>
      </c>
    </row>
    <row r="208">
      <c r="A208" s="135">
        <v>45888.0</v>
      </c>
      <c r="B208" s="8" t="s">
        <v>675</v>
      </c>
      <c r="C208" s="8" t="s">
        <v>676</v>
      </c>
      <c r="D208" s="135">
        <v>45887.0</v>
      </c>
      <c r="E208" s="8">
        <v>866136.0</v>
      </c>
      <c r="F208" s="8">
        <v>0.0</v>
      </c>
      <c r="G208" s="8">
        <v>710175.0</v>
      </c>
      <c r="H208" s="8">
        <f t="shared" si="1"/>
        <v>-155961</v>
      </c>
    </row>
    <row r="209">
      <c r="A209" s="135">
        <v>45889.0</v>
      </c>
      <c r="B209" s="8" t="s">
        <v>675</v>
      </c>
      <c r="C209" s="8" t="s">
        <v>676</v>
      </c>
      <c r="D209" s="135">
        <v>45888.0</v>
      </c>
      <c r="E209" s="8">
        <v>866136.0</v>
      </c>
      <c r="F209" s="8">
        <v>0.0</v>
      </c>
      <c r="G209" s="8">
        <v>675225.0</v>
      </c>
      <c r="H209" s="8">
        <f t="shared" si="1"/>
        <v>-190911</v>
      </c>
    </row>
    <row r="210">
      <c r="A210" s="135">
        <v>45890.0</v>
      </c>
      <c r="B210" s="8" t="s">
        <v>675</v>
      </c>
      <c r="C210" s="8" t="s">
        <v>676</v>
      </c>
      <c r="D210" s="135">
        <v>45889.0</v>
      </c>
      <c r="E210" s="8">
        <v>866136.0</v>
      </c>
      <c r="F210" s="8">
        <v>0.0</v>
      </c>
      <c r="G210" s="8">
        <v>646462.0</v>
      </c>
      <c r="H210" s="8">
        <f t="shared" si="1"/>
        <v>-219674</v>
      </c>
    </row>
    <row r="211">
      <c r="A211" s="135">
        <v>45891.0</v>
      </c>
      <c r="B211" s="8" t="s">
        <v>675</v>
      </c>
      <c r="C211" s="8" t="s">
        <v>676</v>
      </c>
      <c r="D211" s="135">
        <v>45890.0</v>
      </c>
      <c r="E211" s="8">
        <v>866136.0</v>
      </c>
      <c r="F211" s="8">
        <v>0.0</v>
      </c>
      <c r="G211" s="8">
        <v>622275.0</v>
      </c>
      <c r="H211" s="8">
        <f t="shared" si="1"/>
        <v>-243861</v>
      </c>
    </row>
    <row r="212">
      <c r="A212" s="135">
        <v>45894.0</v>
      </c>
      <c r="B212" s="8" t="s">
        <v>675</v>
      </c>
      <c r="C212" s="8" t="s">
        <v>676</v>
      </c>
      <c r="D212" s="135">
        <v>45891.0</v>
      </c>
      <c r="E212" s="8">
        <v>866136.0</v>
      </c>
      <c r="F212" s="8">
        <v>0.0</v>
      </c>
      <c r="G212" s="8">
        <v>726862.0</v>
      </c>
      <c r="H212" s="8">
        <f t="shared" si="1"/>
        <v>-139274</v>
      </c>
    </row>
    <row r="213">
      <c r="A213" s="135">
        <v>45895.0</v>
      </c>
      <c r="B213" s="8" t="s">
        <v>675</v>
      </c>
      <c r="C213" s="8" t="s">
        <v>676</v>
      </c>
      <c r="D213" s="135">
        <v>45894.0</v>
      </c>
      <c r="E213" s="8">
        <v>866136.0</v>
      </c>
      <c r="F213" s="8">
        <v>0.0</v>
      </c>
      <c r="G213" s="8">
        <v>677962.0</v>
      </c>
      <c r="H213" s="8">
        <f t="shared" si="1"/>
        <v>-188174</v>
      </c>
    </row>
    <row r="214">
      <c r="A214" s="135">
        <v>45897.0</v>
      </c>
      <c r="B214" s="8" t="s">
        <v>675</v>
      </c>
      <c r="C214" s="8" t="s">
        <v>676</v>
      </c>
      <c r="D214" s="135">
        <v>45895.0</v>
      </c>
      <c r="E214" s="8">
        <v>866136.0</v>
      </c>
      <c r="F214" s="8">
        <v>0.0</v>
      </c>
      <c r="G214" s="8">
        <v>807787.0</v>
      </c>
      <c r="H214" s="8">
        <f t="shared" si="1"/>
        <v>-58349</v>
      </c>
    </row>
    <row r="215">
      <c r="A215" s="135">
        <v>45898.0</v>
      </c>
      <c r="B215" s="8" t="s">
        <v>675</v>
      </c>
      <c r="C215" s="8" t="s">
        <v>676</v>
      </c>
      <c r="D215" s="135">
        <v>45897.0</v>
      </c>
      <c r="E215" s="8">
        <v>866136.0</v>
      </c>
      <c r="F215" s="8">
        <v>0.0</v>
      </c>
      <c r="G215" s="8">
        <v>915300.0</v>
      </c>
      <c r="H215" s="8">
        <f t="shared" si="1"/>
        <v>49164</v>
      </c>
    </row>
    <row r="216">
      <c r="A216" s="135">
        <v>45901.0</v>
      </c>
      <c r="B216" s="8" t="s">
        <v>675</v>
      </c>
      <c r="C216" s="8" t="s">
        <v>676</v>
      </c>
      <c r="D216" s="135">
        <v>45898.0</v>
      </c>
      <c r="E216" s="8">
        <v>866136.0</v>
      </c>
      <c r="F216" s="8">
        <v>0.0</v>
      </c>
      <c r="G216" s="8">
        <v>960900.0</v>
      </c>
      <c r="H216" s="8">
        <f t="shared" si="1"/>
        <v>94764</v>
      </c>
    </row>
    <row r="217">
      <c r="A217" s="135">
        <v>45902.0</v>
      </c>
      <c r="B217" s="8" t="s">
        <v>675</v>
      </c>
      <c r="C217" s="8" t="s">
        <v>676</v>
      </c>
      <c r="D217" s="135">
        <v>45901.0</v>
      </c>
      <c r="E217" s="8">
        <v>866136.0</v>
      </c>
      <c r="F217" s="8">
        <v>0.0</v>
      </c>
      <c r="G217" s="8">
        <v>840562.0</v>
      </c>
      <c r="H217" s="8">
        <f t="shared" si="1"/>
        <v>-25574</v>
      </c>
    </row>
    <row r="218">
      <c r="A218" s="135">
        <v>45903.0</v>
      </c>
      <c r="B218" s="8" t="s">
        <v>675</v>
      </c>
      <c r="C218" s="8" t="s">
        <v>676</v>
      </c>
      <c r="D218" s="135">
        <v>45902.0</v>
      </c>
      <c r="E218" s="8">
        <v>866136.0</v>
      </c>
      <c r="F218" s="8">
        <v>0.0</v>
      </c>
      <c r="G218" s="8">
        <v>871537.5</v>
      </c>
      <c r="H218" s="8">
        <f t="shared" si="1"/>
        <v>5401.5</v>
      </c>
    </row>
    <row r="219">
      <c r="A219" s="135">
        <v>45904.0</v>
      </c>
      <c r="B219" s="8" t="s">
        <v>675</v>
      </c>
      <c r="C219" s="8" t="s">
        <v>676</v>
      </c>
      <c r="D219" s="135">
        <v>45903.0</v>
      </c>
      <c r="E219" s="8">
        <v>866136.0</v>
      </c>
      <c r="F219" s="8">
        <v>0.0</v>
      </c>
      <c r="G219" s="8">
        <v>804112.5</v>
      </c>
      <c r="H219" s="8">
        <f t="shared" si="1"/>
        <v>-62023.5</v>
      </c>
    </row>
    <row r="220">
      <c r="A220" s="135">
        <v>45909.0</v>
      </c>
      <c r="B220" s="8" t="s">
        <v>675</v>
      </c>
      <c r="C220" s="8" t="s">
        <v>676</v>
      </c>
      <c r="D220" s="135">
        <v>45904.0</v>
      </c>
      <c r="E220" s="8">
        <v>866136.0</v>
      </c>
      <c r="F220" s="8">
        <v>0.0</v>
      </c>
      <c r="G220" s="8">
        <v>794700.0</v>
      </c>
      <c r="H220" s="8">
        <f t="shared" si="1"/>
        <v>-71436</v>
      </c>
    </row>
    <row r="221">
      <c r="A221" s="135">
        <v>45909.0</v>
      </c>
      <c r="B221" s="8" t="s">
        <v>675</v>
      </c>
      <c r="C221" s="8" t="s">
        <v>676</v>
      </c>
      <c r="D221" s="135">
        <v>45905.0</v>
      </c>
      <c r="E221" s="8">
        <v>866136.0</v>
      </c>
      <c r="F221" s="8">
        <v>0.0</v>
      </c>
      <c r="G221" s="8">
        <v>776700.0</v>
      </c>
      <c r="H221" s="8">
        <f t="shared" si="1"/>
        <v>-89436</v>
      </c>
    </row>
    <row r="222">
      <c r="A222" s="135">
        <v>45909.0</v>
      </c>
      <c r="B222" s="8" t="s">
        <v>675</v>
      </c>
      <c r="C222" s="8" t="s">
        <v>676</v>
      </c>
      <c r="D222" s="135">
        <v>45908.0</v>
      </c>
      <c r="E222" s="8">
        <v>866136.0</v>
      </c>
      <c r="F222" s="8">
        <v>0.0</v>
      </c>
      <c r="G222" s="8">
        <v>749212.0</v>
      </c>
      <c r="H222" s="8">
        <f t="shared" si="1"/>
        <v>-116924</v>
      </c>
    </row>
    <row r="223">
      <c r="A223" s="135">
        <v>45910.0</v>
      </c>
      <c r="B223" s="8" t="s">
        <v>675</v>
      </c>
      <c r="C223" s="8" t="s">
        <v>676</v>
      </c>
      <c r="D223" s="135">
        <v>45909.0</v>
      </c>
      <c r="E223" s="8">
        <v>866136.0</v>
      </c>
      <c r="F223" s="8">
        <v>0.0</v>
      </c>
      <c r="G223" s="8">
        <v>713212.0</v>
      </c>
      <c r="H223" s="8">
        <f t="shared" si="1"/>
        <v>-152924</v>
      </c>
    </row>
    <row r="224">
      <c r="A224" s="135">
        <v>45911.0</v>
      </c>
      <c r="B224" s="8" t="s">
        <v>675</v>
      </c>
      <c r="C224" s="8" t="s">
        <v>676</v>
      </c>
      <c r="D224" s="135">
        <v>45910.0</v>
      </c>
      <c r="E224" s="8">
        <v>866136.0</v>
      </c>
      <c r="F224" s="8">
        <v>0.0</v>
      </c>
      <c r="G224" s="8">
        <v>649987.0</v>
      </c>
      <c r="H224" s="8">
        <f t="shared" si="1"/>
        <v>-216149</v>
      </c>
    </row>
    <row r="225">
      <c r="A225" s="135">
        <v>45912.0</v>
      </c>
      <c r="B225" s="8" t="s">
        <v>675</v>
      </c>
      <c r="C225" s="8" t="s">
        <v>676</v>
      </c>
      <c r="D225" s="135">
        <v>45911.0</v>
      </c>
      <c r="E225" s="8">
        <v>866136.0</v>
      </c>
      <c r="F225" s="8">
        <v>0.0</v>
      </c>
      <c r="G225" s="8">
        <v>630675.0</v>
      </c>
      <c r="H225" s="8">
        <f t="shared" si="1"/>
        <v>-235461</v>
      </c>
    </row>
    <row r="226">
      <c r="A226" s="135">
        <v>45915.0</v>
      </c>
      <c r="B226" s="8" t="s">
        <v>675</v>
      </c>
      <c r="C226" s="8" t="s">
        <v>676</v>
      </c>
      <c r="D226" s="135">
        <v>45912.0</v>
      </c>
      <c r="E226" s="8">
        <v>866136.0</v>
      </c>
      <c r="F226" s="8">
        <v>0.0</v>
      </c>
      <c r="G226" s="8">
        <v>580687.0</v>
      </c>
      <c r="H226" s="8">
        <f t="shared" si="1"/>
        <v>-285449</v>
      </c>
    </row>
    <row r="227">
      <c r="A227" s="135">
        <v>45916.0</v>
      </c>
      <c r="B227" s="8" t="s">
        <v>675</v>
      </c>
      <c r="C227" s="8" t="s">
        <v>676</v>
      </c>
      <c r="D227" s="135">
        <v>45915.0</v>
      </c>
      <c r="E227" s="8">
        <v>866136.0</v>
      </c>
      <c r="F227" s="8">
        <v>0.0</v>
      </c>
      <c r="G227" s="8">
        <v>597375.0</v>
      </c>
      <c r="H227" s="8">
        <f t="shared" si="1"/>
        <v>-268761</v>
      </c>
    </row>
    <row r="228">
      <c r="A228" s="135">
        <v>45917.0</v>
      </c>
      <c r="B228" s="8" t="s">
        <v>675</v>
      </c>
      <c r="C228" s="8" t="s">
        <v>676</v>
      </c>
      <c r="D228" s="135">
        <v>45916.0</v>
      </c>
      <c r="E228" s="8">
        <v>866136.0</v>
      </c>
      <c r="F228" s="8">
        <v>0.0</v>
      </c>
      <c r="G228" s="8">
        <v>514875.0</v>
      </c>
      <c r="H228" s="8">
        <f t="shared" si="1"/>
        <v>-351261</v>
      </c>
    </row>
    <row r="229">
      <c r="A229" s="135">
        <v>45918.0</v>
      </c>
      <c r="B229" s="8" t="s">
        <v>675</v>
      </c>
      <c r="C229" s="8" t="s">
        <v>676</v>
      </c>
      <c r="D229" s="135">
        <v>45917.0</v>
      </c>
      <c r="E229" s="8">
        <v>866136.0</v>
      </c>
      <c r="F229" s="8">
        <v>0.0</v>
      </c>
      <c r="G229" s="8">
        <v>479475.0</v>
      </c>
      <c r="H229" s="8">
        <f t="shared" si="1"/>
        <v>-386661</v>
      </c>
    </row>
    <row r="230">
      <c r="A230" s="135">
        <v>45919.0</v>
      </c>
      <c r="B230" s="8" t="s">
        <v>675</v>
      </c>
      <c r="C230" s="8" t="s">
        <v>676</v>
      </c>
      <c r="D230" s="135">
        <v>45918.0</v>
      </c>
      <c r="E230" s="8">
        <v>866136.0</v>
      </c>
      <c r="F230" s="8">
        <v>0.0</v>
      </c>
      <c r="G230" s="8">
        <v>438075.0</v>
      </c>
      <c r="H230" s="8">
        <f t="shared" si="1"/>
        <v>-428061</v>
      </c>
    </row>
    <row r="231">
      <c r="A231" s="135">
        <v>45922.0</v>
      </c>
      <c r="B231" s="8" t="s">
        <v>675</v>
      </c>
      <c r="C231" s="8" t="s">
        <v>676</v>
      </c>
      <c r="D231" s="135">
        <v>45919.0</v>
      </c>
      <c r="E231" s="8">
        <v>866136.0</v>
      </c>
      <c r="F231" s="8">
        <v>0.0</v>
      </c>
      <c r="G231" s="8">
        <v>482737.0</v>
      </c>
      <c r="H231" s="8">
        <f t="shared" si="1"/>
        <v>-383399</v>
      </c>
    </row>
    <row r="232">
      <c r="A232" s="135">
        <v>45923.0</v>
      </c>
      <c r="B232" s="8" t="s">
        <v>675</v>
      </c>
      <c r="C232" s="8" t="s">
        <v>676</v>
      </c>
      <c r="D232" s="135">
        <v>45922.0</v>
      </c>
      <c r="E232" s="8">
        <v>866136.0</v>
      </c>
      <c r="F232" s="8">
        <v>0.0</v>
      </c>
      <c r="G232" s="8">
        <v>537187.0</v>
      </c>
      <c r="H232" s="8">
        <f t="shared" si="1"/>
        <v>-328949</v>
      </c>
    </row>
    <row r="233">
      <c r="A233" s="135">
        <v>45924.0</v>
      </c>
      <c r="B233" s="8" t="s">
        <v>675</v>
      </c>
      <c r="C233" s="8" t="s">
        <v>676</v>
      </c>
      <c r="D233" s="135">
        <v>45923.0</v>
      </c>
      <c r="E233" s="8">
        <v>866136.0</v>
      </c>
      <c r="F233" s="8">
        <v>0.0</v>
      </c>
      <c r="G233" s="8">
        <v>537600.0</v>
      </c>
      <c r="H233" s="8">
        <f t="shared" si="1"/>
        <v>-328536</v>
      </c>
    </row>
    <row r="234">
      <c r="A234" s="135">
        <v>45925.0</v>
      </c>
      <c r="B234" s="8" t="s">
        <v>675</v>
      </c>
      <c r="C234" s="8" t="s">
        <v>676</v>
      </c>
      <c r="D234" s="135">
        <v>45924.0</v>
      </c>
      <c r="E234" s="8">
        <v>866136.0</v>
      </c>
      <c r="F234" s="8">
        <v>0.0</v>
      </c>
      <c r="G234" s="8">
        <v>594225.0</v>
      </c>
      <c r="H234" s="8">
        <f t="shared" si="1"/>
        <v>-271911</v>
      </c>
    </row>
    <row r="235">
      <c r="A235" s="135">
        <v>45926.0</v>
      </c>
      <c r="B235" s="8" t="s">
        <v>675</v>
      </c>
      <c r="C235" s="8" t="s">
        <v>676</v>
      </c>
      <c r="D235" s="135">
        <v>45925.0</v>
      </c>
      <c r="E235" s="8">
        <v>866136.0</v>
      </c>
      <c r="F235" s="8">
        <v>0.0</v>
      </c>
      <c r="G235" s="8">
        <v>659400.0</v>
      </c>
      <c r="H235" s="8">
        <f t="shared" si="1"/>
        <v>-206736</v>
      </c>
    </row>
    <row r="236">
      <c r="A236" s="135">
        <v>45929.0</v>
      </c>
      <c r="B236" s="8" t="s">
        <v>675</v>
      </c>
      <c r="C236" s="8" t="s">
        <v>676</v>
      </c>
      <c r="D236" s="135">
        <v>45926.0</v>
      </c>
      <c r="E236" s="8">
        <v>866136.0</v>
      </c>
      <c r="F236" s="8">
        <v>0.0</v>
      </c>
      <c r="G236" s="8">
        <v>810150.0</v>
      </c>
      <c r="H236" s="8">
        <f t="shared" si="1"/>
        <v>-55986</v>
      </c>
    </row>
    <row r="237">
      <c r="A237" s="135">
        <v>45930.0</v>
      </c>
      <c r="B237" s="8" t="s">
        <v>675</v>
      </c>
      <c r="C237" s="8" t="s">
        <v>676</v>
      </c>
      <c r="D237" s="135">
        <v>45929.0</v>
      </c>
      <c r="E237" s="8">
        <v>866136.0</v>
      </c>
      <c r="F237" s="8">
        <v>0.0</v>
      </c>
      <c r="G237" s="8">
        <v>806287.0</v>
      </c>
      <c r="H237" s="8">
        <f t="shared" si="1"/>
        <v>-59849</v>
      </c>
    </row>
    <row r="238">
      <c r="A238" s="135">
        <v>45931.0</v>
      </c>
      <c r="B238" s="8" t="s">
        <v>675</v>
      </c>
      <c r="C238" s="8" t="s">
        <v>676</v>
      </c>
      <c r="D238" s="135">
        <v>45930.0</v>
      </c>
      <c r="E238" s="8">
        <v>866136.0</v>
      </c>
      <c r="F238" s="8">
        <v>0.0</v>
      </c>
      <c r="G238" s="8">
        <v>816862.0</v>
      </c>
      <c r="H238" s="8">
        <f t="shared" si="1"/>
        <v>-49274</v>
      </c>
    </row>
    <row r="239">
      <c r="A239" s="135">
        <v>45933.0</v>
      </c>
      <c r="B239" s="8" t="s">
        <v>675</v>
      </c>
      <c r="C239" s="8" t="s">
        <v>676</v>
      </c>
      <c r="D239" s="135">
        <v>45931.0</v>
      </c>
      <c r="E239" s="8">
        <v>866136.0</v>
      </c>
      <c r="F239" s="8">
        <v>0.0</v>
      </c>
      <c r="G239" s="8">
        <v>708675.0</v>
      </c>
      <c r="H239" s="8">
        <f t="shared" si="1"/>
        <v>-157461</v>
      </c>
    </row>
    <row r="240">
      <c r="A240" s="135">
        <v>45936.0</v>
      </c>
      <c r="B240" s="8" t="s">
        <v>675</v>
      </c>
      <c r="C240" s="8" t="s">
        <v>676</v>
      </c>
      <c r="D240" s="135">
        <v>45933.0</v>
      </c>
      <c r="E240" s="8">
        <v>866136.0</v>
      </c>
      <c r="F240" s="8">
        <v>0.0</v>
      </c>
      <c r="G240" s="8">
        <v>677437.0</v>
      </c>
      <c r="H240" s="8">
        <f t="shared" si="1"/>
        <v>-188699</v>
      </c>
    </row>
    <row r="241">
      <c r="A241" s="135">
        <v>45937.0</v>
      </c>
      <c r="B241" s="8" t="s">
        <v>675</v>
      </c>
      <c r="C241" s="8" t="s">
        <v>676</v>
      </c>
      <c r="D241" s="135">
        <v>45936.0</v>
      </c>
      <c r="E241" s="8">
        <v>866136.0</v>
      </c>
      <c r="F241" s="8">
        <v>0.0</v>
      </c>
      <c r="G241" s="8">
        <v>579525.0</v>
      </c>
      <c r="H241" s="8">
        <f t="shared" si="1"/>
        <v>-286611</v>
      </c>
    </row>
    <row r="242">
      <c r="A242" s="135">
        <v>45938.0</v>
      </c>
      <c r="B242" s="8" t="s">
        <v>675</v>
      </c>
      <c r="C242" s="8" t="s">
        <v>676</v>
      </c>
      <c r="D242" s="135">
        <v>45937.0</v>
      </c>
      <c r="E242" s="8">
        <v>866136.0</v>
      </c>
      <c r="F242" s="8">
        <v>0.0</v>
      </c>
      <c r="G242" s="8">
        <v>555487.0</v>
      </c>
      <c r="H242" s="8">
        <f t="shared" si="1"/>
        <v>-310649</v>
      </c>
    </row>
    <row r="243">
      <c r="A243" s="135">
        <v>45939.0</v>
      </c>
      <c r="B243" s="8" t="s">
        <v>675</v>
      </c>
      <c r="C243" s="8" t="s">
        <v>676</v>
      </c>
      <c r="D243" s="135">
        <v>45938.0</v>
      </c>
      <c r="E243" s="8">
        <v>866136.0</v>
      </c>
      <c r="F243" s="8">
        <v>0.0</v>
      </c>
      <c r="G243" s="8">
        <v>612637.0</v>
      </c>
      <c r="H243" s="8">
        <f t="shared" si="1"/>
        <v>-253499</v>
      </c>
    </row>
    <row r="244">
      <c r="A244" s="135">
        <v>45940.0</v>
      </c>
      <c r="B244" s="8" t="s">
        <v>675</v>
      </c>
      <c r="C244" s="8" t="s">
        <v>676</v>
      </c>
      <c r="D244" s="135">
        <v>45939.0</v>
      </c>
      <c r="E244" s="8">
        <v>866136.0</v>
      </c>
      <c r="F244" s="8">
        <v>0.0</v>
      </c>
      <c r="G244" s="8">
        <v>535875.0</v>
      </c>
      <c r="H244" s="8">
        <f t="shared" si="1"/>
        <v>-330261</v>
      </c>
    </row>
    <row r="245">
      <c r="A245" s="135">
        <v>45943.0</v>
      </c>
      <c r="B245" s="8" t="s">
        <v>675</v>
      </c>
      <c r="C245" s="8" t="s">
        <v>676</v>
      </c>
      <c r="D245" s="135">
        <v>45940.0</v>
      </c>
      <c r="E245" s="8">
        <v>866136.0</v>
      </c>
      <c r="F245" s="8">
        <v>0.0</v>
      </c>
      <c r="G245" s="8">
        <v>470850.0</v>
      </c>
      <c r="H245" s="8">
        <f t="shared" si="1"/>
        <v>-395286</v>
      </c>
    </row>
    <row r="246">
      <c r="A246" s="135">
        <v>45944.0</v>
      </c>
      <c r="B246" s="8" t="s">
        <v>675</v>
      </c>
      <c r="C246" s="8" t="s">
        <v>676</v>
      </c>
      <c r="D246" s="135">
        <v>45943.0</v>
      </c>
      <c r="E246" s="8">
        <v>866136.0</v>
      </c>
      <c r="F246" s="8">
        <v>0.0</v>
      </c>
      <c r="G246" s="8">
        <v>515662.0</v>
      </c>
      <c r="H246" s="8">
        <f t="shared" si="1"/>
        <v>-350474</v>
      </c>
    </row>
    <row r="247">
      <c r="A247" s="135">
        <v>45945.0</v>
      </c>
      <c r="B247" s="8" t="s">
        <v>675</v>
      </c>
      <c r="C247" s="8" t="s">
        <v>676</v>
      </c>
      <c r="D247" s="135">
        <v>45944.0</v>
      </c>
      <c r="E247" s="8">
        <v>866136.0</v>
      </c>
      <c r="F247" s="8">
        <v>0.0</v>
      </c>
      <c r="G247" s="8">
        <v>566400.0</v>
      </c>
      <c r="H247" s="8">
        <f t="shared" si="1"/>
        <v>-299736</v>
      </c>
    </row>
    <row r="248">
      <c r="A248" s="135">
        <v>45946.0</v>
      </c>
      <c r="B248" s="8" t="s">
        <v>675</v>
      </c>
      <c r="C248" s="8" t="s">
        <v>676</v>
      </c>
      <c r="D248" s="135">
        <v>45945.0</v>
      </c>
      <c r="E248" s="8">
        <v>866136.0</v>
      </c>
      <c r="F248" s="8">
        <v>0.0</v>
      </c>
      <c r="G248" s="8">
        <v>458175.0</v>
      </c>
      <c r="H248" s="8">
        <f t="shared" si="1"/>
        <v>-407961</v>
      </c>
    </row>
    <row r="249">
      <c r="A249" s="135">
        <v>45947.0</v>
      </c>
      <c r="B249" s="8" t="s">
        <v>675</v>
      </c>
      <c r="C249" s="8" t="s">
        <v>676</v>
      </c>
      <c r="D249" s="135">
        <v>45946.0</v>
      </c>
      <c r="E249" s="8">
        <v>866136.0</v>
      </c>
      <c r="F249" s="8">
        <v>151121.0</v>
      </c>
      <c r="G249" s="8">
        <v>227070.0</v>
      </c>
      <c r="H249" s="8">
        <f t="shared" si="1"/>
        <v>-487945</v>
      </c>
    </row>
    <row r="250">
      <c r="A250" s="135">
        <v>45950.0</v>
      </c>
      <c r="B250" s="8" t="s">
        <v>675</v>
      </c>
      <c r="C250" s="8" t="s">
        <v>676</v>
      </c>
      <c r="D250" s="135">
        <v>45947.0</v>
      </c>
      <c r="E250" s="8">
        <v>866136.0</v>
      </c>
      <c r="F250" s="8">
        <v>151121.0</v>
      </c>
      <c r="G250" s="8">
        <v>218407.0</v>
      </c>
      <c r="H250" s="8">
        <f t="shared" si="1"/>
        <v>-496608</v>
      </c>
    </row>
    <row r="251">
      <c r="A251" s="135">
        <v>45953.0</v>
      </c>
      <c r="B251" s="8" t="s">
        <v>675</v>
      </c>
      <c r="C251" s="8" t="s">
        <v>676</v>
      </c>
      <c r="D251" s="135">
        <v>45950.0</v>
      </c>
      <c r="E251" s="8">
        <v>866136.0</v>
      </c>
      <c r="F251" s="8">
        <v>151121.0</v>
      </c>
      <c r="G251" s="8">
        <v>177660.0</v>
      </c>
      <c r="H251" s="8">
        <f t="shared" si="1"/>
        <v>-537355</v>
      </c>
    </row>
    <row r="252">
      <c r="A252" s="135">
        <v>45953.0</v>
      </c>
      <c r="B252" s="8" t="s">
        <v>675</v>
      </c>
      <c r="C252" s="8" t="s">
        <v>676</v>
      </c>
      <c r="D252" s="135">
        <v>45951.0</v>
      </c>
      <c r="E252" s="8">
        <v>866136.0</v>
      </c>
      <c r="F252" s="8">
        <v>151121.0</v>
      </c>
      <c r="G252" s="8">
        <v>177052.0</v>
      </c>
      <c r="H252" s="8">
        <f t="shared" si="1"/>
        <v>-537963</v>
      </c>
    </row>
    <row r="253">
      <c r="A253" s="135">
        <v>45954.0</v>
      </c>
      <c r="B253" s="8" t="s">
        <v>675</v>
      </c>
      <c r="C253" s="8" t="s">
        <v>676</v>
      </c>
      <c r="D253" s="135">
        <v>45953.0</v>
      </c>
      <c r="E253" s="8">
        <v>866136.0</v>
      </c>
      <c r="F253" s="8">
        <v>151121.0</v>
      </c>
      <c r="G253" s="8">
        <v>163642.0</v>
      </c>
      <c r="H253" s="8">
        <f t="shared" si="1"/>
        <v>-551373</v>
      </c>
    </row>
    <row r="254">
      <c r="A254" s="135">
        <v>45957.0</v>
      </c>
      <c r="B254" s="8" t="s">
        <v>675</v>
      </c>
      <c r="C254" s="8" t="s">
        <v>676</v>
      </c>
      <c r="D254" s="135">
        <v>45954.0</v>
      </c>
      <c r="E254" s="8">
        <v>866136.0</v>
      </c>
      <c r="F254" s="8">
        <v>151121.0</v>
      </c>
      <c r="G254" s="8">
        <v>189067.5</v>
      </c>
      <c r="H254" s="8">
        <f t="shared" si="1"/>
        <v>-525947.5</v>
      </c>
    </row>
    <row r="255">
      <c r="A255" s="135">
        <v>45958.0</v>
      </c>
      <c r="B255" s="8" t="s">
        <v>675</v>
      </c>
      <c r="C255" s="8" t="s">
        <v>676</v>
      </c>
      <c r="D255" s="135">
        <v>45957.0</v>
      </c>
      <c r="E255" s="8">
        <v>866136.0</v>
      </c>
      <c r="F255" s="8">
        <v>151121.0</v>
      </c>
      <c r="G255" s="8">
        <v>149265.0</v>
      </c>
      <c r="H255" s="8">
        <f t="shared" si="1"/>
        <v>-565750</v>
      </c>
    </row>
    <row r="256">
      <c r="A256" s="135">
        <v>45959.0</v>
      </c>
      <c r="B256" s="8" t="s">
        <v>675</v>
      </c>
      <c r="C256" s="8" t="s">
        <v>676</v>
      </c>
      <c r="D256" s="135">
        <v>45958.0</v>
      </c>
      <c r="E256" s="8">
        <v>866136.0</v>
      </c>
      <c r="F256" s="8">
        <v>151121.0</v>
      </c>
      <c r="G256" s="8">
        <v>159795.0</v>
      </c>
      <c r="H256" s="8">
        <f t="shared" si="1"/>
        <v>-555220</v>
      </c>
    </row>
    <row r="257">
      <c r="A257" s="135">
        <v>45960.0</v>
      </c>
      <c r="B257" s="8" t="s">
        <v>675</v>
      </c>
      <c r="C257" s="8" t="s">
        <v>676</v>
      </c>
      <c r="D257" s="135">
        <v>45959.0</v>
      </c>
      <c r="E257" s="8">
        <v>866136.0</v>
      </c>
      <c r="F257" s="8">
        <v>151121.0</v>
      </c>
      <c r="G257" s="8">
        <v>134212.0</v>
      </c>
      <c r="H257" s="8">
        <f t="shared" si="1"/>
        <v>-580803</v>
      </c>
    </row>
    <row r="258">
      <c r="A258" s="135">
        <v>45961.0</v>
      </c>
      <c r="B258" s="8" t="s">
        <v>675</v>
      </c>
      <c r="C258" s="8" t="s">
        <v>676</v>
      </c>
      <c r="D258" s="135">
        <v>45960.0</v>
      </c>
      <c r="E258" s="8">
        <v>866136.0</v>
      </c>
      <c r="F258" s="8">
        <v>151121.0</v>
      </c>
      <c r="G258" s="8">
        <v>162900.0</v>
      </c>
      <c r="H258" s="8">
        <f t="shared" si="1"/>
        <v>-552115</v>
      </c>
    </row>
    <row r="259">
      <c r="A259" s="135">
        <v>45964.0</v>
      </c>
      <c r="B259" s="8" t="s">
        <v>675</v>
      </c>
      <c r="C259" s="8" t="s">
        <v>676</v>
      </c>
      <c r="D259" s="135">
        <v>45961.0</v>
      </c>
      <c r="E259" s="8">
        <v>866136.0</v>
      </c>
      <c r="F259" s="8">
        <v>151121.0</v>
      </c>
      <c r="G259" s="8">
        <v>183667.0</v>
      </c>
      <c r="H259" s="8">
        <f t="shared" si="1"/>
        <v>-531348</v>
      </c>
    </row>
    <row r="260">
      <c r="A260" s="135">
        <v>45965.0</v>
      </c>
      <c r="B260" s="8" t="s">
        <v>675</v>
      </c>
      <c r="C260" s="8" t="s">
        <v>676</v>
      </c>
      <c r="D260" s="135">
        <v>45964.0</v>
      </c>
      <c r="E260" s="8">
        <v>866136.0</v>
      </c>
      <c r="F260" s="8">
        <v>151121.0</v>
      </c>
      <c r="G260" s="8">
        <v>183622.0</v>
      </c>
      <c r="H260" s="8">
        <f t="shared" si="1"/>
        <v>-531393</v>
      </c>
    </row>
    <row r="261">
      <c r="A261" s="135">
        <v>45967.0</v>
      </c>
      <c r="B261" s="8" t="s">
        <v>675</v>
      </c>
      <c r="C261" s="8" t="s">
        <v>676</v>
      </c>
      <c r="D261" s="135">
        <v>45965.0</v>
      </c>
      <c r="E261" s="8">
        <v>866136.0</v>
      </c>
      <c r="F261" s="8">
        <v>151121.0</v>
      </c>
      <c r="G261" s="8">
        <v>219847.0</v>
      </c>
      <c r="H261" s="8">
        <f t="shared" si="1"/>
        <v>-495168</v>
      </c>
    </row>
    <row r="262">
      <c r="A262" s="59">
        <v>45968.0</v>
      </c>
      <c r="B262" s="8" t="s">
        <v>692</v>
      </c>
      <c r="C262" s="8" t="s">
        <v>693</v>
      </c>
      <c r="D262" s="59">
        <v>45967.0</v>
      </c>
      <c r="E262" s="8">
        <v>897940.98</v>
      </c>
      <c r="F262" s="8">
        <v>151121.0</v>
      </c>
      <c r="G262" s="8">
        <v>258885.0</v>
      </c>
      <c r="H262" s="8">
        <f t="shared" si="1"/>
        <v>-487934.98</v>
      </c>
    </row>
    <row r="263">
      <c r="A263" s="59">
        <v>45971.0</v>
      </c>
      <c r="B263" s="8" t="s">
        <v>692</v>
      </c>
      <c r="C263" s="8" t="s">
        <v>693</v>
      </c>
      <c r="D263" s="59">
        <v>45968.0</v>
      </c>
      <c r="E263" s="8">
        <v>897940.98</v>
      </c>
      <c r="F263" s="8">
        <v>151121.0</v>
      </c>
      <c r="G263" s="8">
        <v>267210.0</v>
      </c>
      <c r="H263" s="8">
        <f t="shared" si="1"/>
        <v>-479609.98</v>
      </c>
    </row>
    <row r="264">
      <c r="A264" s="59">
        <v>45972.0</v>
      </c>
      <c r="B264" s="8" t="s">
        <v>692</v>
      </c>
      <c r="C264" s="8" t="s">
        <v>693</v>
      </c>
      <c r="D264" s="59">
        <v>45971.0</v>
      </c>
      <c r="E264" s="8">
        <v>897940.98</v>
      </c>
      <c r="F264" s="8">
        <v>151121.0</v>
      </c>
      <c r="G264" s="8">
        <v>248782.0</v>
      </c>
      <c r="H264" s="8">
        <f t="shared" si="1"/>
        <v>-498037.98</v>
      </c>
    </row>
    <row r="265">
      <c r="A265" s="59">
        <v>45973.0</v>
      </c>
      <c r="B265" s="8" t="s">
        <v>692</v>
      </c>
      <c r="C265" s="8" t="s">
        <v>693</v>
      </c>
      <c r="D265" s="59">
        <v>45972.0</v>
      </c>
      <c r="E265" s="8">
        <v>897940.98</v>
      </c>
      <c r="F265" s="8">
        <v>151121.0</v>
      </c>
      <c r="G265" s="8">
        <v>232627.0</v>
      </c>
      <c r="H265" s="8">
        <f t="shared" si="1"/>
        <v>-514192.98</v>
      </c>
    </row>
    <row r="266">
      <c r="A266" s="59">
        <v>45974.0</v>
      </c>
      <c r="B266" s="8" t="s">
        <v>692</v>
      </c>
      <c r="C266" s="8" t="s">
        <v>693</v>
      </c>
      <c r="D266" s="59">
        <v>45973.0</v>
      </c>
      <c r="E266" s="8">
        <v>897940.98</v>
      </c>
      <c r="F266" s="8">
        <v>151121.0</v>
      </c>
      <c r="G266" s="8">
        <v>204682.0</v>
      </c>
      <c r="H266" s="8">
        <f t="shared" si="1"/>
        <v>-542137.98</v>
      </c>
    </row>
    <row r="267">
      <c r="A267" s="59">
        <v>45975.0</v>
      </c>
      <c r="B267" s="8" t="s">
        <v>692</v>
      </c>
      <c r="C267" s="8" t="s">
        <v>693</v>
      </c>
      <c r="D267" s="59">
        <v>45974.0</v>
      </c>
      <c r="E267" s="8">
        <v>897940.98</v>
      </c>
      <c r="F267" s="8">
        <v>151121.0</v>
      </c>
      <c r="G267" s="8">
        <v>209947.0</v>
      </c>
      <c r="H267" s="8">
        <f t="shared" si="1"/>
        <v>-536872.98</v>
      </c>
    </row>
    <row r="268">
      <c r="A268" s="59">
        <v>45978.0</v>
      </c>
      <c r="B268" s="8" t="s">
        <v>692</v>
      </c>
      <c r="C268" s="8" t="s">
        <v>693</v>
      </c>
      <c r="D268" s="59">
        <v>45975.0</v>
      </c>
      <c r="E268" s="8">
        <v>897940.98</v>
      </c>
      <c r="F268" s="8">
        <v>151121.0</v>
      </c>
      <c r="G268" s="8">
        <v>208890.0</v>
      </c>
      <c r="H268" s="8">
        <f t="shared" si="1"/>
        <v>-537929.98</v>
      </c>
    </row>
    <row r="269">
      <c r="A269" s="59">
        <v>45979.0</v>
      </c>
      <c r="B269" s="8" t="s">
        <v>692</v>
      </c>
      <c r="C269" s="8" t="s">
        <v>693</v>
      </c>
      <c r="D269" s="59">
        <v>45978.0</v>
      </c>
      <c r="E269" s="8">
        <v>897940.98</v>
      </c>
      <c r="F269" s="8">
        <v>151121.0</v>
      </c>
      <c r="G269" s="8">
        <v>192645.0</v>
      </c>
      <c r="H269" s="8">
        <f t="shared" si="1"/>
        <v>-554174.98</v>
      </c>
    </row>
    <row r="270">
      <c r="A270" s="59">
        <v>45980.0</v>
      </c>
      <c r="B270" s="8" t="s">
        <v>692</v>
      </c>
      <c r="C270" s="8" t="s">
        <v>693</v>
      </c>
      <c r="D270" s="59">
        <v>45979.0</v>
      </c>
      <c r="E270" s="8">
        <v>897940.98</v>
      </c>
      <c r="F270" s="8">
        <v>151121.0</v>
      </c>
      <c r="G270" s="8">
        <v>207585.0</v>
      </c>
      <c r="H270" s="8">
        <f t="shared" si="1"/>
        <v>-539234.98</v>
      </c>
    </row>
    <row r="271">
      <c r="A271" s="59">
        <v>45981.0</v>
      </c>
      <c r="B271" s="8" t="s">
        <v>692</v>
      </c>
      <c r="C271" s="8" t="s">
        <v>693</v>
      </c>
      <c r="D271" s="59">
        <v>45980.0</v>
      </c>
      <c r="E271" s="8">
        <v>897940.98</v>
      </c>
      <c r="F271" s="8">
        <v>151121.0</v>
      </c>
      <c r="G271" s="8">
        <v>193230.0</v>
      </c>
      <c r="H271" s="8">
        <f t="shared" si="1"/>
        <v>-553589.98</v>
      </c>
    </row>
    <row r="272">
      <c r="A272" s="59">
        <v>45982.0</v>
      </c>
      <c r="B272" s="8" t="s">
        <v>692</v>
      </c>
      <c r="C272" s="8" t="s">
        <v>693</v>
      </c>
      <c r="D272" s="59">
        <v>45981.0</v>
      </c>
      <c r="E272" s="8">
        <v>897940.98</v>
      </c>
      <c r="F272" s="8">
        <v>151121.0</v>
      </c>
      <c r="G272" s="8">
        <v>171832.0</v>
      </c>
      <c r="H272" s="8">
        <f t="shared" si="1"/>
        <v>-574987.98</v>
      </c>
    </row>
    <row r="273">
      <c r="A273" s="59">
        <v>45985.0</v>
      </c>
      <c r="B273" s="8" t="s">
        <v>692</v>
      </c>
      <c r="C273" s="8" t="s">
        <v>693</v>
      </c>
      <c r="D273" s="59">
        <v>45982.0</v>
      </c>
      <c r="E273" s="8">
        <v>897940.98</v>
      </c>
      <c r="F273" s="8">
        <v>151121.0</v>
      </c>
      <c r="G273" s="8">
        <v>192510.0</v>
      </c>
      <c r="H273" s="8">
        <f t="shared" si="1"/>
        <v>-554309.98</v>
      </c>
    </row>
    <row r="274">
      <c r="A274" s="59">
        <v>45986.0</v>
      </c>
      <c r="B274" s="8" t="s">
        <v>692</v>
      </c>
      <c r="C274" s="8" t="s">
        <v>693</v>
      </c>
      <c r="D274" s="59">
        <v>45985.0</v>
      </c>
      <c r="E274" s="8">
        <v>897940.98</v>
      </c>
      <c r="F274" s="8">
        <v>151121.0</v>
      </c>
      <c r="G274" s="8">
        <v>200497.0</v>
      </c>
      <c r="H274" s="8">
        <f t="shared" si="1"/>
        <v>-546322.98</v>
      </c>
    </row>
    <row r="275">
      <c r="A275" s="59">
        <v>45987.0</v>
      </c>
      <c r="B275" s="8" t="s">
        <v>692</v>
      </c>
      <c r="C275" s="8" t="s">
        <v>693</v>
      </c>
      <c r="D275" s="59">
        <v>45986.0</v>
      </c>
      <c r="E275" s="8">
        <v>897940.98</v>
      </c>
      <c r="F275" s="8">
        <v>151121.0</v>
      </c>
      <c r="G275" s="8">
        <v>209317.0</v>
      </c>
      <c r="H275" s="8">
        <f t="shared" si="1"/>
        <v>-537502.98</v>
      </c>
    </row>
    <row r="276">
      <c r="A276" s="59">
        <v>45988.0</v>
      </c>
      <c r="B276" s="8" t="s">
        <v>692</v>
      </c>
      <c r="C276" s="8" t="s">
        <v>693</v>
      </c>
      <c r="D276" s="59">
        <v>45987.0</v>
      </c>
      <c r="E276" s="8">
        <v>897940.98</v>
      </c>
      <c r="F276" s="8">
        <v>151121.0</v>
      </c>
      <c r="G276" s="8">
        <v>169177.0</v>
      </c>
      <c r="H276" s="8">
        <f t="shared" si="1"/>
        <v>-577642.98</v>
      </c>
    </row>
    <row r="277">
      <c r="A277" s="59">
        <v>45989.0</v>
      </c>
      <c r="B277" s="8" t="s">
        <v>692</v>
      </c>
      <c r="C277" s="8" t="s">
        <v>693</v>
      </c>
      <c r="D277" s="59">
        <v>45988.0</v>
      </c>
      <c r="E277" s="8">
        <v>897940.98</v>
      </c>
      <c r="F277" s="8">
        <v>151121.0</v>
      </c>
      <c r="G277" s="8">
        <v>161482.0</v>
      </c>
      <c r="H277" s="8">
        <f t="shared" si="1"/>
        <v>-585337.98</v>
      </c>
    </row>
    <row r="278">
      <c r="A278" s="59">
        <v>45992.0</v>
      </c>
      <c r="B278" s="8" t="s">
        <v>692</v>
      </c>
      <c r="C278" s="8" t="s">
        <v>693</v>
      </c>
      <c r="D278" s="59">
        <v>45989.0</v>
      </c>
      <c r="E278" s="8">
        <v>897940.98</v>
      </c>
      <c r="F278" s="8">
        <v>151121.0</v>
      </c>
      <c r="G278" s="8">
        <v>158422.0</v>
      </c>
      <c r="H278" s="8">
        <f t="shared" si="1"/>
        <v>-588397.98</v>
      </c>
    </row>
    <row r="279">
      <c r="A279" s="59">
        <v>45993.0</v>
      </c>
      <c r="B279" s="8" t="s">
        <v>692</v>
      </c>
      <c r="C279" s="8" t="s">
        <v>693</v>
      </c>
      <c r="D279" s="59">
        <v>45992.0</v>
      </c>
      <c r="E279" s="8">
        <v>897940.98</v>
      </c>
      <c r="F279" s="8">
        <v>151121.0</v>
      </c>
      <c r="G279" s="8">
        <v>161977.0</v>
      </c>
      <c r="H279" s="8">
        <f t="shared" si="1"/>
        <v>-584842.98</v>
      </c>
    </row>
    <row r="280">
      <c r="A280" s="59">
        <v>45994.0</v>
      </c>
      <c r="B280" s="8" t="s">
        <v>692</v>
      </c>
      <c r="C280" s="8" t="s">
        <v>693</v>
      </c>
      <c r="D280" s="59">
        <v>45993.0</v>
      </c>
      <c r="E280" s="8">
        <v>897940.98</v>
      </c>
      <c r="F280" s="8">
        <v>151121.0</v>
      </c>
      <c r="G280" s="8">
        <v>171675.0</v>
      </c>
      <c r="H280" s="8">
        <f t="shared" si="1"/>
        <v>-575144.98</v>
      </c>
    </row>
    <row r="281">
      <c r="A281" s="59">
        <v>45995.0</v>
      </c>
      <c r="B281" s="8" t="s">
        <v>692</v>
      </c>
      <c r="C281" s="8" t="s">
        <v>693</v>
      </c>
      <c r="D281" s="59">
        <v>45994.0</v>
      </c>
      <c r="E281" s="8">
        <v>897940.98</v>
      </c>
      <c r="F281" s="8">
        <v>151121.0</v>
      </c>
      <c r="G281" s="8">
        <v>177952.0</v>
      </c>
      <c r="H281" s="8">
        <f t="shared" si="1"/>
        <v>-568867.98</v>
      </c>
    </row>
    <row r="282">
      <c r="A282" s="59">
        <v>45996.0</v>
      </c>
      <c r="B282" s="8" t="s">
        <v>692</v>
      </c>
      <c r="C282" s="8" t="s">
        <v>693</v>
      </c>
      <c r="D282" s="59">
        <v>45995.0</v>
      </c>
      <c r="E282" s="8">
        <v>897940.98</v>
      </c>
      <c r="F282" s="8">
        <v>151121.0</v>
      </c>
      <c r="G282" s="8">
        <v>170122.0</v>
      </c>
      <c r="H282" s="8">
        <f t="shared" si="1"/>
        <v>-576697.98</v>
      </c>
    </row>
    <row r="283">
      <c r="A283" s="59">
        <v>45999.0</v>
      </c>
      <c r="B283" s="8" t="s">
        <v>692</v>
      </c>
      <c r="C283" s="8" t="s">
        <v>693</v>
      </c>
      <c r="D283" s="59">
        <v>45996.0</v>
      </c>
      <c r="E283" s="8">
        <v>897940.98</v>
      </c>
      <c r="F283" s="8">
        <v>151121.0</v>
      </c>
      <c r="G283" s="8">
        <v>146700.0</v>
      </c>
      <c r="H283" s="8">
        <f t="shared" si="1"/>
        <v>-600119.98</v>
      </c>
    </row>
    <row r="284">
      <c r="A284" s="59">
        <v>46000.0</v>
      </c>
      <c r="B284" s="8" t="s">
        <v>692</v>
      </c>
      <c r="C284" s="8" t="s">
        <v>693</v>
      </c>
      <c r="D284" s="59">
        <v>45999.0</v>
      </c>
      <c r="E284" s="8">
        <v>897940.98</v>
      </c>
      <c r="F284" s="8">
        <v>151121.0</v>
      </c>
      <c r="G284" s="8">
        <v>181125.0</v>
      </c>
      <c r="H284" s="8">
        <f t="shared" si="1"/>
        <v>-565694.98</v>
      </c>
    </row>
    <row r="285">
      <c r="A285" s="59">
        <v>46001.0</v>
      </c>
      <c r="B285" s="8" t="s">
        <v>692</v>
      </c>
      <c r="C285" s="8" t="s">
        <v>693</v>
      </c>
      <c r="D285" s="59">
        <v>46000.0</v>
      </c>
      <c r="E285" s="8">
        <v>897940.98</v>
      </c>
      <c r="F285" s="8">
        <v>151121.0</v>
      </c>
      <c r="G285" s="8">
        <v>190147.0</v>
      </c>
      <c r="H285" s="8">
        <f t="shared" si="1"/>
        <v>-556672.98</v>
      </c>
    </row>
    <row r="286">
      <c r="A286" s="59">
        <v>46002.0</v>
      </c>
      <c r="B286" s="8" t="s">
        <v>692</v>
      </c>
      <c r="C286" s="8" t="s">
        <v>693</v>
      </c>
      <c r="D286" s="59">
        <v>46001.0</v>
      </c>
      <c r="E286" s="8">
        <v>897940.98</v>
      </c>
      <c r="F286" s="8">
        <v>151121.0</v>
      </c>
      <c r="G286" s="8">
        <v>203895.0</v>
      </c>
      <c r="H286" s="8">
        <f t="shared" si="1"/>
        <v>-542924.98</v>
      </c>
    </row>
    <row r="287">
      <c r="A287" s="59">
        <v>46003.0</v>
      </c>
      <c r="B287" s="8" t="s">
        <v>692</v>
      </c>
      <c r="C287" s="8" t="s">
        <v>693</v>
      </c>
      <c r="D287" s="59">
        <v>46002.0</v>
      </c>
      <c r="E287" s="8">
        <v>897940.98</v>
      </c>
      <c r="F287" s="8">
        <v>151121.0</v>
      </c>
      <c r="G287" s="8">
        <v>179235.0</v>
      </c>
      <c r="H287" s="8">
        <f t="shared" si="1"/>
        <v>-567584.98</v>
      </c>
    </row>
    <row r="288">
      <c r="A288" s="59">
        <v>46006.0</v>
      </c>
      <c r="B288" s="8" t="s">
        <v>692</v>
      </c>
      <c r="C288" s="8" t="s">
        <v>693</v>
      </c>
      <c r="D288" s="59">
        <v>46003.0</v>
      </c>
      <c r="E288" s="8">
        <v>897940.98</v>
      </c>
      <c r="F288" s="8">
        <v>151121.0</v>
      </c>
      <c r="G288" s="8">
        <v>156307.0</v>
      </c>
      <c r="H288" s="8">
        <f t="shared" si="1"/>
        <v>-590512.98</v>
      </c>
    </row>
    <row r="289">
      <c r="A289" s="59">
        <v>46007.0</v>
      </c>
      <c r="B289" s="8" t="s">
        <v>692</v>
      </c>
      <c r="C289" s="8" t="s">
        <v>693</v>
      </c>
      <c r="D289" s="59">
        <v>46006.0</v>
      </c>
      <c r="E289" s="8">
        <v>897940.98</v>
      </c>
      <c r="F289" s="8">
        <v>151121.0</v>
      </c>
      <c r="G289" s="8">
        <v>158490.0</v>
      </c>
      <c r="H289" s="8">
        <f t="shared" si="1"/>
        <v>-588329.98</v>
      </c>
    </row>
    <row r="290">
      <c r="A290" s="59">
        <v>46008.0</v>
      </c>
      <c r="B290" s="8" t="s">
        <v>692</v>
      </c>
      <c r="C290" s="8" t="s">
        <v>693</v>
      </c>
      <c r="D290" s="59">
        <v>46007.0</v>
      </c>
      <c r="E290" s="8">
        <v>897940.98</v>
      </c>
      <c r="F290" s="8">
        <v>151121.0</v>
      </c>
      <c r="G290" s="8">
        <v>178965.0</v>
      </c>
      <c r="H290" s="8">
        <f t="shared" si="1"/>
        <v>-567854.98</v>
      </c>
    </row>
    <row r="291">
      <c r="A291" s="59">
        <v>46009.0</v>
      </c>
      <c r="B291" s="8" t="s">
        <v>692</v>
      </c>
      <c r="C291" s="8" t="s">
        <v>693</v>
      </c>
      <c r="D291" s="59">
        <v>46008.0</v>
      </c>
      <c r="E291" s="8">
        <v>897940.98</v>
      </c>
      <c r="F291" s="8">
        <v>151121.0</v>
      </c>
      <c r="G291" s="8">
        <v>181800.0</v>
      </c>
      <c r="H291" s="8">
        <f t="shared" si="1"/>
        <v>-565019.98</v>
      </c>
    </row>
    <row r="292">
      <c r="A292" s="59">
        <v>46010.0</v>
      </c>
      <c r="B292" s="8" t="s">
        <v>692</v>
      </c>
      <c r="C292" s="8" t="s">
        <v>693</v>
      </c>
      <c r="D292" s="59">
        <v>46009.0</v>
      </c>
      <c r="E292" s="8">
        <v>897940.98</v>
      </c>
      <c r="F292" s="8">
        <v>151121.0</v>
      </c>
      <c r="G292" s="8">
        <v>177232.0</v>
      </c>
      <c r="H292" s="8">
        <f t="shared" si="1"/>
        <v>-569587.98</v>
      </c>
    </row>
    <row r="293">
      <c r="A293" s="59">
        <v>46013.0</v>
      </c>
      <c r="B293" s="8" t="s">
        <v>692</v>
      </c>
      <c r="C293" s="8" t="s">
        <v>693</v>
      </c>
      <c r="D293" s="59">
        <v>46010.0</v>
      </c>
      <c r="E293" s="8">
        <v>897940.98</v>
      </c>
      <c r="F293" s="8">
        <v>151121.0</v>
      </c>
      <c r="G293" s="8">
        <v>155700.0</v>
      </c>
      <c r="H293" s="8">
        <f t="shared" si="1"/>
        <v>-591119.98</v>
      </c>
    </row>
    <row r="294">
      <c r="A294" s="59">
        <v>46014.0</v>
      </c>
      <c r="B294" s="8" t="s">
        <v>692</v>
      </c>
      <c r="C294" s="8" t="s">
        <v>693</v>
      </c>
      <c r="D294" s="59">
        <v>46013.0</v>
      </c>
      <c r="E294" s="8">
        <v>897940.98</v>
      </c>
      <c r="F294" s="8">
        <v>151121.0</v>
      </c>
      <c r="G294" s="8">
        <v>128700.0</v>
      </c>
      <c r="H294" s="8">
        <f t="shared" si="1"/>
        <v>-618119.98</v>
      </c>
    </row>
    <row r="295">
      <c r="A295" s="59">
        <v>46015.0</v>
      </c>
      <c r="B295" s="8" t="s">
        <v>692</v>
      </c>
      <c r="C295" s="8" t="s">
        <v>693</v>
      </c>
      <c r="D295" s="59">
        <v>46014.0</v>
      </c>
      <c r="E295" s="8">
        <v>897940.98</v>
      </c>
      <c r="F295" s="8">
        <v>151121.0</v>
      </c>
      <c r="G295" s="8">
        <v>125392.0</v>
      </c>
      <c r="H295" s="8">
        <f t="shared" si="1"/>
        <v>-621427.98</v>
      </c>
    </row>
    <row r="296">
      <c r="A296" s="59">
        <v>46017.0</v>
      </c>
      <c r="B296" s="8" t="s">
        <v>692</v>
      </c>
      <c r="C296" s="8" t="s">
        <v>693</v>
      </c>
      <c r="D296" s="59">
        <v>46015.0</v>
      </c>
      <c r="E296" s="8">
        <v>897940.98</v>
      </c>
      <c r="F296" s="8">
        <v>151121.0</v>
      </c>
      <c r="G296" s="8">
        <v>127125.0</v>
      </c>
      <c r="H296" s="8">
        <f t="shared" si="1"/>
        <v>-619694.98</v>
      </c>
    </row>
    <row r="297">
      <c r="A297" s="59">
        <v>46020.0</v>
      </c>
      <c r="B297" s="8" t="s">
        <v>692</v>
      </c>
      <c r="C297" s="8" t="s">
        <v>693</v>
      </c>
      <c r="D297" s="59">
        <v>46017.0</v>
      </c>
      <c r="E297" s="8">
        <v>897940.98</v>
      </c>
      <c r="F297" s="8">
        <v>151121.0</v>
      </c>
      <c r="G297" s="8">
        <v>140625.0</v>
      </c>
      <c r="H297" s="8">
        <f t="shared" si="1"/>
        <v>-606194.98</v>
      </c>
    </row>
    <row r="298">
      <c r="A298" s="59">
        <v>46021.0</v>
      </c>
      <c r="B298" s="8" t="s">
        <v>692</v>
      </c>
      <c r="C298" s="8" t="s">
        <v>693</v>
      </c>
      <c r="D298" s="59">
        <v>46020.0</v>
      </c>
      <c r="E298" s="8">
        <v>897940.98</v>
      </c>
      <c r="F298" s="8">
        <v>151121.0</v>
      </c>
      <c r="G298" s="8">
        <v>159277.0</v>
      </c>
      <c r="H298" s="8">
        <f t="shared" si="1"/>
        <v>-587542.98</v>
      </c>
    </row>
    <row r="299">
      <c r="A299" s="59">
        <v>46022.0</v>
      </c>
      <c r="B299" s="8" t="s">
        <v>692</v>
      </c>
      <c r="C299" s="8" t="s">
        <v>693</v>
      </c>
      <c r="D299" s="59">
        <v>46021.0</v>
      </c>
      <c r="E299" s="8">
        <v>897940.98</v>
      </c>
      <c r="F299" s="8">
        <v>151121.0</v>
      </c>
      <c r="G299" s="8">
        <v>155362.0</v>
      </c>
      <c r="H299" s="8">
        <f t="shared" si="1"/>
        <v>-591457.98</v>
      </c>
    </row>
    <row r="300">
      <c r="A300" s="59">
        <v>46023.0</v>
      </c>
      <c r="B300" s="8" t="s">
        <v>692</v>
      </c>
      <c r="C300" s="8" t="s">
        <v>693</v>
      </c>
      <c r="D300" s="59">
        <v>46022.0</v>
      </c>
      <c r="E300" s="8">
        <v>897940.98</v>
      </c>
      <c r="F300" s="8">
        <v>151121.0</v>
      </c>
      <c r="G300" s="8">
        <v>127620.0</v>
      </c>
      <c r="H300" s="8">
        <f t="shared" si="1"/>
        <v>-619199.98</v>
      </c>
    </row>
    <row r="301">
      <c r="A301" s="59">
        <v>46024.0</v>
      </c>
      <c r="B301" s="8" t="s">
        <v>692</v>
      </c>
      <c r="C301" s="8" t="s">
        <v>693</v>
      </c>
      <c r="D301" s="59">
        <v>46023.0</v>
      </c>
      <c r="E301" s="8">
        <v>897940.98</v>
      </c>
      <c r="F301" s="8">
        <v>151121.0</v>
      </c>
      <c r="G301" s="8">
        <v>124695.0</v>
      </c>
      <c r="H301" s="8">
        <f t="shared" si="1"/>
        <v>-622124.98</v>
      </c>
    </row>
    <row r="302">
      <c r="A302" s="59">
        <v>46027.0</v>
      </c>
      <c r="B302" s="8" t="s">
        <v>692</v>
      </c>
      <c r="C302" s="8" t="s">
        <v>693</v>
      </c>
      <c r="D302" s="59">
        <v>46024.0</v>
      </c>
      <c r="E302" s="8">
        <v>897940.98</v>
      </c>
      <c r="F302" s="8">
        <v>151121.0</v>
      </c>
      <c r="G302" s="8">
        <v>109935.0</v>
      </c>
      <c r="H302" s="8">
        <f t="shared" si="1"/>
        <v>-636884.98</v>
      </c>
    </row>
    <row r="303">
      <c r="A303" s="59">
        <v>46028.0</v>
      </c>
      <c r="B303" s="8" t="s">
        <v>692</v>
      </c>
      <c r="C303" s="8" t="s">
        <v>693</v>
      </c>
      <c r="D303" s="59">
        <v>46027.0</v>
      </c>
      <c r="E303" s="8">
        <v>897940.98</v>
      </c>
      <c r="F303" s="8">
        <v>151121.0</v>
      </c>
      <c r="G303" s="8">
        <v>121005.0</v>
      </c>
      <c r="H303" s="8">
        <f t="shared" si="1"/>
        <v>-625814.98</v>
      </c>
    </row>
    <row r="304">
      <c r="A304" s="59">
        <v>46029.0</v>
      </c>
      <c r="B304" s="8" t="s">
        <v>692</v>
      </c>
      <c r="C304" s="8" t="s">
        <v>693</v>
      </c>
      <c r="D304" s="59">
        <v>46028.0</v>
      </c>
      <c r="E304" s="8">
        <v>897940.98</v>
      </c>
      <c r="F304" s="8">
        <v>151121.0</v>
      </c>
      <c r="G304" s="8">
        <v>127395.0</v>
      </c>
      <c r="H304" s="8">
        <f t="shared" si="1"/>
        <v>-619424.98</v>
      </c>
    </row>
    <row r="305">
      <c r="A305" s="59">
        <v>46030.0</v>
      </c>
      <c r="B305" s="8" t="s">
        <v>692</v>
      </c>
      <c r="C305" s="8" t="s">
        <v>693</v>
      </c>
      <c r="D305" s="59">
        <v>46029.0</v>
      </c>
      <c r="E305" s="8">
        <v>897940.98</v>
      </c>
      <c r="F305" s="8">
        <v>151121.0</v>
      </c>
      <c r="G305" s="8">
        <v>129847.0</v>
      </c>
      <c r="H305" s="8">
        <f t="shared" si="1"/>
        <v>-616972.98</v>
      </c>
    </row>
    <row r="306">
      <c r="A306" s="59">
        <v>46031.0</v>
      </c>
      <c r="B306" s="8" t="s">
        <v>692</v>
      </c>
      <c r="C306" s="8" t="s">
        <v>693</v>
      </c>
      <c r="D306" s="59">
        <v>46030.0</v>
      </c>
      <c r="E306" s="8">
        <v>897940.98</v>
      </c>
      <c r="F306" s="8">
        <v>151121.0</v>
      </c>
      <c r="G306" s="8">
        <v>168547.0</v>
      </c>
      <c r="H306" s="8">
        <f t="shared" si="1"/>
        <v>-578272.98</v>
      </c>
    </row>
    <row r="307">
      <c r="A307" s="59">
        <v>46034.0</v>
      </c>
      <c r="B307" s="8" t="s">
        <v>692</v>
      </c>
      <c r="C307" s="8" t="s">
        <v>693</v>
      </c>
      <c r="D307" s="59">
        <v>46031.0</v>
      </c>
      <c r="E307" s="8">
        <v>897940.98</v>
      </c>
      <c r="F307" s="8">
        <v>151121.0</v>
      </c>
      <c r="G307" s="8">
        <v>202477.0</v>
      </c>
      <c r="H307" s="8">
        <f t="shared" si="1"/>
        <v>-544342.98</v>
      </c>
    </row>
    <row r="308">
      <c r="A308" s="59">
        <v>46035.0</v>
      </c>
      <c r="B308" s="8" t="s">
        <v>692</v>
      </c>
      <c r="C308" s="8" t="s">
        <v>693</v>
      </c>
      <c r="D308" s="59">
        <v>46034.0</v>
      </c>
      <c r="E308" s="8">
        <v>897940.98</v>
      </c>
      <c r="F308" s="8">
        <v>151121.0</v>
      </c>
      <c r="G308" s="8">
        <v>185040.0</v>
      </c>
      <c r="H308" s="8">
        <f t="shared" si="1"/>
        <v>-561779.98</v>
      </c>
    </row>
    <row r="309">
      <c r="A309" s="59">
        <v>46036.0</v>
      </c>
      <c r="B309" s="8" t="s">
        <v>692</v>
      </c>
      <c r="C309" s="8" t="s">
        <v>693</v>
      </c>
      <c r="D309" s="59">
        <v>46035.0</v>
      </c>
      <c r="E309" s="8">
        <v>897940.98</v>
      </c>
      <c r="F309" s="8">
        <v>151121.0</v>
      </c>
      <c r="G309" s="8">
        <v>196537.0</v>
      </c>
      <c r="H309" s="8">
        <f t="shared" si="1"/>
        <v>-550282.98</v>
      </c>
    </row>
    <row r="310">
      <c r="A310" s="59">
        <v>46038.0</v>
      </c>
      <c r="B310" s="8" t="s">
        <v>692</v>
      </c>
      <c r="C310" s="8" t="s">
        <v>693</v>
      </c>
      <c r="D310" s="59">
        <v>46036.0</v>
      </c>
      <c r="E310" s="8">
        <v>897940.98</v>
      </c>
      <c r="F310" s="8">
        <v>151121.0</v>
      </c>
      <c r="G310" s="8">
        <v>209790.0</v>
      </c>
      <c r="H310" s="8">
        <f t="shared" si="1"/>
        <v>-537029.98</v>
      </c>
    </row>
    <row r="311">
      <c r="A311" s="59">
        <v>46041.0</v>
      </c>
      <c r="B311" s="8" t="s">
        <v>692</v>
      </c>
      <c r="C311" s="8" t="s">
        <v>693</v>
      </c>
      <c r="D311" s="59">
        <v>46038.0</v>
      </c>
      <c r="E311" s="8">
        <v>897940.98</v>
      </c>
      <c r="F311" s="8">
        <v>151121.0</v>
      </c>
      <c r="G311" s="8">
        <v>200407.0</v>
      </c>
      <c r="H311" s="8">
        <f t="shared" si="1"/>
        <v>-546412.98</v>
      </c>
    </row>
    <row r="312">
      <c r="A312" s="59">
        <v>46042.0</v>
      </c>
      <c r="B312" s="8" t="s">
        <v>692</v>
      </c>
      <c r="C312" s="8" t="s">
        <v>693</v>
      </c>
      <c r="D312" s="59">
        <v>46041.0</v>
      </c>
      <c r="E312" s="8">
        <v>897940.98</v>
      </c>
      <c r="F312" s="8">
        <v>151121.0</v>
      </c>
      <c r="G312" s="8">
        <v>232065.0</v>
      </c>
      <c r="H312" s="8">
        <f t="shared" si="1"/>
        <v>-514754.98</v>
      </c>
    </row>
    <row r="313">
      <c r="A313" s="59">
        <v>46043.0</v>
      </c>
      <c r="B313" s="8" t="s">
        <v>692</v>
      </c>
      <c r="C313" s="8" t="s">
        <v>693</v>
      </c>
      <c r="D313" s="59">
        <v>46042.0</v>
      </c>
      <c r="E313" s="8">
        <v>897940.98</v>
      </c>
      <c r="F313" s="8">
        <v>151121.0</v>
      </c>
      <c r="G313" s="8">
        <v>325260.0</v>
      </c>
      <c r="H313" s="8">
        <f t="shared" si="1"/>
        <v>-421559.98</v>
      </c>
    </row>
    <row r="314">
      <c r="A314" s="59">
        <v>46044.0</v>
      </c>
      <c r="B314" s="8" t="s">
        <v>692</v>
      </c>
      <c r="C314" s="8" t="s">
        <v>693</v>
      </c>
      <c r="D314" s="59">
        <v>46043.0</v>
      </c>
      <c r="E314" s="8">
        <v>897940.98</v>
      </c>
      <c r="F314" s="8">
        <v>151121.0</v>
      </c>
      <c r="G314" s="8">
        <v>357637.0</v>
      </c>
      <c r="H314" s="8">
        <f t="shared" si="1"/>
        <v>-389182.98</v>
      </c>
    </row>
    <row r="315">
      <c r="A315" s="59">
        <v>46045.0</v>
      </c>
      <c r="B315" s="8" t="s">
        <v>692</v>
      </c>
      <c r="C315" s="8" t="s">
        <v>693</v>
      </c>
      <c r="D315" s="59">
        <v>46044.0</v>
      </c>
      <c r="E315" s="8">
        <v>897940.98</v>
      </c>
      <c r="F315" s="8">
        <v>151121.0</v>
      </c>
      <c r="G315" s="8">
        <v>301905.0</v>
      </c>
      <c r="H315" s="8">
        <f t="shared" si="1"/>
        <v>-444914.98</v>
      </c>
    </row>
    <row r="316">
      <c r="A316" s="59">
        <v>46049.0</v>
      </c>
      <c r="B316" s="8" t="s">
        <v>692</v>
      </c>
      <c r="C316" s="8" t="s">
        <v>693</v>
      </c>
      <c r="D316" s="59">
        <v>46045.0</v>
      </c>
      <c r="E316" s="8">
        <v>897940.98</v>
      </c>
      <c r="F316" s="8">
        <v>151121.0</v>
      </c>
      <c r="G316" s="8">
        <v>385155.0</v>
      </c>
      <c r="H316" s="8">
        <f t="shared" si="1"/>
        <v>-361664.98</v>
      </c>
    </row>
    <row r="317">
      <c r="A317" s="59">
        <v>46050.0</v>
      </c>
      <c r="B317" s="8" t="s">
        <v>692</v>
      </c>
      <c r="C317" s="8" t="s">
        <v>693</v>
      </c>
      <c r="D317" s="59">
        <v>46049.0</v>
      </c>
      <c r="E317" s="8">
        <v>897940.98</v>
      </c>
      <c r="F317" s="8">
        <v>151121.0</v>
      </c>
      <c r="G317" s="8">
        <v>334980.0</v>
      </c>
      <c r="H317" s="8">
        <f t="shared" si="1"/>
        <v>-411839.98</v>
      </c>
    </row>
    <row r="318">
      <c r="A318" s="59">
        <v>46051.0</v>
      </c>
      <c r="B318" s="8" t="s">
        <v>692</v>
      </c>
      <c r="C318" s="8" t="s">
        <v>693</v>
      </c>
      <c r="D318" s="59">
        <v>46050.0</v>
      </c>
      <c r="E318" s="8">
        <v>897940.98</v>
      </c>
      <c r="F318" s="8">
        <v>151121.0</v>
      </c>
      <c r="G318" s="8">
        <v>304335.0</v>
      </c>
      <c r="H318" s="8">
        <f t="shared" si="1"/>
        <v>-442484.98</v>
      </c>
    </row>
    <row r="319">
      <c r="A319" s="59">
        <v>46052.0</v>
      </c>
      <c r="B319" s="8" t="s">
        <v>692</v>
      </c>
      <c r="C319" s="8" t="s">
        <v>693</v>
      </c>
      <c r="D319" s="59">
        <v>46051.0</v>
      </c>
      <c r="E319" s="8">
        <v>897940.98</v>
      </c>
      <c r="F319" s="8">
        <v>151121.0</v>
      </c>
      <c r="G319" s="8">
        <v>279652.0</v>
      </c>
      <c r="H319" s="8">
        <f t="shared" si="1"/>
        <v>-467167.98</v>
      </c>
    </row>
    <row r="320">
      <c r="A320" s="59">
        <v>46055.0</v>
      </c>
      <c r="B320" s="8" t="s">
        <v>692</v>
      </c>
      <c r="C320" s="8" t="s">
        <v>693</v>
      </c>
      <c r="D320" s="59">
        <v>46052.0</v>
      </c>
      <c r="E320" s="8">
        <v>897940.98</v>
      </c>
      <c r="F320" s="8">
        <v>151121.0</v>
      </c>
      <c r="G320" s="8">
        <v>309645.0</v>
      </c>
      <c r="H320" s="8">
        <f t="shared" si="1"/>
        <v>-437174.98</v>
      </c>
    </row>
    <row r="321">
      <c r="A321" s="59">
        <v>46055.0</v>
      </c>
      <c r="B321" s="8" t="s">
        <v>692</v>
      </c>
      <c r="C321" s="8" t="s">
        <v>693</v>
      </c>
      <c r="D321" s="59">
        <v>46054.0</v>
      </c>
      <c r="E321" s="8">
        <v>897940.98</v>
      </c>
      <c r="F321" s="8">
        <v>151121.0</v>
      </c>
      <c r="G321" s="8">
        <v>491107.0</v>
      </c>
      <c r="H321" s="8">
        <f t="shared" si="1"/>
        <v>-255712.98</v>
      </c>
    </row>
    <row r="322">
      <c r="A322" s="59">
        <v>46056.0</v>
      </c>
      <c r="B322" s="8" t="s">
        <v>692</v>
      </c>
      <c r="C322" s="8" t="s">
        <v>693</v>
      </c>
      <c r="D322" s="59">
        <v>46055.0</v>
      </c>
      <c r="E322" s="8">
        <v>897940.98</v>
      </c>
      <c r="F322" s="8">
        <v>151121.0</v>
      </c>
      <c r="G322" s="8">
        <v>394312.0</v>
      </c>
      <c r="H322" s="8">
        <f t="shared" si="1"/>
        <v>-352507.98</v>
      </c>
    </row>
    <row r="323">
      <c r="A323" s="59">
        <v>46057.0</v>
      </c>
      <c r="B323" s="8" t="s">
        <v>692</v>
      </c>
      <c r="C323" s="8" t="s">
        <v>693</v>
      </c>
      <c r="D323" s="59">
        <v>46056.0</v>
      </c>
      <c r="E323" s="8">
        <v>897940.98</v>
      </c>
      <c r="F323" s="8">
        <v>151121.0</v>
      </c>
      <c r="G323" s="8">
        <v>206842.0</v>
      </c>
      <c r="H323" s="8">
        <f t="shared" si="1"/>
        <v>-539977.98</v>
      </c>
    </row>
    <row r="324">
      <c r="A324" s="59">
        <v>46058.0</v>
      </c>
      <c r="B324" s="8" t="s">
        <v>692</v>
      </c>
      <c r="C324" s="8" t="s">
        <v>693</v>
      </c>
      <c r="D324" s="59">
        <v>46057.0</v>
      </c>
      <c r="E324" s="8">
        <v>897940.98</v>
      </c>
      <c r="F324" s="8">
        <v>151121.0</v>
      </c>
      <c r="G324" s="8">
        <v>191227.0</v>
      </c>
      <c r="H324" s="8">
        <f t="shared" si="1"/>
        <v>-555592.98</v>
      </c>
    </row>
    <row r="325">
      <c r="A325" s="59">
        <v>46059.0</v>
      </c>
      <c r="B325" s="8" t="s">
        <v>692</v>
      </c>
      <c r="C325" s="8" t="s">
        <v>693</v>
      </c>
      <c r="D325" s="59">
        <v>46058.0</v>
      </c>
      <c r="E325" s="8">
        <v>897940.98</v>
      </c>
      <c r="F325" s="8">
        <v>151121.0</v>
      </c>
      <c r="G325" s="8">
        <v>214132.0</v>
      </c>
      <c r="H325" s="8">
        <f t="shared" si="1"/>
        <v>-532687.98</v>
      </c>
    </row>
    <row r="326">
      <c r="A326" s="59">
        <v>46062.0</v>
      </c>
      <c r="B326" s="8" t="s">
        <v>692</v>
      </c>
      <c r="C326" s="8" t="s">
        <v>693</v>
      </c>
      <c r="D326" s="59">
        <v>46059.0</v>
      </c>
      <c r="E326" s="8">
        <v>897940.98</v>
      </c>
      <c r="F326" s="8">
        <v>151121.0</v>
      </c>
      <c r="G326" s="8">
        <v>207990.0</v>
      </c>
      <c r="H326" s="8">
        <f t="shared" si="1"/>
        <v>-538829.98</v>
      </c>
    </row>
    <row r="327">
      <c r="A327" s="59">
        <v>46063.0</v>
      </c>
      <c r="B327" s="8" t="s">
        <v>692</v>
      </c>
      <c r="C327" s="8" t="s">
        <v>693</v>
      </c>
      <c r="D327" s="59">
        <v>46062.0</v>
      </c>
      <c r="E327" s="8">
        <v>897940.98</v>
      </c>
      <c r="F327" s="8">
        <v>151121.0</v>
      </c>
      <c r="G327" s="8">
        <v>164587.0</v>
      </c>
      <c r="H327" s="8">
        <f t="shared" si="1"/>
        <v>-582232.98</v>
      </c>
    </row>
    <row r="328">
      <c r="A328" s="59">
        <v>46064.0</v>
      </c>
      <c r="B328" s="8" t="s">
        <v>692</v>
      </c>
      <c r="C328" s="8" t="s">
        <v>693</v>
      </c>
      <c r="D328" s="59">
        <v>46063.0</v>
      </c>
      <c r="E328" s="8">
        <v>897940.98</v>
      </c>
      <c r="F328" s="8">
        <v>151121.0</v>
      </c>
      <c r="G328" s="8">
        <v>144765.0</v>
      </c>
      <c r="H328" s="8">
        <f t="shared" si="1"/>
        <v>-602054.98</v>
      </c>
    </row>
    <row r="329">
      <c r="A329" s="59">
        <v>46065.0</v>
      </c>
      <c r="B329" s="8" t="s">
        <v>692</v>
      </c>
      <c r="C329" s="8" t="s">
        <v>693</v>
      </c>
      <c r="D329" s="59">
        <v>46064.0</v>
      </c>
      <c r="E329" s="8">
        <v>897940.98</v>
      </c>
      <c r="F329" s="8">
        <v>151121.0</v>
      </c>
      <c r="G329" s="8">
        <v>137205.0</v>
      </c>
      <c r="H329" s="8">
        <f t="shared" si="1"/>
        <v>-609614.98</v>
      </c>
    </row>
    <row r="330">
      <c r="A330" s="59">
        <v>46066.0</v>
      </c>
      <c r="B330" s="8" t="s">
        <v>692</v>
      </c>
      <c r="C330" s="8" t="s">
        <v>693</v>
      </c>
      <c r="D330" s="59">
        <v>46065.0</v>
      </c>
      <c r="E330" s="8">
        <v>897940.98</v>
      </c>
      <c r="F330" s="8">
        <v>151121.0</v>
      </c>
      <c r="G330" s="8">
        <v>162765.0</v>
      </c>
      <c r="H330" s="8">
        <f t="shared" si="1"/>
        <v>-584054.98</v>
      </c>
    </row>
    <row r="331">
      <c r="A331" s="59">
        <v>46069.0</v>
      </c>
      <c r="B331" s="8" t="s">
        <v>692</v>
      </c>
      <c r="C331" s="8" t="s">
        <v>693</v>
      </c>
      <c r="D331" s="59">
        <v>46066.0</v>
      </c>
      <c r="E331" s="8">
        <v>897940.98</v>
      </c>
      <c r="F331" s="8">
        <v>151121.0</v>
      </c>
      <c r="G331" s="8">
        <v>249007.0</v>
      </c>
      <c r="H331" s="8">
        <f t="shared" si="1"/>
        <v>-497812.98</v>
      </c>
    </row>
    <row r="332">
      <c r="A332" s="59">
        <v>46070.0</v>
      </c>
      <c r="B332" s="8" t="s">
        <v>692</v>
      </c>
      <c r="C332" s="8" t="s">
        <v>693</v>
      </c>
      <c r="D332" s="59">
        <v>46069.0</v>
      </c>
      <c r="E332" s="8">
        <v>897940.98</v>
      </c>
      <c r="F332" s="8">
        <v>151121.0</v>
      </c>
      <c r="G332" s="8">
        <v>197167.0</v>
      </c>
      <c r="H332" s="8">
        <f t="shared" si="1"/>
        <v>-549652.98</v>
      </c>
    </row>
    <row r="333">
      <c r="A333" s="59">
        <v>46071.0</v>
      </c>
      <c r="B333" s="8" t="s">
        <v>692</v>
      </c>
      <c r="C333" s="8" t="s">
        <v>693</v>
      </c>
      <c r="D333" s="59">
        <v>46070.0</v>
      </c>
      <c r="E333" s="8">
        <v>897940.98</v>
      </c>
      <c r="F333" s="8">
        <v>151121.0</v>
      </c>
      <c r="G333" s="8">
        <v>188797.0</v>
      </c>
      <c r="H333" s="8">
        <f t="shared" si="1"/>
        <v>-558022.98</v>
      </c>
    </row>
    <row r="334">
      <c r="A334" s="59">
        <v>46072.0</v>
      </c>
      <c r="B334" s="8" t="s">
        <v>692</v>
      </c>
      <c r="C334" s="8" t="s">
        <v>693</v>
      </c>
      <c r="D334" s="59">
        <v>46071.0</v>
      </c>
      <c r="E334" s="8">
        <v>897940.98</v>
      </c>
      <c r="F334" s="8">
        <v>151121.0</v>
      </c>
      <c r="G334" s="8">
        <v>160897.0</v>
      </c>
      <c r="H334" s="8">
        <f t="shared" si="1"/>
        <v>-585922.98</v>
      </c>
    </row>
    <row r="335">
      <c r="A335" s="59">
        <v>46073.0</v>
      </c>
      <c r="B335" s="8" t="s">
        <v>692</v>
      </c>
      <c r="C335" s="8" t="s">
        <v>693</v>
      </c>
      <c r="D335" s="59">
        <v>46072.0</v>
      </c>
      <c r="E335" s="8">
        <v>897940.98</v>
      </c>
      <c r="F335" s="8">
        <v>151121.0</v>
      </c>
      <c r="G335" s="8">
        <v>265815.0</v>
      </c>
      <c r="H335" s="8">
        <f t="shared" si="1"/>
        <v>-481004.98</v>
      </c>
    </row>
    <row r="336">
      <c r="A336" s="59">
        <v>46076.0</v>
      </c>
      <c r="B336" s="8" t="s">
        <v>692</v>
      </c>
      <c r="C336" s="8" t="s">
        <v>693</v>
      </c>
      <c r="D336" s="59">
        <v>46073.0</v>
      </c>
      <c r="E336" s="8">
        <v>897940.98</v>
      </c>
      <c r="F336" s="8">
        <v>151121.0</v>
      </c>
      <c r="G336" s="8">
        <v>225450.0</v>
      </c>
      <c r="H336" s="8">
        <f t="shared" si="1"/>
        <v>-521369.98</v>
      </c>
    </row>
    <row r="337">
      <c r="A337" s="59">
        <v>46077.0</v>
      </c>
      <c r="B337" s="8" t="s">
        <v>692</v>
      </c>
      <c r="C337" s="8" t="s">
        <v>693</v>
      </c>
      <c r="D337" s="59">
        <v>46076.0</v>
      </c>
      <c r="E337" s="8">
        <v>897940.98</v>
      </c>
      <c r="F337" s="8">
        <v>151121.0</v>
      </c>
      <c r="G337" s="8">
        <v>194197.0</v>
      </c>
      <c r="H337" s="8">
        <f t="shared" si="1"/>
        <v>-552622.98</v>
      </c>
    </row>
    <row r="338">
      <c r="A338" s="59">
        <v>46078.0</v>
      </c>
      <c r="B338" s="8" t="s">
        <v>692</v>
      </c>
      <c r="C338" s="8" t="s">
        <v>693</v>
      </c>
      <c r="D338" s="59">
        <v>46077.0</v>
      </c>
      <c r="E338" s="8">
        <v>897940.98</v>
      </c>
      <c r="F338" s="8">
        <v>151121.0</v>
      </c>
      <c r="G338" s="8">
        <v>264937.0</v>
      </c>
      <c r="H338" s="8">
        <f t="shared" si="1"/>
        <v>-481882.98</v>
      </c>
    </row>
    <row r="339">
      <c r="A339" s="59">
        <v>46079.0</v>
      </c>
      <c r="B339" s="8" t="s">
        <v>692</v>
      </c>
      <c r="C339" s="8" t="s">
        <v>693</v>
      </c>
      <c r="D339" s="59">
        <v>46078.0</v>
      </c>
      <c r="E339" s="8">
        <v>897940.98</v>
      </c>
      <c r="F339" s="8">
        <v>151121.0</v>
      </c>
      <c r="G339" s="8">
        <v>246352.0</v>
      </c>
      <c r="H339" s="8">
        <f t="shared" si="1"/>
        <v>-500467.98</v>
      </c>
    </row>
    <row r="340">
      <c r="A340" s="59">
        <v>46080.0</v>
      </c>
      <c r="B340" s="8" t="s">
        <v>692</v>
      </c>
      <c r="C340" s="8" t="s">
        <v>693</v>
      </c>
      <c r="D340" s="59">
        <v>46079.0</v>
      </c>
      <c r="E340" s="8">
        <v>897940.98</v>
      </c>
      <c r="F340" s="8">
        <v>151121.0</v>
      </c>
      <c r="G340" s="8">
        <v>240705.0</v>
      </c>
      <c r="H340" s="8">
        <f t="shared" si="1"/>
        <v>-506114.98</v>
      </c>
    </row>
    <row r="341">
      <c r="A341" s="59">
        <v>46083.0</v>
      </c>
      <c r="B341" s="8" t="s">
        <v>692</v>
      </c>
      <c r="C341" s="8" t="s">
        <v>693</v>
      </c>
      <c r="D341" s="59">
        <v>46080.0</v>
      </c>
      <c r="E341" s="8">
        <v>897940.98</v>
      </c>
      <c r="F341" s="8">
        <v>151121.0</v>
      </c>
      <c r="G341" s="8">
        <v>342810.0</v>
      </c>
      <c r="H341" s="8">
        <f t="shared" si="1"/>
        <v>-404009.98</v>
      </c>
    </row>
    <row r="342">
      <c r="A342" s="59">
        <v>46085.0</v>
      </c>
      <c r="B342" s="8" t="s">
        <v>692</v>
      </c>
      <c r="C342" s="8" t="s">
        <v>693</v>
      </c>
      <c r="D342" s="59">
        <v>46083.0</v>
      </c>
      <c r="E342" s="8">
        <v>897940.98</v>
      </c>
      <c r="F342" s="8">
        <v>151121.0</v>
      </c>
      <c r="G342" s="8">
        <v>486067.0</v>
      </c>
      <c r="H342" s="8">
        <f t="shared" si="1"/>
        <v>-260752.98</v>
      </c>
    </row>
    <row r="343">
      <c r="A343" s="59">
        <v>46086.0</v>
      </c>
      <c r="B343" s="8" t="s">
        <v>692</v>
      </c>
      <c r="C343" s="8" t="s">
        <v>693</v>
      </c>
      <c r="D343" s="59">
        <v>46085.0</v>
      </c>
      <c r="E343" s="8">
        <v>897940.98</v>
      </c>
      <c r="F343" s="8">
        <v>151121.0</v>
      </c>
      <c r="G343" s="8">
        <v>654952.0</v>
      </c>
      <c r="H343" s="8">
        <f t="shared" si="1"/>
        <v>-91867.98</v>
      </c>
    </row>
    <row r="344">
      <c r="A344" s="59">
        <v>46087.0</v>
      </c>
      <c r="B344" s="8" t="s">
        <v>692</v>
      </c>
      <c r="C344" s="8" t="s">
        <v>693</v>
      </c>
      <c r="D344" s="59">
        <v>46086.0</v>
      </c>
      <c r="E344" s="8">
        <v>897940.98</v>
      </c>
      <c r="F344" s="8">
        <v>151121.0</v>
      </c>
      <c r="G344" s="8">
        <v>532012.0</v>
      </c>
      <c r="H344" s="8">
        <f t="shared" si="1"/>
        <v>-214807.98</v>
      </c>
    </row>
    <row r="345">
      <c r="A345" s="59">
        <v>46090.0</v>
      </c>
      <c r="B345" s="8" t="s">
        <v>696</v>
      </c>
      <c r="C345" s="8" t="s">
        <v>697</v>
      </c>
      <c r="D345" s="59">
        <v>46087.0</v>
      </c>
      <c r="E345" s="8">
        <v>897940.98</v>
      </c>
      <c r="F345" s="8">
        <v>23667.68</v>
      </c>
      <c r="G345" s="8">
        <v>607947.0</v>
      </c>
      <c r="H345" s="8">
        <f t="shared" si="1"/>
        <v>-266326.3</v>
      </c>
    </row>
    <row r="346">
      <c r="A346" s="59">
        <v>46091.0</v>
      </c>
      <c r="B346" s="8" t="s">
        <v>696</v>
      </c>
      <c r="C346" s="8" t="s">
        <v>697</v>
      </c>
      <c r="D346" s="59">
        <v>46090.0</v>
      </c>
      <c r="E346" s="8">
        <v>897940.98</v>
      </c>
      <c r="F346" s="8">
        <v>23667.68</v>
      </c>
      <c r="G346" s="8">
        <v>738942.0</v>
      </c>
      <c r="H346" s="8">
        <f t="shared" si="1"/>
        <v>-135331.3</v>
      </c>
    </row>
    <row r="347">
      <c r="A347" s="59">
        <v>46092.0</v>
      </c>
      <c r="B347" s="8" t="s">
        <v>696</v>
      </c>
      <c r="C347" s="8" t="s">
        <v>697</v>
      </c>
      <c r="D347" s="59">
        <v>46091.0</v>
      </c>
      <c r="E347" s="8">
        <v>897940.98</v>
      </c>
      <c r="F347" s="8">
        <v>23667.68</v>
      </c>
      <c r="G347" s="8">
        <v>628411.0</v>
      </c>
      <c r="H347" s="8">
        <f t="shared" si="1"/>
        <v>-245862.3</v>
      </c>
    </row>
    <row r="348">
      <c r="A348" s="59">
        <v>46093.0</v>
      </c>
      <c r="B348" s="8" t="s">
        <v>696</v>
      </c>
      <c r="C348" s="8" t="s">
        <v>697</v>
      </c>
      <c r="D348" s="59">
        <v>46092.0</v>
      </c>
      <c r="E348" s="8">
        <v>897940.98</v>
      </c>
      <c r="F348" s="8">
        <v>23667.68</v>
      </c>
      <c r="G348" s="8">
        <v>768951.0</v>
      </c>
      <c r="H348" s="8">
        <f t="shared" si="1"/>
        <v>-105322.3</v>
      </c>
    </row>
    <row r="349">
      <c r="A349" s="59">
        <v>46094.0</v>
      </c>
      <c r="B349" s="8" t="s">
        <v>696</v>
      </c>
      <c r="C349" s="8" t="s">
        <v>697</v>
      </c>
      <c r="D349" s="59">
        <v>46093.0</v>
      </c>
      <c r="E349" s="8">
        <v>897940.98</v>
      </c>
      <c r="F349" s="8">
        <v>23667.68</v>
      </c>
      <c r="G349" s="8">
        <v>822201.0</v>
      </c>
      <c r="H349" s="8">
        <f t="shared" si="1"/>
        <v>-52072.3</v>
      </c>
    </row>
    <row r="350">
      <c r="A350" s="59">
        <v>46097.0</v>
      </c>
      <c r="B350" s="8" t="s">
        <v>696</v>
      </c>
      <c r="C350" s="8" t="s">
        <v>697</v>
      </c>
      <c r="D350" s="59">
        <v>46094.0</v>
      </c>
      <c r="E350" s="8">
        <v>897940.98</v>
      </c>
      <c r="F350" s="8">
        <v>23667.68</v>
      </c>
      <c r="G350" s="8">
        <v>967833.0</v>
      </c>
      <c r="H350" s="8">
        <f t="shared" si="1"/>
        <v>93559.7</v>
      </c>
    </row>
    <row r="351">
      <c r="A351" s="59">
        <v>46098.0</v>
      </c>
      <c r="B351" s="8" t="s">
        <v>696</v>
      </c>
      <c r="C351" s="8" t="s">
        <v>697</v>
      </c>
      <c r="D351" s="59">
        <v>46097.0</v>
      </c>
      <c r="E351" s="8">
        <v>897940.98</v>
      </c>
      <c r="F351" s="8">
        <v>23667.68</v>
      </c>
      <c r="G351" s="8">
        <v>905161.0</v>
      </c>
      <c r="H351" s="8">
        <f t="shared" si="1"/>
        <v>30887.7</v>
      </c>
    </row>
    <row r="352">
      <c r="A352" s="59">
        <v>46099.0</v>
      </c>
      <c r="B352" s="8" t="s">
        <v>696</v>
      </c>
      <c r="C352" s="8" t="s">
        <v>697</v>
      </c>
      <c r="D352" s="59">
        <v>46098.0</v>
      </c>
      <c r="E352" s="8">
        <v>897940.98</v>
      </c>
      <c r="F352" s="8">
        <v>23667.68</v>
      </c>
      <c r="G352" s="8">
        <v>832914.0</v>
      </c>
      <c r="H352" s="8">
        <f t="shared" si="1"/>
        <v>-41359.3</v>
      </c>
    </row>
    <row r="353">
      <c r="A353" s="59">
        <v>46100.0</v>
      </c>
      <c r="B353" s="8" t="s">
        <v>696</v>
      </c>
      <c r="C353" s="8" t="s">
        <v>697</v>
      </c>
      <c r="D353" s="59">
        <v>46099.0</v>
      </c>
      <c r="E353" s="8">
        <v>897940.98</v>
      </c>
      <c r="F353" s="8">
        <v>23667.68</v>
      </c>
      <c r="G353" s="8">
        <v>782283.0</v>
      </c>
      <c r="H353" s="8">
        <f t="shared" si="1"/>
        <v>-91990.3</v>
      </c>
    </row>
    <row r="354">
      <c r="A354" s="59">
        <v>46101.0</v>
      </c>
      <c r="B354" s="8" t="s">
        <v>696</v>
      </c>
      <c r="C354" s="8" t="s">
        <v>697</v>
      </c>
      <c r="D354" s="59">
        <v>46100.0</v>
      </c>
      <c r="E354" s="8">
        <v>897940.98</v>
      </c>
      <c r="F354" s="8">
        <v>23667.68</v>
      </c>
      <c r="G354" s="8">
        <v>811013.0</v>
      </c>
      <c r="H354" s="8">
        <f t="shared" si="1"/>
        <v>-63260.3</v>
      </c>
    </row>
    <row r="355">
      <c r="A355" s="59">
        <v>46104.0</v>
      </c>
      <c r="B355" s="8" t="s">
        <v>696</v>
      </c>
      <c r="C355" s="8" t="s">
        <v>697</v>
      </c>
      <c r="D355" s="59">
        <v>46101.0</v>
      </c>
      <c r="E355" s="8">
        <v>897940.98</v>
      </c>
      <c r="F355" s="8">
        <v>23667.68</v>
      </c>
      <c r="G355" s="8">
        <v>985954.0</v>
      </c>
      <c r="H355" s="8">
        <f t="shared" si="1"/>
        <v>111680.7</v>
      </c>
    </row>
    <row r="356">
      <c r="A356" s="59">
        <v>46105.0</v>
      </c>
      <c r="B356" s="8" t="s">
        <v>696</v>
      </c>
      <c r="C356" s="8" t="s">
        <v>697</v>
      </c>
      <c r="D356" s="59">
        <v>46104.0</v>
      </c>
      <c r="E356" s="8">
        <v>897940.98</v>
      </c>
      <c r="F356" s="8">
        <v>23667.68</v>
      </c>
      <c r="G356" s="8">
        <v>1213390.0</v>
      </c>
      <c r="H356" s="8">
        <f t="shared" si="1"/>
        <v>339116.7</v>
      </c>
    </row>
    <row r="357">
      <c r="A357" s="59">
        <v>46106.0</v>
      </c>
      <c r="B357" s="8" t="s">
        <v>696</v>
      </c>
      <c r="C357" s="8" t="s">
        <v>697</v>
      </c>
      <c r="D357" s="59">
        <v>46105.0</v>
      </c>
      <c r="E357" s="8">
        <v>897940.98</v>
      </c>
      <c r="F357" s="8">
        <v>23667.68</v>
      </c>
      <c r="G357" s="8">
        <v>1061599.0</v>
      </c>
      <c r="H357" s="8">
        <f t="shared" si="1"/>
        <v>187325.7</v>
      </c>
    </row>
    <row r="358">
      <c r="A358" s="59">
        <v>46108.0</v>
      </c>
      <c r="B358" s="8" t="s">
        <v>696</v>
      </c>
      <c r="C358" s="8" t="s">
        <v>697</v>
      </c>
      <c r="D358" s="59">
        <v>46106.0</v>
      </c>
      <c r="E358" s="8">
        <v>897940.98</v>
      </c>
      <c r="F358" s="8">
        <v>23667.68</v>
      </c>
      <c r="G358" s="8">
        <v>938209.0</v>
      </c>
      <c r="H358" s="8">
        <f t="shared" si="1"/>
        <v>63935.7</v>
      </c>
    </row>
    <row r="359">
      <c r="A359" s="59">
        <v>46111.0</v>
      </c>
      <c r="B359" s="8" t="s">
        <v>696</v>
      </c>
      <c r="C359" s="8" t="s">
        <v>697</v>
      </c>
      <c r="D359" s="59">
        <v>46108.0</v>
      </c>
      <c r="E359" s="8">
        <v>897940.98</v>
      </c>
      <c r="F359" s="8">
        <v>23667.68</v>
      </c>
      <c r="G359" s="8">
        <v>1111048.0</v>
      </c>
      <c r="H359" s="8">
        <f t="shared" si="1"/>
        <v>236774.7</v>
      </c>
    </row>
    <row r="360">
      <c r="A360" s="59">
        <v>46113.0</v>
      </c>
      <c r="B360" s="8" t="s">
        <v>696</v>
      </c>
      <c r="C360" s="8" t="s">
        <v>697</v>
      </c>
      <c r="D360" s="59">
        <v>46111.0</v>
      </c>
      <c r="E360" s="8">
        <v>897940.98</v>
      </c>
      <c r="F360" s="8">
        <v>243508.53</v>
      </c>
      <c r="G360" s="8">
        <v>1059279.0</v>
      </c>
      <c r="H360" s="8">
        <f t="shared" si="1"/>
        <v>404846.55</v>
      </c>
    </row>
    <row r="361">
      <c r="A361" s="59">
        <v>46114.0</v>
      </c>
      <c r="B361" s="8" t="s">
        <v>696</v>
      </c>
      <c r="C361" s="8" t="s">
        <v>697</v>
      </c>
      <c r="D361" s="59">
        <v>46113.0</v>
      </c>
      <c r="E361" s="8">
        <v>897940.98</v>
      </c>
      <c r="F361" s="8">
        <v>243508.53</v>
      </c>
      <c r="G361" s="8">
        <v>935239.0</v>
      </c>
      <c r="H361" s="8">
        <f t="shared" si="1"/>
        <v>280806.55</v>
      </c>
    </row>
    <row r="362">
      <c r="A362" s="59">
        <v>46118.0</v>
      </c>
      <c r="B362" s="8" t="s">
        <v>696</v>
      </c>
      <c r="C362" s="8" t="s">
        <v>697</v>
      </c>
      <c r="D362" s="59">
        <v>46114.0</v>
      </c>
      <c r="E362" s="8">
        <v>897940.98</v>
      </c>
      <c r="F362" s="8">
        <v>243508.53</v>
      </c>
      <c r="G362" s="8">
        <v>929292.0</v>
      </c>
      <c r="H362" s="8">
        <f t="shared" si="1"/>
        <v>274859.55</v>
      </c>
    </row>
    <row r="363">
      <c r="A363" s="59">
        <v>46119.0</v>
      </c>
      <c r="B363" s="8" t="s">
        <v>696</v>
      </c>
      <c r="C363" s="8" t="s">
        <v>697</v>
      </c>
      <c r="D363" s="59">
        <v>46118.0</v>
      </c>
      <c r="E363" s="8">
        <v>897940.98</v>
      </c>
      <c r="F363" s="8">
        <v>243508.53</v>
      </c>
      <c r="G363" s="8">
        <v>853437.0</v>
      </c>
      <c r="H363" s="8">
        <f t="shared" si="1"/>
        <v>199004.55</v>
      </c>
    </row>
    <row r="364">
      <c r="A364" s="59">
        <v>46120.0</v>
      </c>
      <c r="B364" s="8" t="s">
        <v>696</v>
      </c>
      <c r="C364" s="8" t="s">
        <v>697</v>
      </c>
      <c r="D364" s="59">
        <v>46119.0</v>
      </c>
      <c r="E364" s="8">
        <v>897940.98</v>
      </c>
      <c r="F364" s="8">
        <v>243508.53</v>
      </c>
      <c r="G364" s="8">
        <v>825006.0</v>
      </c>
      <c r="H364" s="8">
        <f t="shared" si="1"/>
        <v>170573.55</v>
      </c>
    </row>
    <row r="365">
      <c r="A365" s="59">
        <v>46121.0</v>
      </c>
      <c r="B365" s="8" t="s">
        <v>696</v>
      </c>
      <c r="C365" s="8" t="s">
        <v>697</v>
      </c>
      <c r="D365" s="59">
        <v>46120.0</v>
      </c>
      <c r="E365" s="8">
        <v>897940.98</v>
      </c>
      <c r="F365" s="8">
        <v>243508.53</v>
      </c>
      <c r="G365" s="8">
        <v>587632.0</v>
      </c>
      <c r="H365" s="8">
        <f t="shared" si="1"/>
        <v>-66800.45</v>
      </c>
    </row>
    <row r="366">
      <c r="A366" s="59">
        <v>46122.0</v>
      </c>
      <c r="B366" s="8" t="s">
        <v>696</v>
      </c>
      <c r="C366" s="8" t="s">
        <v>697</v>
      </c>
      <c r="D366" s="59">
        <v>46121.0</v>
      </c>
      <c r="E366" s="8">
        <v>897940.98</v>
      </c>
      <c r="F366" s="8">
        <v>243508.53</v>
      </c>
      <c r="G366" s="8">
        <v>630844.0</v>
      </c>
      <c r="H366" s="8">
        <f t="shared" si="1"/>
        <v>-23588.45</v>
      </c>
    </row>
    <row r="367">
      <c r="A367" s="59">
        <v>46125.0</v>
      </c>
      <c r="B367" s="8" t="s">
        <v>696</v>
      </c>
      <c r="C367" s="8" t="s">
        <v>697</v>
      </c>
      <c r="D367" s="59">
        <v>46122.0</v>
      </c>
      <c r="E367" s="8">
        <v>897940.98</v>
      </c>
      <c r="F367" s="8">
        <v>243508.53</v>
      </c>
      <c r="G367" s="8">
        <v>578760.0</v>
      </c>
      <c r="H367" s="8">
        <f t="shared" si="1"/>
        <v>-75672.45</v>
      </c>
    </row>
    <row r="368">
      <c r="A368" s="59">
        <v>46127.0</v>
      </c>
      <c r="B368" s="8" t="s">
        <v>696</v>
      </c>
      <c r="C368" s="8" t="s">
        <v>697</v>
      </c>
      <c r="D368" s="59">
        <v>46125.0</v>
      </c>
      <c r="E368" s="8">
        <v>897940.98</v>
      </c>
      <c r="F368" s="8">
        <v>243508.53</v>
      </c>
      <c r="G368" s="8">
        <v>633867.0</v>
      </c>
      <c r="H368" s="8">
        <f t="shared" si="1"/>
        <v>-20565.45</v>
      </c>
    </row>
    <row r="369">
      <c r="A369" s="59">
        <v>46128.0</v>
      </c>
      <c r="B369" s="8" t="s">
        <v>696</v>
      </c>
      <c r="C369" s="8" t="s">
        <v>697</v>
      </c>
      <c r="D369" s="59">
        <v>46127.0</v>
      </c>
      <c r="E369" s="8">
        <v>897940.98</v>
      </c>
      <c r="F369" s="8">
        <v>243508.53</v>
      </c>
      <c r="G369" s="8">
        <v>535626.0</v>
      </c>
      <c r="H369" s="8">
        <f t="shared" si="1"/>
        <v>-118806.45</v>
      </c>
    </row>
    <row r="370">
      <c r="A370" s="59">
        <v>46129.0</v>
      </c>
      <c r="B370" s="8" t="s">
        <v>696</v>
      </c>
      <c r="C370" s="8" t="s">
        <v>697</v>
      </c>
      <c r="D370" s="59">
        <v>46128.0</v>
      </c>
      <c r="E370" s="8">
        <v>897940.98</v>
      </c>
      <c r="F370" s="8">
        <v>243508.53</v>
      </c>
      <c r="G370" s="8">
        <v>538999.0</v>
      </c>
      <c r="H370" s="8">
        <f t="shared" si="1"/>
        <v>-115433.45</v>
      </c>
    </row>
    <row r="371">
      <c r="A371" s="59">
        <v>46132.0</v>
      </c>
      <c r="B371" s="8" t="s">
        <v>696</v>
      </c>
      <c r="C371" s="8" t="s">
        <v>697</v>
      </c>
      <c r="D371" s="59">
        <v>46129.0</v>
      </c>
      <c r="E371" s="8">
        <v>897940.98</v>
      </c>
      <c r="F371" s="8">
        <v>243508.53</v>
      </c>
      <c r="G371" s="8">
        <v>506649.0</v>
      </c>
      <c r="H371" s="8">
        <f t="shared" si="1"/>
        <v>-147783.45</v>
      </c>
    </row>
    <row r="372">
      <c r="A372" s="59">
        <v>46133.0</v>
      </c>
      <c r="B372" s="8" t="s">
        <v>696</v>
      </c>
      <c r="C372" s="8" t="s">
        <v>697</v>
      </c>
      <c r="D372" s="59">
        <v>46132.0</v>
      </c>
      <c r="E372" s="8">
        <v>897940.98</v>
      </c>
      <c r="F372" s="8">
        <v>243508.53</v>
      </c>
      <c r="G372" s="8">
        <v>515463.0</v>
      </c>
      <c r="H372" s="8">
        <f t="shared" si="1"/>
        <v>-138969.45</v>
      </c>
    </row>
    <row r="373">
      <c r="A373" s="59">
        <v>46134.0</v>
      </c>
      <c r="B373" s="8" t="s">
        <v>696</v>
      </c>
      <c r="C373" s="8" t="s">
        <v>697</v>
      </c>
      <c r="D373" s="59">
        <v>46133.0</v>
      </c>
      <c r="E373" s="8">
        <v>897940.98</v>
      </c>
      <c r="F373" s="8">
        <v>243508.53</v>
      </c>
      <c r="G373" s="8">
        <v>457587.0</v>
      </c>
      <c r="H373" s="8">
        <f t="shared" si="1"/>
        <v>-196845.45</v>
      </c>
    </row>
    <row r="374">
      <c r="A374" s="59">
        <v>46135.0</v>
      </c>
      <c r="B374" s="8" t="s">
        <v>696</v>
      </c>
      <c r="C374" s="8" t="s">
        <v>697</v>
      </c>
      <c r="D374" s="59">
        <v>46134.0</v>
      </c>
      <c r="E374" s="8">
        <v>897940.98</v>
      </c>
      <c r="F374" s="8">
        <v>243508.53</v>
      </c>
      <c r="G374" s="8">
        <v>498478.0</v>
      </c>
      <c r="H374" s="8">
        <f t="shared" si="1"/>
        <v>-155954.45</v>
      </c>
    </row>
    <row r="375">
      <c r="A375" s="59">
        <v>46136.0</v>
      </c>
      <c r="B375" s="8" t="s">
        <v>696</v>
      </c>
      <c r="C375" s="8" t="s">
        <v>697</v>
      </c>
      <c r="D375" s="59">
        <v>46135.0</v>
      </c>
      <c r="E375" s="8">
        <v>897940.98</v>
      </c>
      <c r="F375" s="8">
        <v>243508.53</v>
      </c>
      <c r="G375" s="8">
        <v>550719.0</v>
      </c>
      <c r="H375" s="8">
        <f t="shared" si="1"/>
        <v>-103713.45</v>
      </c>
    </row>
    <row r="376">
      <c r="A376" s="59">
        <v>46139.0</v>
      </c>
      <c r="B376" s="8" t="s">
        <v>696</v>
      </c>
      <c r="C376" s="8" t="s">
        <v>697</v>
      </c>
      <c r="D376" s="59">
        <v>46136.0</v>
      </c>
      <c r="E376" s="8">
        <v>897940.98</v>
      </c>
      <c r="F376" s="8">
        <v>243508.53</v>
      </c>
      <c r="G376" s="8">
        <v>610662.0</v>
      </c>
      <c r="H376" s="8">
        <f t="shared" si="1"/>
        <v>-43770.45</v>
      </c>
    </row>
    <row r="377">
      <c r="A377" s="59">
        <v>46140.0</v>
      </c>
      <c r="B377" s="8" t="s">
        <v>696</v>
      </c>
      <c r="C377" s="8" t="s">
        <v>697</v>
      </c>
      <c r="D377" s="59">
        <v>46139.0</v>
      </c>
      <c r="E377" s="8">
        <v>897940.98</v>
      </c>
      <c r="F377" s="8">
        <v>243508.53</v>
      </c>
      <c r="G377" s="8">
        <v>566826.0</v>
      </c>
      <c r="H377" s="8">
        <f t="shared" si="1"/>
        <v>-87606.45</v>
      </c>
    </row>
    <row r="378">
      <c r="A378" s="59">
        <v>46141.0</v>
      </c>
      <c r="B378" s="8" t="s">
        <v>696</v>
      </c>
      <c r="C378" s="8" t="s">
        <v>697</v>
      </c>
      <c r="D378" s="59">
        <v>46140.0</v>
      </c>
      <c r="E378" s="8">
        <v>897940.98</v>
      </c>
      <c r="F378" s="8">
        <v>243508.53</v>
      </c>
      <c r="G378" s="8">
        <v>601516.0</v>
      </c>
      <c r="H378" s="8">
        <f t="shared" si="1"/>
        <v>-52916.45</v>
      </c>
    </row>
    <row r="379">
      <c r="A379" s="59">
        <v>46142.0</v>
      </c>
      <c r="B379" s="8" t="s">
        <v>696</v>
      </c>
      <c r="C379" s="8" t="s">
        <v>697</v>
      </c>
      <c r="D379" s="59">
        <v>46141.0</v>
      </c>
      <c r="E379" s="8">
        <v>897940.98</v>
      </c>
      <c r="F379" s="8">
        <v>243508.53</v>
      </c>
      <c r="G379" s="8">
        <v>555984.0</v>
      </c>
      <c r="H379" s="8">
        <f t="shared" si="1"/>
        <v>-98448.45</v>
      </c>
    </row>
    <row r="380">
      <c r="A380" s="59">
        <v>46146.0</v>
      </c>
      <c r="B380" s="8" t="s">
        <v>696</v>
      </c>
      <c r="C380" s="8" t="s">
        <v>697</v>
      </c>
      <c r="D380" s="59">
        <v>46142.0</v>
      </c>
      <c r="E380" s="8">
        <v>897940.98</v>
      </c>
      <c r="F380" s="8">
        <v>243508.53</v>
      </c>
      <c r="G380" s="8">
        <v>604714.0</v>
      </c>
      <c r="H380" s="8">
        <f t="shared" si="1"/>
        <v>-49718.45</v>
      </c>
    </row>
    <row r="381">
      <c r="A381" s="59">
        <v>46147.0</v>
      </c>
      <c r="B381" s="8" t="s">
        <v>696</v>
      </c>
      <c r="C381" s="8" t="s">
        <v>697</v>
      </c>
      <c r="D381" s="59">
        <v>46146.0</v>
      </c>
      <c r="E381" s="8">
        <v>897940.98</v>
      </c>
      <c r="F381" s="8">
        <v>243508.53</v>
      </c>
      <c r="G381" s="8">
        <v>574216.0</v>
      </c>
      <c r="H381" s="8">
        <f t="shared" si="1"/>
        <v>-80216.45</v>
      </c>
    </row>
    <row r="382">
      <c r="A382" s="59">
        <v>46148.0</v>
      </c>
      <c r="B382" s="8" t="s">
        <v>696</v>
      </c>
      <c r="C382" s="8" t="s">
        <v>697</v>
      </c>
      <c r="D382" s="59">
        <v>46147.0</v>
      </c>
      <c r="E382" s="8">
        <v>897940.98</v>
      </c>
      <c r="F382" s="8">
        <v>243508.53</v>
      </c>
      <c r="G382" s="8">
        <v>599527.0</v>
      </c>
      <c r="H382" s="8">
        <f t="shared" si="1"/>
        <v>-54905.45</v>
      </c>
    </row>
    <row r="383">
      <c r="A383" s="59">
        <v>46149.0</v>
      </c>
      <c r="B383" s="8" t="s">
        <v>696</v>
      </c>
      <c r="C383" s="8" t="s">
        <v>697</v>
      </c>
      <c r="D383" s="59">
        <v>46148.0</v>
      </c>
      <c r="E383" s="8">
        <v>897940.98</v>
      </c>
      <c r="F383" s="8">
        <v>243508.53</v>
      </c>
      <c r="G383" s="8">
        <v>513513.0</v>
      </c>
      <c r="H383" s="8">
        <f t="shared" si="1"/>
        <v>-140919.45</v>
      </c>
    </row>
    <row r="384">
      <c r="A384" s="59">
        <v>46150.0</v>
      </c>
      <c r="B384" s="8" t="s">
        <v>696</v>
      </c>
      <c r="C384" s="8" t="s">
        <v>697</v>
      </c>
      <c r="D384" s="59">
        <v>46149.0</v>
      </c>
      <c r="E384" s="8">
        <v>897940.98</v>
      </c>
      <c r="F384" s="8">
        <v>243508.53</v>
      </c>
      <c r="G384" s="8">
        <v>519850.0</v>
      </c>
      <c r="H384" s="8">
        <f t="shared" si="1"/>
        <v>-134582.45</v>
      </c>
    </row>
    <row r="385">
      <c r="A385" s="59">
        <v>46153.0</v>
      </c>
      <c r="B385" s="8" t="s">
        <v>696</v>
      </c>
      <c r="C385" s="8" t="s">
        <v>697</v>
      </c>
      <c r="D385" s="59">
        <v>46150.0</v>
      </c>
      <c r="E385" s="8">
        <v>897940.98</v>
      </c>
      <c r="F385" s="8">
        <v>243508.53</v>
      </c>
      <c r="G385" s="8">
        <v>554424.0</v>
      </c>
      <c r="H385" s="8">
        <f t="shared" si="1"/>
        <v>-100008.45</v>
      </c>
    </row>
    <row r="386">
      <c r="A386" s="59">
        <v>46154.0</v>
      </c>
      <c r="B386" s="8" t="s">
        <v>696</v>
      </c>
      <c r="C386" s="8" t="s">
        <v>697</v>
      </c>
      <c r="D386" s="59">
        <v>46153.0</v>
      </c>
      <c r="E386" s="8">
        <v>897940.98</v>
      </c>
      <c r="F386" s="8">
        <v>243508.53</v>
      </c>
      <c r="G386" s="8">
        <v>642115.0</v>
      </c>
      <c r="H386" s="8">
        <f t="shared" si="1"/>
        <v>-12317.45</v>
      </c>
    </row>
    <row r="387">
      <c r="A387" s="59">
        <v>46155.0</v>
      </c>
      <c r="B387" s="8" t="s">
        <v>696</v>
      </c>
      <c r="C387" s="8" t="s">
        <v>697</v>
      </c>
      <c r="D387" s="59">
        <v>46154.0</v>
      </c>
      <c r="E387" s="8">
        <v>897940.98</v>
      </c>
      <c r="F387" s="8">
        <v>243508.53</v>
      </c>
      <c r="G387" s="8">
        <v>750886.0</v>
      </c>
      <c r="H387" s="8">
        <f t="shared" si="1"/>
        <v>96453.55</v>
      </c>
    </row>
    <row r="388">
      <c r="A388" s="59">
        <v>46156.0</v>
      </c>
      <c r="B388" s="8" t="s">
        <v>696</v>
      </c>
      <c r="C388" s="8" t="s">
        <v>697</v>
      </c>
      <c r="D388" s="59">
        <v>46155.0</v>
      </c>
      <c r="E388" s="8">
        <v>897940.98</v>
      </c>
      <c r="F388" s="8">
        <v>243508.53</v>
      </c>
      <c r="G388" s="8">
        <v>751101.0</v>
      </c>
      <c r="H388" s="8">
        <f t="shared" si="1"/>
        <v>96668.55</v>
      </c>
    </row>
    <row r="389">
      <c r="A389" s="59">
        <v>46157.0</v>
      </c>
      <c r="B389" s="8" t="s">
        <v>696</v>
      </c>
      <c r="C389" s="8" t="s">
        <v>697</v>
      </c>
      <c r="D389" s="59">
        <v>46156.0</v>
      </c>
      <c r="E389" s="8">
        <v>897940.98</v>
      </c>
      <c r="F389" s="8">
        <v>243508.53</v>
      </c>
      <c r="G389" s="8">
        <v>690085.0</v>
      </c>
      <c r="H389" s="8">
        <f t="shared" si="1"/>
        <v>35652.55</v>
      </c>
    </row>
    <row r="390">
      <c r="A390" s="59">
        <v>46160.0</v>
      </c>
      <c r="B390" s="8" t="s">
        <v>696</v>
      </c>
      <c r="C390" s="8" t="s">
        <v>697</v>
      </c>
      <c r="D390" s="59">
        <v>46157.0</v>
      </c>
      <c r="E390" s="8">
        <v>897940.98</v>
      </c>
      <c r="F390" s="8">
        <v>243508.53</v>
      </c>
      <c r="G390" s="8">
        <v>709293.0</v>
      </c>
      <c r="H390" s="8">
        <f t="shared" si="1"/>
        <v>54860.55</v>
      </c>
    </row>
    <row r="391">
      <c r="A391" s="59">
        <v>46161.0</v>
      </c>
      <c r="B391" s="8" t="s">
        <v>696</v>
      </c>
      <c r="C391" s="8" t="s">
        <v>697</v>
      </c>
      <c r="D391" s="59">
        <v>46160.0</v>
      </c>
      <c r="E391" s="8">
        <v>897940.98</v>
      </c>
      <c r="F391" s="8">
        <v>243508.53</v>
      </c>
      <c r="G391" s="8">
        <v>715650.0</v>
      </c>
      <c r="H391" s="8">
        <f t="shared" si="1"/>
        <v>61217.55</v>
      </c>
    </row>
    <row r="392">
      <c r="A392" s="59">
        <v>46162.0</v>
      </c>
      <c r="B392" s="8" t="s">
        <v>696</v>
      </c>
      <c r="C392" s="8" t="s">
        <v>697</v>
      </c>
      <c r="D392" s="59">
        <v>46161.0</v>
      </c>
      <c r="E392" s="8">
        <v>897940.98</v>
      </c>
      <c r="F392" s="8">
        <v>243508.53</v>
      </c>
      <c r="G392" s="8">
        <v>720564.0</v>
      </c>
      <c r="H392" s="8">
        <f t="shared" si="1"/>
        <v>66131.55</v>
      </c>
    </row>
    <row r="393">
      <c r="A393" s="59">
        <v>46163.0</v>
      </c>
      <c r="B393" s="8" t="s">
        <v>696</v>
      </c>
      <c r="C393" s="8" t="s">
        <v>697</v>
      </c>
      <c r="D393" s="59">
        <v>46162.0</v>
      </c>
      <c r="E393" s="8">
        <v>897940.98</v>
      </c>
      <c r="F393" s="8">
        <v>243508.53</v>
      </c>
      <c r="G393" s="8">
        <v>706777.0</v>
      </c>
      <c r="H393" s="8">
        <f t="shared" si="1"/>
        <v>52344.55</v>
      </c>
    </row>
    <row r="394">
      <c r="A394" s="59">
        <v>46164.0</v>
      </c>
      <c r="B394" s="8" t="s">
        <v>696</v>
      </c>
      <c r="C394" s="8" t="s">
        <v>697</v>
      </c>
      <c r="D394" s="59">
        <v>46163.0</v>
      </c>
      <c r="E394" s="8">
        <v>897940.98</v>
      </c>
      <c r="F394" s="8">
        <v>243508.53</v>
      </c>
      <c r="G394" s="8">
        <v>708903.0</v>
      </c>
      <c r="H394" s="8">
        <f t="shared" si="1"/>
        <v>54470.55</v>
      </c>
    </row>
    <row r="395">
      <c r="A395" s="59">
        <v>46167.0</v>
      </c>
      <c r="B395" s="8" t="s">
        <v>696</v>
      </c>
      <c r="C395" s="8" t="s">
        <v>697</v>
      </c>
      <c r="D395" s="59">
        <v>46164.0</v>
      </c>
      <c r="E395" s="8">
        <v>897940.98</v>
      </c>
      <c r="F395" s="8">
        <v>243508.53</v>
      </c>
      <c r="G395" s="8">
        <v>678873.0</v>
      </c>
      <c r="H395" s="8">
        <f t="shared" si="1"/>
        <v>24440.55</v>
      </c>
    </row>
    <row r="396">
      <c r="A396" s="59">
        <v>46168.0</v>
      </c>
      <c r="B396" s="8" t="s">
        <v>696</v>
      </c>
      <c r="C396" s="8" t="s">
        <v>697</v>
      </c>
      <c r="D396" s="59">
        <v>46167.0</v>
      </c>
      <c r="E396" s="8">
        <v>897940.98</v>
      </c>
      <c r="F396" s="8">
        <v>243508.53</v>
      </c>
      <c r="G396" s="8">
        <v>594516.0</v>
      </c>
      <c r="H396" s="8">
        <f t="shared" si="1"/>
        <v>-59916.45</v>
      </c>
    </row>
    <row r="397">
      <c r="A397" s="59">
        <v>46169.0</v>
      </c>
      <c r="B397" s="8" t="s">
        <v>696</v>
      </c>
      <c r="C397" s="8" t="s">
        <v>697</v>
      </c>
      <c r="D397" s="59">
        <v>46168.0</v>
      </c>
      <c r="E397" s="8">
        <v>897940.98</v>
      </c>
      <c r="F397" s="8">
        <v>243508.53</v>
      </c>
      <c r="G397" s="8">
        <v>619729.0</v>
      </c>
      <c r="H397" s="8">
        <f t="shared" si="1"/>
        <v>-34703.45</v>
      </c>
    </row>
    <row r="398">
      <c r="A398" s="59">
        <v>46171.0</v>
      </c>
      <c r="B398" s="8" t="s">
        <v>696</v>
      </c>
      <c r="C398" s="8" t="s">
        <v>697</v>
      </c>
      <c r="D398" s="59">
        <v>46169.0</v>
      </c>
      <c r="E398" s="8">
        <v>897940.98</v>
      </c>
      <c r="F398" s="8">
        <v>243508.53</v>
      </c>
      <c r="G398" s="8">
        <v>618189.0</v>
      </c>
      <c r="H398" s="8">
        <f t="shared" si="1"/>
        <v>-36243.45</v>
      </c>
    </row>
    <row r="399">
      <c r="A399" s="59">
        <v>46174.0</v>
      </c>
      <c r="B399" s="8" t="s">
        <v>696</v>
      </c>
      <c r="C399" s="8" t="s">
        <v>697</v>
      </c>
      <c r="D399" s="59">
        <v>46171.0</v>
      </c>
      <c r="E399" s="8">
        <v>897940.98</v>
      </c>
      <c r="F399" s="8">
        <v>243508.53</v>
      </c>
      <c r="G399" s="8">
        <v>683826.0</v>
      </c>
      <c r="H399" s="8">
        <f t="shared" si="1"/>
        <v>29393.55</v>
      </c>
    </row>
    <row r="400">
      <c r="A400" s="59">
        <v>46175.0</v>
      </c>
      <c r="B400" s="8" t="s">
        <v>696</v>
      </c>
      <c r="C400" s="8" t="s">
        <v>697</v>
      </c>
      <c r="D400" s="59">
        <v>46174.0</v>
      </c>
      <c r="E400" s="8">
        <v>897940.98</v>
      </c>
      <c r="F400" s="8">
        <v>243508.53</v>
      </c>
      <c r="G400" s="8">
        <v>759876.0</v>
      </c>
      <c r="H400" s="8">
        <f t="shared" si="1"/>
        <v>105443.55</v>
      </c>
    </row>
    <row r="401">
      <c r="A401" s="59">
        <v>46176.0</v>
      </c>
      <c r="B401" s="8" t="s">
        <v>696</v>
      </c>
      <c r="C401" s="8" t="s">
        <v>697</v>
      </c>
      <c r="D401" s="59">
        <v>46175.0</v>
      </c>
      <c r="E401" s="8">
        <v>897940.98</v>
      </c>
      <c r="F401" s="8">
        <v>243508.53</v>
      </c>
      <c r="G401" s="8">
        <v>714304.0</v>
      </c>
      <c r="H401" s="8">
        <f t="shared" si="1"/>
        <v>59871.55</v>
      </c>
    </row>
    <row r="402">
      <c r="A402" s="59">
        <v>46177.0</v>
      </c>
      <c r="B402" s="8" t="s">
        <v>696</v>
      </c>
      <c r="C402" s="8" t="s">
        <v>697</v>
      </c>
      <c r="D402" s="59">
        <v>46176.0</v>
      </c>
      <c r="E402" s="8">
        <v>897940.98</v>
      </c>
      <c r="F402" s="8">
        <v>243508.53</v>
      </c>
      <c r="G402" s="8">
        <v>728754.0</v>
      </c>
      <c r="H402" s="8">
        <f t="shared" si="1"/>
        <v>74321.55</v>
      </c>
    </row>
    <row r="403">
      <c r="A403" s="59">
        <v>46178.0</v>
      </c>
      <c r="B403" s="8" t="s">
        <v>696</v>
      </c>
      <c r="C403" s="8" t="s">
        <v>697</v>
      </c>
      <c r="D403" s="59">
        <v>46177.0</v>
      </c>
      <c r="E403" s="8">
        <v>897940.98</v>
      </c>
      <c r="F403" s="8">
        <v>243508.53</v>
      </c>
      <c r="G403" s="8">
        <v>742248.0</v>
      </c>
      <c r="H403" s="8">
        <f t="shared" si="1"/>
        <v>87815.55</v>
      </c>
    </row>
    <row r="404">
      <c r="A404" s="59">
        <v>46181.0</v>
      </c>
      <c r="B404" s="8" t="s">
        <v>696</v>
      </c>
      <c r="C404" s="8" t="s">
        <v>697</v>
      </c>
      <c r="D404" s="59">
        <v>46178.0</v>
      </c>
      <c r="E404" s="8">
        <v>897940.98</v>
      </c>
      <c r="F404" s="8">
        <v>243508.53</v>
      </c>
      <c r="G404" s="8">
        <v>753616.0</v>
      </c>
      <c r="H404" s="8">
        <f t="shared" si="1"/>
        <v>99183.55</v>
      </c>
    </row>
    <row r="405">
      <c r="A405" s="59">
        <v>46182.0</v>
      </c>
      <c r="B405" s="8" t="s">
        <v>696</v>
      </c>
      <c r="C405" s="8" t="s">
        <v>697</v>
      </c>
      <c r="D405" s="59">
        <v>46181.0</v>
      </c>
      <c r="E405" s="8">
        <v>897940.98</v>
      </c>
      <c r="F405" s="8">
        <v>243508.53</v>
      </c>
      <c r="G405" s="8">
        <v>837661.0</v>
      </c>
      <c r="H405" s="8">
        <f t="shared" si="1"/>
        <v>183228.55</v>
      </c>
    </row>
    <row r="406">
      <c r="A406" s="59">
        <v>46183.0</v>
      </c>
      <c r="B406" s="8" t="s">
        <v>696</v>
      </c>
      <c r="C406" s="8" t="s">
        <v>697</v>
      </c>
      <c r="D406" s="59">
        <v>46182.0</v>
      </c>
      <c r="E406" s="8">
        <v>897940.98</v>
      </c>
      <c r="F406" s="8">
        <v>243508.53</v>
      </c>
      <c r="G406" s="8">
        <v>785050.0</v>
      </c>
      <c r="H406" s="8">
        <f t="shared" si="1"/>
        <v>130617.55</v>
      </c>
    </row>
    <row r="407">
      <c r="A407" s="59">
        <v>46184.0</v>
      </c>
      <c r="B407" s="8" t="s">
        <v>696</v>
      </c>
      <c r="C407" s="8" t="s">
        <v>697</v>
      </c>
      <c r="D407" s="59">
        <v>46183.0</v>
      </c>
      <c r="E407" s="8">
        <v>897940.98</v>
      </c>
      <c r="F407" s="8">
        <v>243508.53</v>
      </c>
      <c r="G407" s="8">
        <v>824596.0</v>
      </c>
      <c r="H407" s="8">
        <f t="shared" si="1"/>
        <v>170163.55</v>
      </c>
    </row>
    <row r="408">
      <c r="A408" s="59">
        <v>46185.0</v>
      </c>
      <c r="B408" s="8" t="s">
        <v>696</v>
      </c>
      <c r="C408" s="8" t="s">
        <v>697</v>
      </c>
      <c r="D408" s="59">
        <v>46184.0</v>
      </c>
      <c r="E408" s="8">
        <v>897940.98</v>
      </c>
      <c r="F408" s="8">
        <v>243508.53</v>
      </c>
      <c r="G408" s="8">
        <v>837817.0</v>
      </c>
      <c r="H408" s="8">
        <f t="shared" si="1"/>
        <v>183384.55</v>
      </c>
    </row>
    <row r="409">
      <c r="A409" s="59">
        <v>46188.0</v>
      </c>
      <c r="B409" s="8" t="s">
        <v>696</v>
      </c>
      <c r="C409" s="8" t="s">
        <v>697</v>
      </c>
      <c r="D409" s="59">
        <v>46185.0</v>
      </c>
      <c r="E409" s="8">
        <v>897940.98</v>
      </c>
      <c r="F409" s="8">
        <v>243508.53</v>
      </c>
      <c r="G409" s="8">
        <v>699133.0</v>
      </c>
      <c r="H409" s="8">
        <f t="shared" si="1"/>
        <v>44700.55</v>
      </c>
    </row>
    <row r="410">
      <c r="A410" s="59">
        <v>46189.0</v>
      </c>
      <c r="B410" s="8" t="s">
        <v>696</v>
      </c>
      <c r="C410" s="8" t="s">
        <v>697</v>
      </c>
      <c r="D410" s="59">
        <v>46188.0</v>
      </c>
      <c r="E410" s="8">
        <v>897940.98</v>
      </c>
      <c r="F410" s="8">
        <v>243508.53</v>
      </c>
      <c r="G410" s="8">
        <v>624448.0</v>
      </c>
      <c r="H410" s="8">
        <f t="shared" si="1"/>
        <v>-29984.45</v>
      </c>
    </row>
    <row r="411">
      <c r="A411" s="59">
        <v>46190.0</v>
      </c>
      <c r="B411" s="8" t="s">
        <v>696</v>
      </c>
      <c r="C411" s="8" t="s">
        <v>697</v>
      </c>
      <c r="D411" s="59">
        <v>46189.0</v>
      </c>
      <c r="E411" s="8">
        <v>897940.98</v>
      </c>
      <c r="F411" s="8">
        <v>243508.53</v>
      </c>
      <c r="G411" s="8">
        <v>598845.0</v>
      </c>
      <c r="H411" s="8">
        <f t="shared" si="1"/>
        <v>-55587.45</v>
      </c>
    </row>
    <row r="412">
      <c r="A412" s="59">
        <v>46191.0</v>
      </c>
      <c r="B412" s="8" t="s">
        <v>696</v>
      </c>
      <c r="C412" s="8" t="s">
        <v>697</v>
      </c>
      <c r="D412" s="59">
        <v>46190.0</v>
      </c>
      <c r="E412" s="8">
        <v>897940.98</v>
      </c>
      <c r="F412" s="8">
        <v>243508.53</v>
      </c>
      <c r="G412" s="8">
        <v>577453.0</v>
      </c>
      <c r="H412" s="8">
        <f t="shared" si="1"/>
        <v>-76979.45</v>
      </c>
    </row>
    <row r="413">
      <c r="A413" s="59">
        <v>46192.0</v>
      </c>
      <c r="B413" s="8" t="s">
        <v>696</v>
      </c>
      <c r="C413" s="8" t="s">
        <v>697</v>
      </c>
      <c r="D413" s="59">
        <v>46191.0</v>
      </c>
      <c r="E413" s="8">
        <v>897940.98</v>
      </c>
      <c r="F413" s="8">
        <v>243508.53</v>
      </c>
      <c r="G413" s="8">
        <v>540286.0</v>
      </c>
      <c r="H413" s="8">
        <f t="shared" si="1"/>
        <v>-114146.45</v>
      </c>
    </row>
    <row r="414">
      <c r="A414" s="59">
        <v>46195.0</v>
      </c>
      <c r="B414" s="8" t="s">
        <v>696</v>
      </c>
      <c r="C414" s="8" t="s">
        <v>697</v>
      </c>
      <c r="D414" s="59">
        <v>46192.0</v>
      </c>
      <c r="E414" s="8">
        <v>897940.98</v>
      </c>
      <c r="F414" s="8">
        <v>243508.53</v>
      </c>
      <c r="G414" s="8">
        <v>572149.0</v>
      </c>
      <c r="H414" s="8">
        <f t="shared" si="1"/>
        <v>-82283.45</v>
      </c>
    </row>
    <row r="415">
      <c r="A415" s="59">
        <v>46196.0</v>
      </c>
      <c r="B415" s="8" t="s">
        <v>696</v>
      </c>
      <c r="C415" s="8" t="s">
        <v>697</v>
      </c>
      <c r="D415" s="59">
        <v>46195.0</v>
      </c>
      <c r="E415" s="8">
        <v>897940.98</v>
      </c>
      <c r="F415" s="8">
        <v>243508.53</v>
      </c>
      <c r="G415" s="8">
        <v>552240.0</v>
      </c>
      <c r="H415" s="8">
        <f t="shared" si="1"/>
        <v>-102192.45</v>
      </c>
    </row>
    <row r="416">
      <c r="A416" s="59">
        <v>46197.0</v>
      </c>
      <c r="B416" s="8" t="s">
        <v>696</v>
      </c>
      <c r="C416" s="8" t="s">
        <v>697</v>
      </c>
      <c r="D416" s="59">
        <v>46196.0</v>
      </c>
      <c r="E416" s="8">
        <v>897940.98</v>
      </c>
      <c r="F416" s="8">
        <v>243508.53</v>
      </c>
      <c r="G416" s="8">
        <v>633067.0</v>
      </c>
      <c r="H416" s="8">
        <f t="shared" si="1"/>
        <v>-21365.45</v>
      </c>
    </row>
    <row r="417">
      <c r="A417" s="59">
        <v>46198.0</v>
      </c>
      <c r="B417" s="8" t="s">
        <v>696</v>
      </c>
      <c r="C417" s="8" t="s">
        <v>697</v>
      </c>
      <c r="D417" s="59">
        <v>46197.0</v>
      </c>
      <c r="E417" s="8">
        <v>897940.98</v>
      </c>
      <c r="F417" s="8">
        <v>243508.53</v>
      </c>
      <c r="G417" s="8">
        <v>575094.0</v>
      </c>
      <c r="H417" s="8">
        <f t="shared" si="1"/>
        <v>-79338.45</v>
      </c>
    </row>
    <row r="418">
      <c r="A418" s="59">
        <v>46202.0</v>
      </c>
      <c r="B418" s="8" t="s">
        <v>696</v>
      </c>
      <c r="C418" s="8" t="s">
        <v>697</v>
      </c>
      <c r="D418" s="59">
        <v>46198.0</v>
      </c>
      <c r="E418" s="8">
        <v>897940.98</v>
      </c>
      <c r="F418" s="8">
        <v>243508.53</v>
      </c>
      <c r="G418" s="8">
        <v>562497.0</v>
      </c>
      <c r="H418" s="8">
        <f t="shared" si="1"/>
        <v>-91935.45</v>
      </c>
    </row>
    <row r="419">
      <c r="A419" s="59">
        <v>46203.0</v>
      </c>
      <c r="B419" s="8" t="s">
        <v>696</v>
      </c>
      <c r="C419" s="8" t="s">
        <v>697</v>
      </c>
      <c r="D419" s="59">
        <v>46202.0</v>
      </c>
      <c r="E419" s="8">
        <v>897940.98</v>
      </c>
      <c r="F419" s="8">
        <v>243508.53</v>
      </c>
      <c r="G419" s="8">
        <v>593326.0</v>
      </c>
      <c r="H419" s="8">
        <f t="shared" si="1"/>
        <v>-61106.45</v>
      </c>
    </row>
    <row r="420">
      <c r="A420" s="59">
        <v>46204.0</v>
      </c>
      <c r="B420" s="8" t="s">
        <v>696</v>
      </c>
      <c r="C420" s="8" t="s">
        <v>697</v>
      </c>
      <c r="D420" s="59">
        <v>46203.0</v>
      </c>
      <c r="E420" s="8">
        <v>897940.98</v>
      </c>
      <c r="F420" s="8">
        <v>243508.53</v>
      </c>
      <c r="G420" s="8">
        <v>592761.0</v>
      </c>
      <c r="H420" s="8">
        <f t="shared" si="1"/>
        <v>-61671.45</v>
      </c>
    </row>
    <row r="421">
      <c r="A421" s="59">
        <v>46205.0</v>
      </c>
      <c r="B421" s="8" t="s">
        <v>696</v>
      </c>
      <c r="C421" s="8" t="s">
        <v>697</v>
      </c>
      <c r="D421" s="59">
        <v>46204.0</v>
      </c>
      <c r="E421" s="8">
        <v>897940.98</v>
      </c>
      <c r="F421" s="8">
        <v>243508.53</v>
      </c>
      <c r="G421" s="8">
        <v>586677.0</v>
      </c>
      <c r="H421" s="8">
        <f t="shared" si="1"/>
        <v>-67755.45</v>
      </c>
    </row>
    <row r="422">
      <c r="A422" s="59">
        <v>46206.0</v>
      </c>
      <c r="B422" s="8" t="s">
        <v>696</v>
      </c>
      <c r="C422" s="8" t="s">
        <v>697</v>
      </c>
      <c r="D422" s="59">
        <v>46205.0</v>
      </c>
      <c r="E422" s="8">
        <v>897940.98</v>
      </c>
      <c r="F422" s="8">
        <v>243508.53</v>
      </c>
      <c r="G422" s="8">
        <v>541612.0</v>
      </c>
      <c r="H422" s="8">
        <f t="shared" si="1"/>
        <v>-112820.45</v>
      </c>
    </row>
    <row r="423">
      <c r="A423" s="59">
        <v>46209.0</v>
      </c>
      <c r="B423" s="8" t="s">
        <v>696</v>
      </c>
      <c r="C423" s="8" t="s">
        <v>697</v>
      </c>
      <c r="D423" s="59">
        <v>46206.0</v>
      </c>
      <c r="E423" s="8">
        <v>897940.98</v>
      </c>
      <c r="F423" s="8">
        <v>243508.53</v>
      </c>
      <c r="G423" s="8">
        <v>511348.0</v>
      </c>
      <c r="H423" s="8">
        <f t="shared" si="1"/>
        <v>-143084.45</v>
      </c>
    </row>
    <row r="424">
      <c r="A424" s="59">
        <v>46210.0</v>
      </c>
      <c r="B424" s="8" t="s">
        <v>696</v>
      </c>
      <c r="C424" s="8" t="s">
        <v>697</v>
      </c>
      <c r="D424" s="59">
        <v>46209.0</v>
      </c>
      <c r="E424" s="8">
        <v>897940.98</v>
      </c>
      <c r="F424" s="8">
        <v>243508.53</v>
      </c>
      <c r="G424" s="8">
        <v>476521.0</v>
      </c>
      <c r="H424" s="8">
        <f t="shared" si="1"/>
        <v>-177911.45</v>
      </c>
    </row>
    <row r="425">
      <c r="A425" s="59">
        <v>46211.0</v>
      </c>
      <c r="B425" s="8" t="s">
        <v>696</v>
      </c>
      <c r="C425" s="8" t="s">
        <v>697</v>
      </c>
      <c r="D425" s="59">
        <v>46210.0</v>
      </c>
      <c r="E425" s="8">
        <v>897940.98</v>
      </c>
      <c r="F425" s="8">
        <v>243508.53</v>
      </c>
      <c r="G425" s="8">
        <v>485569.0</v>
      </c>
      <c r="H425" s="8">
        <f t="shared" si="1"/>
        <v>-168863.45</v>
      </c>
    </row>
    <row r="426">
      <c r="A426" s="59">
        <v>46212.0</v>
      </c>
      <c r="B426" s="8" t="s">
        <v>696</v>
      </c>
      <c r="C426" s="8" t="s">
        <v>697</v>
      </c>
      <c r="D426" s="59">
        <v>46211.0</v>
      </c>
      <c r="E426" s="8">
        <v>897940.98</v>
      </c>
      <c r="F426" s="8">
        <v>243508.53</v>
      </c>
      <c r="G426" s="8">
        <v>632755.0</v>
      </c>
      <c r="H426" s="8">
        <f t="shared" si="1"/>
        <v>-21677.45</v>
      </c>
    </row>
    <row r="427">
      <c r="A427" s="59">
        <v>46213.0</v>
      </c>
      <c r="B427" s="8" t="s">
        <v>696</v>
      </c>
      <c r="C427" s="8" t="s">
        <v>697</v>
      </c>
      <c r="D427" s="59">
        <v>46212.0</v>
      </c>
      <c r="E427" s="8">
        <v>897940.98</v>
      </c>
      <c r="F427" s="8">
        <v>243508.53</v>
      </c>
      <c r="G427" s="8">
        <v>611247.0</v>
      </c>
      <c r="H427" s="8">
        <f t="shared" si="1"/>
        <v>-43185.45</v>
      </c>
    </row>
    <row r="428">
      <c r="A428" s="59">
        <v>46216.0</v>
      </c>
      <c r="B428" s="8" t="s">
        <v>696</v>
      </c>
      <c r="C428" s="8" t="s">
        <v>697</v>
      </c>
      <c r="D428" s="59">
        <v>46213.0</v>
      </c>
      <c r="E428" s="8">
        <v>897940.98</v>
      </c>
      <c r="F428" s="8">
        <v>243508.53</v>
      </c>
      <c r="G428" s="8">
        <v>539175.0</v>
      </c>
      <c r="H428" s="8">
        <f t="shared" si="1"/>
        <v>-115257.45</v>
      </c>
    </row>
    <row r="429">
      <c r="A429" s="59">
        <v>46217.0</v>
      </c>
      <c r="B429" s="8" t="s">
        <v>696</v>
      </c>
      <c r="C429" s="8" t="s">
        <v>697</v>
      </c>
      <c r="D429" s="59">
        <v>46216.0</v>
      </c>
      <c r="E429" s="8">
        <v>897940.98</v>
      </c>
      <c r="F429" s="8">
        <v>243508.53</v>
      </c>
      <c r="G429" s="8">
        <v>539604.0</v>
      </c>
      <c r="H429" s="8">
        <f t="shared" si="1"/>
        <v>-114828.45</v>
      </c>
    </row>
    <row r="430">
      <c r="A430" s="59">
        <v>46218.0</v>
      </c>
      <c r="B430" s="8" t="s">
        <v>696</v>
      </c>
      <c r="C430" s="8" t="s">
        <v>697</v>
      </c>
      <c r="D430" s="59">
        <v>46217.0</v>
      </c>
      <c r="E430" s="8">
        <v>897940.98</v>
      </c>
      <c r="F430" s="8">
        <v>243508.53</v>
      </c>
      <c r="G430" s="8">
        <v>602394.0</v>
      </c>
      <c r="H430" s="8">
        <f t="shared" si="1"/>
        <v>-52038.45</v>
      </c>
    </row>
    <row r="431">
      <c r="A431" s="59">
        <v>46219.0</v>
      </c>
      <c r="B431" s="8" t="s">
        <v>696</v>
      </c>
      <c r="C431" s="8" t="s">
        <v>697</v>
      </c>
      <c r="D431" s="59">
        <v>46218.0</v>
      </c>
      <c r="E431" s="8">
        <v>897940.98</v>
      </c>
      <c r="F431" s="8">
        <v>243508.53</v>
      </c>
      <c r="G431" s="8">
        <v>586462.0</v>
      </c>
      <c r="H431" s="8">
        <f t="shared" si="1"/>
        <v>-67970.45</v>
      </c>
    </row>
    <row r="432">
      <c r="A432" s="59">
        <v>46220.0</v>
      </c>
      <c r="B432" s="8" t="s">
        <v>696</v>
      </c>
      <c r="C432" s="8" t="s">
        <v>697</v>
      </c>
      <c r="D432" s="59">
        <v>46219.0</v>
      </c>
      <c r="E432" s="8">
        <v>897940.98</v>
      </c>
      <c r="F432" s="8">
        <v>243508.53</v>
      </c>
      <c r="G432" s="8">
        <v>575230.0</v>
      </c>
      <c r="H432" s="8">
        <f t="shared" si="1"/>
        <v>-79202.45</v>
      </c>
    </row>
    <row r="433">
      <c r="A433" s="59">
        <v>46223.0</v>
      </c>
      <c r="B433" s="8" t="s">
        <v>696</v>
      </c>
      <c r="C433" s="8" t="s">
        <v>697</v>
      </c>
      <c r="D433" s="59">
        <v>46220.0</v>
      </c>
      <c r="E433" s="8">
        <v>897940.98</v>
      </c>
      <c r="F433" s="8">
        <v>243508.53</v>
      </c>
      <c r="G433" s="8">
        <v>520572.0</v>
      </c>
      <c r="H433" s="8">
        <f t="shared" si="1"/>
        <v>-133860.45</v>
      </c>
    </row>
    <row r="434">
      <c r="A434" s="59">
        <v>46224.0</v>
      </c>
      <c r="B434" s="8" t="s">
        <v>696</v>
      </c>
      <c r="C434" s="8" t="s">
        <v>697</v>
      </c>
      <c r="D434" s="59">
        <v>46223.0</v>
      </c>
      <c r="E434" s="8">
        <v>897940.98</v>
      </c>
      <c r="F434" s="8">
        <v>243508.53</v>
      </c>
      <c r="G434" s="8">
        <v>535704.0</v>
      </c>
      <c r="H434" s="8">
        <f t="shared" si="1"/>
        <v>-118728.45</v>
      </c>
    </row>
    <row r="435">
      <c r="A435" s="59">
        <v>46225.0</v>
      </c>
      <c r="B435" s="8" t="s">
        <v>696</v>
      </c>
      <c r="C435" s="8" t="s">
        <v>697</v>
      </c>
      <c r="D435" s="59">
        <v>46224.0</v>
      </c>
      <c r="E435" s="8">
        <v>897940.98</v>
      </c>
      <c r="F435" s="8">
        <v>243508.53</v>
      </c>
      <c r="G435" s="8">
        <v>554833.0</v>
      </c>
      <c r="H435" s="8">
        <f t="shared" si="1"/>
        <v>-99599.45</v>
      </c>
    </row>
    <row r="436">
      <c r="A436" s="59">
        <v>46226.0</v>
      </c>
      <c r="B436" s="8" t="s">
        <v>696</v>
      </c>
      <c r="C436" s="8" t="s">
        <v>697</v>
      </c>
      <c r="D436" s="59">
        <v>46225.0</v>
      </c>
      <c r="E436" s="8">
        <v>897940.98</v>
      </c>
      <c r="F436" s="8">
        <v>243508.53</v>
      </c>
      <c r="G436" s="8">
        <v>608283.0</v>
      </c>
      <c r="H436" s="8">
        <f t="shared" si="1"/>
        <v>-46149.45</v>
      </c>
    </row>
    <row r="437">
      <c r="A437" s="59">
        <v>46227.0</v>
      </c>
      <c r="B437" s="8" t="s">
        <v>696</v>
      </c>
      <c r="C437" s="8" t="s">
        <v>697</v>
      </c>
      <c r="D437" s="59">
        <v>46226.0</v>
      </c>
      <c r="E437" s="8">
        <v>897940.98</v>
      </c>
      <c r="F437" s="8">
        <v>243508.53</v>
      </c>
      <c r="G437" s="8">
        <v>646152.0</v>
      </c>
      <c r="H437" s="8">
        <f t="shared" si="1"/>
        <v>-8280.45</v>
      </c>
    </row>
    <row r="438">
      <c r="A438" s="59">
        <v>46230.0</v>
      </c>
      <c r="B438" s="8" t="s">
        <v>696</v>
      </c>
      <c r="C438" s="8" t="s">
        <v>697</v>
      </c>
      <c r="D438" s="59">
        <v>46227.0</v>
      </c>
      <c r="E438" s="8">
        <v>897940.98</v>
      </c>
      <c r="F438" s="8">
        <v>243508.53</v>
      </c>
      <c r="G438" s="8">
        <v>669337.0</v>
      </c>
      <c r="H438" s="8">
        <f t="shared" si="1"/>
        <v>14904.55</v>
      </c>
    </row>
    <row r="439">
      <c r="A439" s="59">
        <v>46231.0</v>
      </c>
      <c r="B439" s="8" t="s">
        <v>696</v>
      </c>
      <c r="C439" s="8" t="s">
        <v>697</v>
      </c>
      <c r="D439" s="59">
        <v>46230.0</v>
      </c>
      <c r="E439" s="8">
        <v>897940.98</v>
      </c>
      <c r="F439" s="8">
        <v>243508.53</v>
      </c>
      <c r="G439" s="8">
        <v>595686.0</v>
      </c>
      <c r="H439" s="8">
        <f t="shared" si="1"/>
        <v>-58746.45</v>
      </c>
    </row>
    <row r="440">
      <c r="A440" s="59">
        <v>46232.0</v>
      </c>
      <c r="B440" s="8" t="s">
        <v>696</v>
      </c>
      <c r="C440" s="8" t="s">
        <v>697</v>
      </c>
      <c r="D440" s="59">
        <v>46231.0</v>
      </c>
      <c r="E440" s="8">
        <v>897940.98</v>
      </c>
      <c r="F440" s="8">
        <v>243508.53</v>
      </c>
      <c r="G440" s="8">
        <v>598182.0</v>
      </c>
      <c r="H440" s="8">
        <f t="shared" si="1"/>
        <v>-56250.45</v>
      </c>
    </row>
    <row r="441">
      <c r="A441" s="59">
        <v>46233.0</v>
      </c>
      <c r="B441" s="8" t="s">
        <v>696</v>
      </c>
      <c r="C441" s="8" t="s">
        <v>697</v>
      </c>
      <c r="D441" s="59">
        <v>46232.0</v>
      </c>
      <c r="E441" s="8">
        <v>897940.98</v>
      </c>
      <c r="F441" s="8">
        <v>243508.53</v>
      </c>
      <c r="G441" s="8">
        <v>541651.0</v>
      </c>
      <c r="H441" s="8">
        <f t="shared" si="1"/>
        <v>-112781.45</v>
      </c>
    </row>
    <row r="442">
      <c r="A442" s="59">
        <v>46234.0</v>
      </c>
      <c r="B442" s="8" t="s">
        <v>696</v>
      </c>
      <c r="C442" s="8" t="s">
        <v>697</v>
      </c>
      <c r="D442" s="59">
        <v>46233.0</v>
      </c>
      <c r="E442" s="8">
        <v>897940.98</v>
      </c>
      <c r="F442" s="8">
        <v>243508.53</v>
      </c>
      <c r="G442" s="8">
        <v>528333.0</v>
      </c>
      <c r="H442" s="8">
        <f t="shared" si="1"/>
        <v>-126099.45</v>
      </c>
    </row>
    <row r="443">
      <c r="A443" s="59">
        <v>46237.0</v>
      </c>
      <c r="B443" s="8" t="s">
        <v>696</v>
      </c>
      <c r="C443" s="8" t="s">
        <v>697</v>
      </c>
      <c r="D443" s="59">
        <v>46234.0</v>
      </c>
      <c r="E443" s="8">
        <v>897940.98</v>
      </c>
      <c r="F443" s="8">
        <v>243508.53</v>
      </c>
      <c r="G443" s="8">
        <v>501813.0</v>
      </c>
      <c r="H443" s="8">
        <f t="shared" si="1"/>
        <v>-152619.45</v>
      </c>
    </row>
    <row r="444">
      <c r="A444" s="59">
        <v>46238.0</v>
      </c>
      <c r="B444" s="8" t="s">
        <v>696</v>
      </c>
      <c r="C444" s="8" t="s">
        <v>697</v>
      </c>
      <c r="D444" s="59">
        <v>46237.0</v>
      </c>
      <c r="E444" s="8">
        <v>897940.98</v>
      </c>
      <c r="F444" s="8">
        <v>243508.53</v>
      </c>
      <c r="G444" s="8">
        <v>445360.0</v>
      </c>
      <c r="H444" s="8">
        <f t="shared" si="1"/>
        <v>-209072.45</v>
      </c>
    </row>
    <row r="445">
      <c r="A445" s="59">
        <v>46239.0</v>
      </c>
      <c r="B445" s="8" t="s">
        <v>696</v>
      </c>
      <c r="C445" s="8" t="s">
        <v>697</v>
      </c>
      <c r="D445" s="59">
        <v>46238.0</v>
      </c>
      <c r="E445" s="8">
        <v>897940.98</v>
      </c>
      <c r="F445" s="8">
        <v>243508.53</v>
      </c>
      <c r="G445" s="8">
        <v>457041.0</v>
      </c>
      <c r="H445" s="8">
        <f t="shared" si="1"/>
        <v>-197391.45</v>
      </c>
    </row>
    <row r="446">
      <c r="A446" s="59">
        <v>46240.0</v>
      </c>
      <c r="B446" s="8" t="s">
        <v>696</v>
      </c>
      <c r="C446" s="8" t="s">
        <v>697</v>
      </c>
      <c r="D446" s="59">
        <v>46239.0</v>
      </c>
      <c r="E446" s="8">
        <v>897940.98</v>
      </c>
      <c r="F446" s="8">
        <v>243508.53</v>
      </c>
      <c r="G446" s="8">
        <v>431164.0</v>
      </c>
      <c r="H446" s="8">
        <f t="shared" si="1"/>
        <v>-223268.45</v>
      </c>
    </row>
    <row r="447">
      <c r="A447" s="59">
        <v>46241.0</v>
      </c>
      <c r="B447" s="8" t="s">
        <v>696</v>
      </c>
      <c r="C447" s="8" t="s">
        <v>697</v>
      </c>
      <c r="D447" s="59">
        <v>46240.0</v>
      </c>
      <c r="E447" s="8">
        <v>897940.98</v>
      </c>
      <c r="F447" s="8">
        <v>243508.53</v>
      </c>
      <c r="G447" s="8">
        <v>411586.0</v>
      </c>
      <c r="H447" s="8">
        <f t="shared" si="1"/>
        <v>-242846.45</v>
      </c>
    </row>
    <row r="448">
      <c r="A448" s="59">
        <v>46244.0</v>
      </c>
      <c r="B448" s="8" t="s">
        <v>696</v>
      </c>
      <c r="C448" s="8" t="s">
        <v>697</v>
      </c>
      <c r="D448" s="59">
        <v>46241.0</v>
      </c>
      <c r="E448" s="8">
        <v>897940.98</v>
      </c>
      <c r="F448" s="8">
        <v>243508.53</v>
      </c>
      <c r="G448" s="8">
        <v>431047.0</v>
      </c>
      <c r="H448" s="8">
        <f t="shared" si="1"/>
        <v>-223385.45</v>
      </c>
    </row>
    <row r="449">
      <c r="A449" s="59">
        <v>46245.0</v>
      </c>
      <c r="B449" s="8" t="s">
        <v>696</v>
      </c>
      <c r="C449" s="8" t="s">
        <v>697</v>
      </c>
      <c r="D449" s="59">
        <v>46244.0</v>
      </c>
      <c r="E449" s="8">
        <v>897940.98</v>
      </c>
      <c r="F449" s="8">
        <v>243508.53</v>
      </c>
      <c r="G449" s="8">
        <v>428922.0</v>
      </c>
      <c r="H449" s="8">
        <f t="shared" si="1"/>
        <v>-225510.45</v>
      </c>
    </row>
    <row r="450">
      <c r="A450" s="59">
        <v>46246.0</v>
      </c>
      <c r="B450" s="8" t="s">
        <v>696</v>
      </c>
      <c r="C450" s="8" t="s">
        <v>697</v>
      </c>
      <c r="D450" s="59">
        <v>46245.0</v>
      </c>
      <c r="E450" s="8">
        <v>897940.98</v>
      </c>
      <c r="F450" s="8">
        <v>243508.53</v>
      </c>
      <c r="G450" s="8">
        <v>454252.0</v>
      </c>
      <c r="H450" s="8">
        <f t="shared" si="1"/>
        <v>-200180.45</v>
      </c>
    </row>
    <row r="451">
      <c r="A451" s="59">
        <v>46247.0</v>
      </c>
      <c r="B451" s="8" t="s">
        <v>696</v>
      </c>
      <c r="C451" s="8" t="s">
        <v>697</v>
      </c>
      <c r="D451" s="59">
        <v>46246.0</v>
      </c>
      <c r="E451" s="8">
        <v>897940.98</v>
      </c>
      <c r="F451" s="8">
        <v>243508.53</v>
      </c>
      <c r="G451" s="8">
        <v>470730.0</v>
      </c>
      <c r="H451" s="8">
        <f t="shared" si="1"/>
        <v>-183702.45</v>
      </c>
    </row>
    <row r="452">
      <c r="A452" s="59">
        <v>46248.0</v>
      </c>
      <c r="B452" s="8" t="s">
        <v>696</v>
      </c>
      <c r="C452" s="8" t="s">
        <v>697</v>
      </c>
      <c r="D452" s="59">
        <v>46247.0</v>
      </c>
      <c r="E452" s="8">
        <v>897940.98</v>
      </c>
      <c r="F452" s="8">
        <v>243508.53</v>
      </c>
      <c r="G452" s="8">
        <v>465913.0</v>
      </c>
      <c r="H452" s="8">
        <f t="shared" si="1"/>
        <v>-188519.45</v>
      </c>
    </row>
    <row r="453">
      <c r="A453" s="59">
        <v>46251.0</v>
      </c>
      <c r="B453" s="8" t="s">
        <v>696</v>
      </c>
      <c r="C453" s="8" t="s">
        <v>697</v>
      </c>
      <c r="D453" s="59">
        <v>46248.0</v>
      </c>
      <c r="E453" s="8">
        <v>897940.98</v>
      </c>
      <c r="F453" s="8">
        <v>243508.53</v>
      </c>
      <c r="G453" s="8">
        <v>470496.0</v>
      </c>
      <c r="H453" s="8">
        <f t="shared" si="1"/>
        <v>-183936.45</v>
      </c>
    </row>
    <row r="454">
      <c r="A454" s="59">
        <v>46252.0</v>
      </c>
      <c r="B454" s="8" t="s">
        <v>696</v>
      </c>
      <c r="C454" s="8" t="s">
        <v>697</v>
      </c>
      <c r="D454" s="59">
        <v>46251.0</v>
      </c>
      <c r="E454" s="8">
        <v>897940.98</v>
      </c>
      <c r="F454" s="8">
        <v>243508.53</v>
      </c>
      <c r="G454" s="8">
        <v>479973.0</v>
      </c>
      <c r="H454" s="8">
        <f t="shared" si="1"/>
        <v>-174459.45</v>
      </c>
    </row>
    <row r="455">
      <c r="A455" s="59">
        <v>46253.0</v>
      </c>
      <c r="B455" s="8" t="s">
        <v>696</v>
      </c>
      <c r="C455" s="8" t="s">
        <v>697</v>
      </c>
      <c r="D455" s="59">
        <v>46252.0</v>
      </c>
      <c r="E455" s="8">
        <v>897940.98</v>
      </c>
      <c r="F455" s="8">
        <v>243508.53</v>
      </c>
      <c r="G455" s="8">
        <v>529561.0</v>
      </c>
      <c r="H455" s="8">
        <f t="shared" si="1"/>
        <v>-124871.45</v>
      </c>
    </row>
    <row r="456">
      <c r="A456" s="59">
        <v>46254.0</v>
      </c>
      <c r="B456" s="8" t="s">
        <v>696</v>
      </c>
      <c r="C456" s="8" t="s">
        <v>697</v>
      </c>
      <c r="D456" s="59">
        <v>46253.0</v>
      </c>
      <c r="E456" s="8">
        <v>897940.98</v>
      </c>
      <c r="F456" s="8">
        <v>243508.53</v>
      </c>
      <c r="G456" s="8">
        <v>561171.0</v>
      </c>
      <c r="H456" s="8">
        <f t="shared" si="1"/>
        <v>-93261.45</v>
      </c>
    </row>
    <row r="457">
      <c r="A457" s="59">
        <v>46255.0</v>
      </c>
      <c r="B457" s="8" t="s">
        <v>696</v>
      </c>
      <c r="C457" s="8" t="s">
        <v>697</v>
      </c>
      <c r="D457" s="59">
        <v>46254.0</v>
      </c>
      <c r="E457" s="8">
        <v>897940.98</v>
      </c>
      <c r="F457" s="8">
        <v>243508.53</v>
      </c>
      <c r="G457" s="8">
        <v>511621.0</v>
      </c>
      <c r="H457" s="8">
        <f t="shared" si="1"/>
        <v>-142811.45</v>
      </c>
    </row>
    <row r="458">
      <c r="A458" s="59">
        <v>46258.0</v>
      </c>
      <c r="B458" s="8" t="s">
        <v>696</v>
      </c>
      <c r="C458" s="8" t="s">
        <v>697</v>
      </c>
      <c r="D458" s="59">
        <v>46255.0</v>
      </c>
      <c r="E458" s="8">
        <v>897940.98</v>
      </c>
      <c r="F458" s="8">
        <v>243508.53</v>
      </c>
      <c r="G458" s="8">
        <v>514273.0</v>
      </c>
      <c r="H458" s="8">
        <f t="shared" si="1"/>
        <v>-140159.45</v>
      </c>
    </row>
    <row r="459">
      <c r="A459" s="59">
        <v>46259.0</v>
      </c>
      <c r="B459" s="8" t="s">
        <v>696</v>
      </c>
      <c r="C459" s="8" t="s">
        <v>697</v>
      </c>
      <c r="D459" s="59">
        <v>46258.0</v>
      </c>
      <c r="E459" s="8">
        <v>897940.98</v>
      </c>
      <c r="F459" s="8">
        <v>243508.53</v>
      </c>
      <c r="G459" s="8">
        <v>535021.0</v>
      </c>
      <c r="H459" s="8">
        <f t="shared" si="1"/>
        <v>-119411.45</v>
      </c>
    </row>
    <row r="460">
      <c r="A460" s="59">
        <v>46260.0</v>
      </c>
      <c r="B460" s="8" t="s">
        <v>696</v>
      </c>
      <c r="C460" s="8" t="s">
        <v>697</v>
      </c>
      <c r="D460" s="59">
        <v>46259.0</v>
      </c>
      <c r="E460" s="8">
        <v>897940.98</v>
      </c>
      <c r="F460" s="8">
        <v>243508.53</v>
      </c>
      <c r="G460" s="8">
        <v>489976.0</v>
      </c>
      <c r="H460" s="8">
        <f t="shared" si="1"/>
        <v>-164456.45</v>
      </c>
    </row>
    <row r="461">
      <c r="A461" s="59">
        <v>46261.0</v>
      </c>
      <c r="B461" s="8" t="s">
        <v>696</v>
      </c>
      <c r="C461" s="8" t="s">
        <v>697</v>
      </c>
      <c r="D461" s="59">
        <v>46260.0</v>
      </c>
      <c r="E461" s="8">
        <v>897940.98</v>
      </c>
      <c r="F461" s="8">
        <v>243508.53</v>
      </c>
      <c r="G461" s="8">
        <v>498049.0</v>
      </c>
      <c r="H461" s="8">
        <f t="shared" si="1"/>
        <v>-156383.45</v>
      </c>
    </row>
    <row r="462">
      <c r="A462" s="59">
        <v>46262.0</v>
      </c>
      <c r="B462" s="8" t="s">
        <v>696</v>
      </c>
      <c r="C462" s="8" t="s">
        <v>697</v>
      </c>
      <c r="D462" s="59">
        <v>46261.0</v>
      </c>
      <c r="E462" s="8">
        <v>897940.98</v>
      </c>
      <c r="F462" s="8">
        <v>243508.53</v>
      </c>
      <c r="G462" s="8">
        <v>546000.0</v>
      </c>
      <c r="H462" s="8">
        <f t="shared" si="1"/>
        <v>-108432.45</v>
      </c>
    </row>
    <row r="463">
      <c r="A463" s="59">
        <v>46265.0</v>
      </c>
      <c r="B463" s="8" t="s">
        <v>696</v>
      </c>
      <c r="C463" s="8" t="s">
        <v>697</v>
      </c>
      <c r="D463" s="59">
        <v>46262.0</v>
      </c>
      <c r="E463" s="8">
        <v>897940.98</v>
      </c>
      <c r="F463" s="8">
        <v>243508.53</v>
      </c>
      <c r="G463" s="8">
        <v>531121.0</v>
      </c>
      <c r="H463" s="8">
        <f t="shared" si="1"/>
        <v>-123311.45</v>
      </c>
    </row>
    <row r="464">
      <c r="A464" s="59">
        <v>46266.0</v>
      </c>
      <c r="B464" s="8" t="s">
        <v>696</v>
      </c>
      <c r="C464" s="8" t="s">
        <v>697</v>
      </c>
      <c r="D464" s="59">
        <v>46265.0</v>
      </c>
      <c r="E464" s="8">
        <v>897940.98</v>
      </c>
      <c r="F464" s="8">
        <v>243508.53</v>
      </c>
      <c r="G464" s="8">
        <v>556803.0</v>
      </c>
      <c r="H464" s="8">
        <f t="shared" si="1"/>
        <v>-97629.45</v>
      </c>
    </row>
    <row r="465">
      <c r="A465" s="59">
        <v>46267.0</v>
      </c>
      <c r="B465" s="8" t="s">
        <v>696</v>
      </c>
      <c r="C465" s="8" t="s">
        <v>697</v>
      </c>
      <c r="D465" s="59">
        <v>46266.0</v>
      </c>
      <c r="E465" s="8">
        <v>897940.98</v>
      </c>
      <c r="F465" s="8">
        <v>243508.53</v>
      </c>
      <c r="G465" s="8">
        <v>612963.0</v>
      </c>
      <c r="H465" s="8">
        <f t="shared" si="1"/>
        <v>-41469.45</v>
      </c>
    </row>
    <row r="466">
      <c r="A466" s="59">
        <v>46268.0</v>
      </c>
      <c r="B466" s="8" t="s">
        <v>696</v>
      </c>
      <c r="C466" s="8" t="s">
        <v>697</v>
      </c>
      <c r="D466" s="59">
        <v>46267.0</v>
      </c>
      <c r="E466" s="8">
        <v>897940.98</v>
      </c>
      <c r="F466" s="8">
        <v>243508.53</v>
      </c>
      <c r="G466" s="8">
        <v>642739.0</v>
      </c>
      <c r="H466" s="8">
        <f t="shared" si="1"/>
        <v>-11693.45</v>
      </c>
    </row>
    <row r="467">
      <c r="A467" s="59">
        <v>46269.0</v>
      </c>
      <c r="B467" s="8" t="s">
        <v>696</v>
      </c>
      <c r="C467" s="8" t="s">
        <v>697</v>
      </c>
      <c r="D467" s="59">
        <v>46268.0</v>
      </c>
      <c r="E467" s="8">
        <v>897940.98</v>
      </c>
      <c r="F467" s="8">
        <v>243508.53</v>
      </c>
      <c r="G467" s="8">
        <v>640263.0</v>
      </c>
      <c r="H467" s="8">
        <f t="shared" si="1"/>
        <v>-14169.45</v>
      </c>
    </row>
    <row r="468">
      <c r="A468" s="59">
        <v>46272.0</v>
      </c>
      <c r="B468" s="8" t="s">
        <v>696</v>
      </c>
      <c r="C468" s="8" t="s">
        <v>697</v>
      </c>
      <c r="D468" s="59">
        <v>46269.0</v>
      </c>
      <c r="E468" s="8">
        <v>897940.98</v>
      </c>
      <c r="F468" s="8">
        <v>243508.53</v>
      </c>
      <c r="G468" s="8">
        <v>624039.0</v>
      </c>
      <c r="H468" s="8">
        <f t="shared" si="1"/>
        <v>-30393.45</v>
      </c>
    </row>
    <row r="469">
      <c r="A469" s="59">
        <v>46273.0</v>
      </c>
      <c r="B469" s="8" t="s">
        <v>696</v>
      </c>
      <c r="C469" s="8" t="s">
        <v>697</v>
      </c>
      <c r="D469" s="59">
        <v>46272.0</v>
      </c>
      <c r="E469" s="8">
        <v>897940.98</v>
      </c>
      <c r="F469" s="8">
        <v>243508.53</v>
      </c>
      <c r="G469" s="8">
        <v>686107.0</v>
      </c>
      <c r="H469" s="8">
        <f t="shared" si="1"/>
        <v>31674.55</v>
      </c>
    </row>
    <row r="470">
      <c r="A470" s="59">
        <v>46274.0</v>
      </c>
      <c r="B470" s="8" t="s">
        <v>696</v>
      </c>
      <c r="C470" s="8" t="s">
        <v>697</v>
      </c>
      <c r="D470" s="59">
        <v>46273.0</v>
      </c>
      <c r="E470" s="8">
        <v>897940.98</v>
      </c>
      <c r="F470" s="8">
        <v>243508.53</v>
      </c>
      <c r="G470" s="8">
        <v>730879.0</v>
      </c>
      <c r="H470" s="8">
        <f t="shared" si="1"/>
        <v>76446.55</v>
      </c>
    </row>
    <row r="471">
      <c r="A471" s="59">
        <v>46275.0</v>
      </c>
      <c r="B471" s="8" t="s">
        <v>696</v>
      </c>
      <c r="C471" s="8" t="s">
        <v>697</v>
      </c>
      <c r="D471" s="59">
        <v>46274.0</v>
      </c>
      <c r="E471" s="8">
        <v>897940.98</v>
      </c>
      <c r="F471" s="8">
        <v>243508.53</v>
      </c>
      <c r="G471" s="8">
        <v>803010.0</v>
      </c>
      <c r="H471" s="8">
        <f t="shared" si="1"/>
        <v>148577.55</v>
      </c>
    </row>
    <row r="472">
      <c r="A472" s="59">
        <v>46276.0</v>
      </c>
      <c r="B472" s="8" t="s">
        <v>696</v>
      </c>
      <c r="C472" s="8" t="s">
        <v>697</v>
      </c>
      <c r="D472" s="59">
        <v>46275.0</v>
      </c>
      <c r="E472" s="8">
        <v>897940.98</v>
      </c>
      <c r="F472" s="8">
        <v>243508.53</v>
      </c>
      <c r="G472" s="8">
        <v>831070.0</v>
      </c>
      <c r="H472" s="8">
        <f t="shared" si="1"/>
        <v>176637.55</v>
      </c>
    </row>
    <row r="473">
      <c r="A473" s="59">
        <v>46280.0</v>
      </c>
      <c r="B473" s="8" t="s">
        <v>696</v>
      </c>
      <c r="C473" s="8" t="s">
        <v>697</v>
      </c>
      <c r="D473" s="59">
        <v>46276.0</v>
      </c>
      <c r="E473" s="8">
        <v>897940.98</v>
      </c>
      <c r="F473" s="8">
        <v>243508.53</v>
      </c>
      <c r="G473" s="8">
        <v>826761.0</v>
      </c>
      <c r="H473" s="8">
        <f t="shared" si="1"/>
        <v>172328.55</v>
      </c>
    </row>
    <row r="474">
      <c r="A474" s="59">
        <v>46281.0</v>
      </c>
      <c r="B474" s="8" t="s">
        <v>696</v>
      </c>
      <c r="C474" s="8" t="s">
        <v>697</v>
      </c>
      <c r="D474" s="59">
        <v>46280.0</v>
      </c>
      <c r="E474" s="8">
        <v>897940.98</v>
      </c>
      <c r="F474" s="8">
        <v>243508.53</v>
      </c>
      <c r="G474" s="8">
        <v>920712.0</v>
      </c>
      <c r="H474" s="8">
        <f t="shared" si="1"/>
        <v>266279.55</v>
      </c>
    </row>
    <row r="475">
      <c r="A475" s="59">
        <v>46282.0</v>
      </c>
      <c r="B475" s="8" t="s">
        <v>696</v>
      </c>
      <c r="C475" s="8" t="s">
        <v>697</v>
      </c>
      <c r="D475" s="59">
        <v>46281.0</v>
      </c>
      <c r="E475" s="8">
        <v>897940.98</v>
      </c>
      <c r="F475" s="8">
        <v>243508.53</v>
      </c>
      <c r="G475" s="8">
        <v>905073.0</v>
      </c>
      <c r="H475" s="8">
        <f t="shared" si="1"/>
        <v>250640.55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4" max="14" width="69.29"/>
  </cols>
  <sheetData>
    <row r="1">
      <c r="E1" s="155" t="s">
        <v>353</v>
      </c>
      <c r="F1" s="155" t="s">
        <v>353</v>
      </c>
      <c r="G1" s="155" t="s">
        <v>355</v>
      </c>
      <c r="H1" s="155" t="s">
        <v>694</v>
      </c>
      <c r="I1" s="155" t="s">
        <v>357</v>
      </c>
      <c r="J1" s="73" t="s">
        <v>695</v>
      </c>
    </row>
    <row r="2">
      <c r="A2" s="155" t="s">
        <v>377</v>
      </c>
      <c r="B2" s="155" t="s">
        <v>510</v>
      </c>
      <c r="C2" s="155" t="s">
        <v>511</v>
      </c>
      <c r="D2" s="155" t="s">
        <v>376</v>
      </c>
      <c r="E2" s="155">
        <v>2.006824797E7</v>
      </c>
      <c r="F2" s="155">
        <v>0.0</v>
      </c>
      <c r="G2" s="155">
        <v>-2.006824797E7</v>
      </c>
      <c r="H2" s="155">
        <v>1.9929592E7</v>
      </c>
      <c r="I2" s="14">
        <v>-138655.9699999988</v>
      </c>
      <c r="J2" s="156">
        <v>2.0E7</v>
      </c>
    </row>
    <row r="3">
      <c r="A3" s="155" t="s">
        <v>378</v>
      </c>
      <c r="B3" s="155" t="s">
        <v>510</v>
      </c>
      <c r="C3" s="155" t="s">
        <v>511</v>
      </c>
      <c r="D3" s="155" t="s">
        <v>377</v>
      </c>
      <c r="E3" s="155">
        <v>2.006824797E7</v>
      </c>
      <c r="F3" s="155">
        <v>0.0</v>
      </c>
      <c r="G3" s="155">
        <v>-2.006824797E7</v>
      </c>
      <c r="H3" s="155">
        <v>1.9887263E7</v>
      </c>
      <c r="I3" s="14">
        <v>-180984.9699999988</v>
      </c>
      <c r="J3" s="156">
        <v>2.0E7</v>
      </c>
    </row>
    <row r="4">
      <c r="A4" s="155" t="s">
        <v>380</v>
      </c>
      <c r="B4" s="155" t="s">
        <v>510</v>
      </c>
      <c r="C4" s="155" t="s">
        <v>511</v>
      </c>
      <c r="D4" s="155" t="s">
        <v>378</v>
      </c>
      <c r="E4" s="155">
        <v>2.006824797E7</v>
      </c>
      <c r="F4" s="155">
        <v>0.0</v>
      </c>
      <c r="G4" s="155">
        <v>-2.006824797E7</v>
      </c>
      <c r="H4" s="155">
        <v>1.9979067E7</v>
      </c>
      <c r="I4" s="14">
        <v>-89180.96999999881</v>
      </c>
      <c r="J4" s="156">
        <v>1.9990298E7</v>
      </c>
    </row>
    <row r="5">
      <c r="A5" s="155" t="s">
        <v>381</v>
      </c>
      <c r="B5" s="155" t="s">
        <v>510</v>
      </c>
      <c r="C5" s="155" t="s">
        <v>511</v>
      </c>
      <c r="D5" s="155" t="s">
        <v>380</v>
      </c>
      <c r="E5" s="155">
        <v>2.006824797E7</v>
      </c>
      <c r="F5" s="155">
        <v>0.0</v>
      </c>
      <c r="G5" s="155">
        <v>-2.006824797E7</v>
      </c>
      <c r="H5" s="155">
        <v>1.9967609E7</v>
      </c>
      <c r="I5" s="14">
        <v>-100638.96999999881</v>
      </c>
      <c r="J5" s="156">
        <v>2.0327561E7</v>
      </c>
    </row>
    <row r="6">
      <c r="A6" s="155" t="s">
        <v>382</v>
      </c>
      <c r="B6" s="155" t="s">
        <v>510</v>
      </c>
      <c r="C6" s="155" t="s">
        <v>511</v>
      </c>
      <c r="D6" s="155" t="s">
        <v>381</v>
      </c>
      <c r="E6" s="155">
        <v>2.006824797E7</v>
      </c>
      <c r="F6" s="155">
        <v>0.0</v>
      </c>
      <c r="G6" s="155">
        <v>-2.006824797E7</v>
      </c>
      <c r="H6" s="155">
        <v>2.0301562E7</v>
      </c>
      <c r="I6" s="14">
        <v>233314.0300000012</v>
      </c>
      <c r="J6" s="156">
        <v>2.0675479E7</v>
      </c>
    </row>
    <row r="7">
      <c r="A7" s="155" t="s">
        <v>383</v>
      </c>
      <c r="B7" s="155" t="s">
        <v>510</v>
      </c>
      <c r="C7" s="155" t="s">
        <v>511</v>
      </c>
      <c r="D7" s="155" t="s">
        <v>382</v>
      </c>
      <c r="E7" s="155">
        <v>2.006824797E7</v>
      </c>
      <c r="F7" s="155">
        <v>0.0</v>
      </c>
      <c r="G7" s="155">
        <v>-2.006824797E7</v>
      </c>
      <c r="H7" s="155">
        <v>2.0693123E7</v>
      </c>
      <c r="I7" s="14">
        <v>624875.0300000012</v>
      </c>
      <c r="J7" s="156">
        <v>2.0562196E7</v>
      </c>
    </row>
    <row r="8">
      <c r="A8" s="155" t="s">
        <v>384</v>
      </c>
      <c r="B8" s="155" t="s">
        <v>510</v>
      </c>
      <c r="C8" s="155" t="s">
        <v>511</v>
      </c>
      <c r="D8" s="155" t="s">
        <v>383</v>
      </c>
      <c r="E8" s="155">
        <v>2.006824797E7</v>
      </c>
      <c r="F8" s="155">
        <v>0.0</v>
      </c>
      <c r="G8" s="155">
        <v>-2.006824797E7</v>
      </c>
      <c r="H8" s="155">
        <v>2.0578829E7</v>
      </c>
      <c r="I8" s="14">
        <v>510581.0300000012</v>
      </c>
      <c r="J8" s="156">
        <v>2.0664757E7</v>
      </c>
    </row>
    <row r="9">
      <c r="A9" s="155" t="s">
        <v>385</v>
      </c>
      <c r="B9" s="155" t="s">
        <v>510</v>
      </c>
      <c r="C9" s="155" t="s">
        <v>511</v>
      </c>
      <c r="D9" s="155" t="s">
        <v>384</v>
      </c>
      <c r="E9" s="155">
        <v>2.006824797E7</v>
      </c>
      <c r="F9" s="155">
        <v>0.0</v>
      </c>
      <c r="G9" s="155">
        <v>-2.006824797E7</v>
      </c>
      <c r="H9" s="155">
        <v>2.068518E7</v>
      </c>
      <c r="I9" s="14">
        <v>616932.0300000012</v>
      </c>
      <c r="J9" s="156">
        <v>2.0499927E7</v>
      </c>
    </row>
    <row r="10">
      <c r="A10" s="155" t="s">
        <v>387</v>
      </c>
      <c r="B10" s="155" t="s">
        <v>510</v>
      </c>
      <c r="C10" s="155" t="s">
        <v>511</v>
      </c>
      <c r="D10" s="155" t="s">
        <v>385</v>
      </c>
      <c r="E10" s="155">
        <v>2.006824797E7</v>
      </c>
      <c r="F10" s="155">
        <v>0.0</v>
      </c>
      <c r="G10" s="155">
        <v>-2.006824797E7</v>
      </c>
      <c r="H10" s="155">
        <v>2.0529503E7</v>
      </c>
      <c r="I10" s="14">
        <v>461255.0300000012</v>
      </c>
      <c r="J10" s="156">
        <v>2.068718E7</v>
      </c>
    </row>
    <row r="11">
      <c r="A11" s="157">
        <v>45334.0</v>
      </c>
      <c r="B11" s="155" t="s">
        <v>510</v>
      </c>
      <c r="C11" s="155" t="s">
        <v>511</v>
      </c>
      <c r="D11" s="155" t="s">
        <v>387</v>
      </c>
      <c r="E11" s="155">
        <v>2.006824797E7</v>
      </c>
      <c r="F11" s="155">
        <v>0.0</v>
      </c>
      <c r="G11" s="155">
        <v>-2.006824797E7</v>
      </c>
      <c r="H11" s="155">
        <v>2.0710214E7</v>
      </c>
      <c r="I11" s="14">
        <v>641966.0300000012</v>
      </c>
      <c r="J11" s="156">
        <v>2.1012708E7</v>
      </c>
    </row>
    <row r="12">
      <c r="A12" s="157">
        <v>45363.0</v>
      </c>
      <c r="B12" s="155" t="s">
        <v>510</v>
      </c>
      <c r="C12" s="155" t="s">
        <v>511</v>
      </c>
      <c r="D12" s="157">
        <v>45334.0</v>
      </c>
      <c r="E12" s="155">
        <v>2.006824797E7</v>
      </c>
      <c r="F12" s="155">
        <v>0.0</v>
      </c>
      <c r="G12" s="155">
        <v>-2.006824797E7</v>
      </c>
      <c r="H12" s="155">
        <v>2.1040888E7</v>
      </c>
      <c r="I12" s="14">
        <v>972640.0300000012</v>
      </c>
      <c r="J12" s="156">
        <v>2.1147468E7</v>
      </c>
    </row>
    <row r="13">
      <c r="A13" s="157">
        <v>45394.0</v>
      </c>
      <c r="B13" s="155" t="s">
        <v>510</v>
      </c>
      <c r="C13" s="155" t="s">
        <v>511</v>
      </c>
      <c r="D13" s="157">
        <v>45363.0</v>
      </c>
      <c r="E13" s="155">
        <v>2.006824797E7</v>
      </c>
      <c r="F13" s="155">
        <v>0.0</v>
      </c>
      <c r="G13" s="155">
        <v>-2.006824797E7</v>
      </c>
      <c r="H13" s="155">
        <v>2.1196013E7</v>
      </c>
      <c r="I13" s="14">
        <v>1127765.0300000012</v>
      </c>
      <c r="J13" s="156">
        <v>2.1172274E7</v>
      </c>
    </row>
    <row r="14">
      <c r="A14" s="157">
        <v>45424.0</v>
      </c>
      <c r="B14" s="155" t="s">
        <v>510</v>
      </c>
      <c r="C14" s="155" t="s">
        <v>511</v>
      </c>
      <c r="D14" s="157">
        <v>45394.0</v>
      </c>
      <c r="E14" s="155">
        <v>2.006824797E7</v>
      </c>
      <c r="F14" s="155">
        <v>0.0</v>
      </c>
      <c r="G14" s="155">
        <v>-2.006824797E7</v>
      </c>
      <c r="H14" s="155">
        <v>2.1236088E7</v>
      </c>
      <c r="I14" s="14">
        <v>1167840.0300000012</v>
      </c>
      <c r="J14" s="156">
        <v>2.1282038E7</v>
      </c>
    </row>
    <row r="15">
      <c r="A15" s="157">
        <v>45455.0</v>
      </c>
      <c r="B15" s="155" t="s">
        <v>510</v>
      </c>
      <c r="C15" s="155" t="s">
        <v>511</v>
      </c>
      <c r="D15" s="157">
        <v>45424.0</v>
      </c>
      <c r="E15" s="155">
        <v>2.006824797E7</v>
      </c>
      <c r="F15" s="155">
        <v>0.0</v>
      </c>
      <c r="G15" s="155">
        <v>-2.006824797E7</v>
      </c>
      <c r="H15" s="155">
        <v>2.1236088E7</v>
      </c>
      <c r="I15" s="14">
        <v>1167840.0300000012</v>
      </c>
      <c r="J15" s="156">
        <v>2.1494359E7</v>
      </c>
    </row>
    <row r="16">
      <c r="A16" s="157">
        <v>45547.0</v>
      </c>
      <c r="B16" s="155" t="s">
        <v>510</v>
      </c>
      <c r="C16" s="155" t="s">
        <v>511</v>
      </c>
      <c r="D16" s="157">
        <v>45455.0</v>
      </c>
      <c r="E16" s="155">
        <v>2.006824797E7</v>
      </c>
      <c r="F16" s="155">
        <v>0.0</v>
      </c>
      <c r="G16" s="155">
        <v>-2.006824797E7</v>
      </c>
      <c r="H16" s="155">
        <v>2.1619032E7</v>
      </c>
      <c r="I16" s="14">
        <v>1550784.0300000012</v>
      </c>
      <c r="J16" s="156">
        <v>2.1454899E7</v>
      </c>
    </row>
    <row r="17">
      <c r="A17" s="133">
        <v>45636.0</v>
      </c>
      <c r="B17" s="134" t="s">
        <v>515</v>
      </c>
      <c r="C17" s="134" t="s">
        <v>516</v>
      </c>
      <c r="D17" s="133">
        <v>45635.0</v>
      </c>
      <c r="E17" s="155">
        <v>2.006824797E7</v>
      </c>
      <c r="F17" s="155">
        <v>0.0</v>
      </c>
      <c r="G17" s="155">
        <v>-2.006824797E7</v>
      </c>
      <c r="H17" s="155">
        <v>2.159042E7</v>
      </c>
      <c r="I17" s="14">
        <v>1522172.0300000012</v>
      </c>
      <c r="J17" s="156">
        <v>2.1449576E7</v>
      </c>
    </row>
    <row r="18">
      <c r="A18" s="133">
        <v>45637.0</v>
      </c>
      <c r="B18" s="134" t="s">
        <v>515</v>
      </c>
      <c r="C18" s="134" t="s">
        <v>516</v>
      </c>
      <c r="D18" s="133">
        <v>45636.0</v>
      </c>
      <c r="E18" s="155">
        <v>2.006824797E7</v>
      </c>
      <c r="F18" s="155">
        <v>0.0</v>
      </c>
      <c r="G18" s="155">
        <v>-2.006824797E7</v>
      </c>
      <c r="H18" s="155">
        <v>2.158944E7</v>
      </c>
      <c r="I18" s="14">
        <v>1521192.0300000012</v>
      </c>
      <c r="J18" s="156">
        <v>2.1563192E7</v>
      </c>
    </row>
    <row r="19">
      <c r="A19" s="133">
        <v>45638.0</v>
      </c>
      <c r="B19" s="134" t="s">
        <v>515</v>
      </c>
      <c r="C19" s="134" t="s">
        <v>516</v>
      </c>
      <c r="D19" s="133">
        <v>45637.0</v>
      </c>
      <c r="E19" s="155">
        <v>2.006824797E7</v>
      </c>
      <c r="F19" s="155">
        <v>0.0</v>
      </c>
      <c r="G19" s="155">
        <v>-2.006824797E7</v>
      </c>
      <c r="H19" s="155">
        <v>2.17225E7</v>
      </c>
      <c r="I19" s="14">
        <v>1654252.0300000012</v>
      </c>
      <c r="J19" s="156">
        <v>2.147767E7</v>
      </c>
    </row>
    <row r="20">
      <c r="A20" s="133">
        <v>45639.0</v>
      </c>
      <c r="B20" s="134" t="s">
        <v>515</v>
      </c>
      <c r="C20" s="134" t="s">
        <v>516</v>
      </c>
      <c r="D20" s="133">
        <v>45638.0</v>
      </c>
      <c r="E20" s="155">
        <v>2.006824797E7</v>
      </c>
      <c r="F20" s="155">
        <v>0.0</v>
      </c>
      <c r="G20" s="155">
        <v>-2.006824797E7</v>
      </c>
      <c r="H20" s="155">
        <v>2.1612737E7</v>
      </c>
      <c r="I20" s="14">
        <v>1544489.0300000012</v>
      </c>
      <c r="J20" s="156">
        <v>2.1487899E7</v>
      </c>
    </row>
    <row r="21">
      <c r="A21" s="133">
        <v>45642.0</v>
      </c>
      <c r="B21" s="134" t="s">
        <v>515</v>
      </c>
      <c r="C21" s="134" t="s">
        <v>516</v>
      </c>
      <c r="D21" s="133">
        <v>45639.0</v>
      </c>
      <c r="E21" s="155">
        <v>2.006824797E7</v>
      </c>
      <c r="F21" s="155">
        <v>0.0</v>
      </c>
      <c r="G21" s="155">
        <v>-2.006824797E7</v>
      </c>
      <c r="H21" s="155">
        <v>2.1616955E7</v>
      </c>
      <c r="I21" s="14">
        <v>1548707.0300000012</v>
      </c>
      <c r="J21" s="156">
        <v>2.1662026E7</v>
      </c>
    </row>
    <row r="22">
      <c r="A22" s="133">
        <v>45643.0</v>
      </c>
      <c r="B22" s="134" t="s">
        <v>515</v>
      </c>
      <c r="C22" s="134" t="s">
        <v>516</v>
      </c>
      <c r="D22" s="133">
        <v>45642.0</v>
      </c>
      <c r="E22" s="155">
        <v>2.006824797E7</v>
      </c>
      <c r="F22" s="155">
        <v>0.0</v>
      </c>
      <c r="G22" s="155">
        <v>-2.006824797E7</v>
      </c>
      <c r="H22" s="155">
        <v>2.1769226E7</v>
      </c>
      <c r="I22" s="14">
        <v>1700978.0300000012</v>
      </c>
      <c r="J22" s="156">
        <v>2.1494468E7</v>
      </c>
    </row>
    <row r="23">
      <c r="A23" s="133">
        <v>45644.0</v>
      </c>
      <c r="B23" s="134" t="s">
        <v>515</v>
      </c>
      <c r="C23" s="134" t="s">
        <v>516</v>
      </c>
      <c r="D23" s="133">
        <v>45643.0</v>
      </c>
      <c r="E23" s="155">
        <v>2.006824797E7</v>
      </c>
      <c r="F23" s="155">
        <v>0.0</v>
      </c>
      <c r="G23" s="155">
        <v>-2.006824797E7</v>
      </c>
      <c r="H23" s="155">
        <v>2.1587112E7</v>
      </c>
      <c r="I23" s="14">
        <v>1518864.0300000012</v>
      </c>
      <c r="J23" s="156">
        <v>2.1454261E7</v>
      </c>
    </row>
    <row r="24">
      <c r="A24" s="133">
        <v>45645.0</v>
      </c>
      <c r="B24" s="134" t="s">
        <v>515</v>
      </c>
      <c r="C24" s="134" t="s">
        <v>516</v>
      </c>
      <c r="D24" s="133">
        <v>45644.0</v>
      </c>
      <c r="E24" s="155">
        <v>2.006824797E7</v>
      </c>
      <c r="F24" s="155">
        <v>0.0</v>
      </c>
      <c r="G24" s="155">
        <v>-2.006824797E7</v>
      </c>
      <c r="H24" s="155">
        <v>2.1509952E7</v>
      </c>
      <c r="I24" s="14">
        <v>1441704.0300000012</v>
      </c>
      <c r="J24" s="156">
        <v>2.1372337E7</v>
      </c>
    </row>
    <row r="25">
      <c r="A25" s="133">
        <v>45646.0</v>
      </c>
      <c r="B25" s="134" t="s">
        <v>515</v>
      </c>
      <c r="C25" s="134" t="s">
        <v>516</v>
      </c>
      <c r="D25" s="133">
        <v>45645.0</v>
      </c>
      <c r="E25" s="155">
        <v>2.006824797E7</v>
      </c>
      <c r="F25" s="155">
        <v>0.0</v>
      </c>
      <c r="G25" s="155">
        <v>-2.006824797E7</v>
      </c>
      <c r="H25" s="155">
        <v>2.1434987E7</v>
      </c>
      <c r="I25" s="14">
        <v>1366739.0300000012</v>
      </c>
      <c r="J25" s="156">
        <v>2.0781955E7</v>
      </c>
    </row>
    <row r="26">
      <c r="A26" s="133">
        <v>45649.0</v>
      </c>
      <c r="B26" s="134" t="s">
        <v>515</v>
      </c>
      <c r="C26" s="134" t="s">
        <v>516</v>
      </c>
      <c r="D26" s="133">
        <v>45646.0</v>
      </c>
      <c r="E26" s="155">
        <v>2.006824797E7</v>
      </c>
      <c r="F26" s="155">
        <v>0.0</v>
      </c>
      <c r="G26" s="155">
        <v>-2.006824797E7</v>
      </c>
      <c r="H26" s="155">
        <v>2.0781112E7</v>
      </c>
      <c r="I26" s="14">
        <v>712864.0300000012</v>
      </c>
      <c r="J26" s="156">
        <v>2.08642E7</v>
      </c>
    </row>
    <row r="27">
      <c r="A27" s="133">
        <v>45650.0</v>
      </c>
      <c r="B27" s="134" t="s">
        <v>515</v>
      </c>
      <c r="C27" s="134" t="s">
        <v>516</v>
      </c>
      <c r="D27" s="133">
        <v>45649.0</v>
      </c>
      <c r="E27" s="155">
        <v>2.006824797E7</v>
      </c>
      <c r="F27" s="155">
        <v>0.0</v>
      </c>
      <c r="G27" s="155">
        <v>-2.006824797E7</v>
      </c>
      <c r="H27" s="155">
        <v>2.0868048E7</v>
      </c>
      <c r="I27" s="14">
        <v>799800.0300000012</v>
      </c>
      <c r="J27" s="156">
        <v>2.0803847E7</v>
      </c>
    </row>
    <row r="28">
      <c r="A28" s="133">
        <v>45652.0</v>
      </c>
      <c r="B28" s="134" t="s">
        <v>515</v>
      </c>
      <c r="C28" s="134" t="s">
        <v>516</v>
      </c>
      <c r="D28" s="133">
        <v>45650.0</v>
      </c>
      <c r="E28" s="155">
        <v>2.006824797E7</v>
      </c>
      <c r="F28" s="155">
        <v>0.0</v>
      </c>
      <c r="G28" s="155">
        <v>-2.006824797E7</v>
      </c>
      <c r="H28" s="155">
        <v>2.0791374E7</v>
      </c>
      <c r="I28" s="14">
        <v>723126.0300000012</v>
      </c>
      <c r="J28" s="156">
        <v>2.0910727E7</v>
      </c>
    </row>
    <row r="29">
      <c r="A29" s="133">
        <v>45653.0</v>
      </c>
      <c r="B29" s="134" t="s">
        <v>515</v>
      </c>
      <c r="C29" s="134" t="s">
        <v>516</v>
      </c>
      <c r="D29" s="133">
        <v>45652.0</v>
      </c>
      <c r="E29" s="155">
        <v>2.006824797E7</v>
      </c>
      <c r="F29" s="155">
        <v>0.0</v>
      </c>
      <c r="G29" s="155">
        <v>-2.006824797E7</v>
      </c>
      <c r="H29" s="155">
        <v>2.0926756E7</v>
      </c>
      <c r="I29" s="14">
        <v>858508.0300000012</v>
      </c>
      <c r="J29" s="156">
        <v>2.0968463E7</v>
      </c>
    </row>
    <row r="30">
      <c r="A30" s="133">
        <v>45656.0</v>
      </c>
      <c r="B30" s="134" t="s">
        <v>515</v>
      </c>
      <c r="C30" s="134" t="s">
        <v>516</v>
      </c>
      <c r="D30" s="133">
        <v>45653.0</v>
      </c>
      <c r="E30" s="155">
        <v>2.006824797E7</v>
      </c>
      <c r="F30" s="155">
        <v>0.0</v>
      </c>
      <c r="G30" s="155">
        <v>-2.006824797E7</v>
      </c>
      <c r="H30" s="155">
        <v>2.0957145E7</v>
      </c>
      <c r="I30" s="14">
        <v>888897.0300000012</v>
      </c>
      <c r="J30" s="156">
        <v>2.0970979E7</v>
      </c>
    </row>
    <row r="31">
      <c r="A31" s="133">
        <v>45657.0</v>
      </c>
      <c r="B31" s="134" t="s">
        <v>515</v>
      </c>
      <c r="C31" s="134" t="s">
        <v>516</v>
      </c>
      <c r="D31" s="133">
        <v>45656.0</v>
      </c>
      <c r="E31" s="155">
        <v>2.006824797E7</v>
      </c>
      <c r="F31" s="155">
        <v>0.0</v>
      </c>
      <c r="G31" s="155">
        <v>-2.006824797E7</v>
      </c>
      <c r="H31" s="155">
        <v>2.0925222E7</v>
      </c>
      <c r="I31" s="14">
        <v>856974.0300000012</v>
      </c>
      <c r="J31" s="156">
        <v>2.1069318E7</v>
      </c>
    </row>
    <row r="32">
      <c r="A32" s="133">
        <v>45658.0</v>
      </c>
      <c r="B32" s="134" t="s">
        <v>515</v>
      </c>
      <c r="C32" s="134" t="s">
        <v>516</v>
      </c>
      <c r="D32" s="133">
        <v>45657.0</v>
      </c>
      <c r="E32" s="155">
        <v>2.006824797E7</v>
      </c>
      <c r="F32" s="155">
        <v>0.0</v>
      </c>
      <c r="G32" s="155">
        <v>-2.006824797E7</v>
      </c>
      <c r="H32" s="155">
        <v>2.1049316E7</v>
      </c>
      <c r="I32" s="14">
        <v>981068.0300000012</v>
      </c>
      <c r="J32" s="156">
        <v>2.1091577E7</v>
      </c>
    </row>
    <row r="33">
      <c r="A33" s="133">
        <v>45659.0</v>
      </c>
      <c r="B33" s="134" t="s">
        <v>515</v>
      </c>
      <c r="C33" s="134" t="s">
        <v>516</v>
      </c>
      <c r="D33" s="133">
        <v>45658.0</v>
      </c>
      <c r="E33" s="155">
        <v>2.006824797E7</v>
      </c>
      <c r="F33" s="155">
        <v>0.0</v>
      </c>
      <c r="G33" s="155">
        <v>-2.006824797E7</v>
      </c>
      <c r="H33" s="155">
        <v>2.1085781E7</v>
      </c>
      <c r="I33" s="14">
        <v>1017533.0300000012</v>
      </c>
      <c r="J33" s="156">
        <v>2.1394778E7</v>
      </c>
    </row>
    <row r="34">
      <c r="A34" s="133">
        <v>45660.0</v>
      </c>
      <c r="B34" s="134" t="s">
        <v>515</v>
      </c>
      <c r="C34" s="134" t="s">
        <v>516</v>
      </c>
      <c r="D34" s="133">
        <v>45659.0</v>
      </c>
      <c r="E34" s="155">
        <v>2.006824797E7</v>
      </c>
      <c r="F34" s="155">
        <v>0.0</v>
      </c>
      <c r="G34" s="155">
        <v>-2.006824797E7</v>
      </c>
      <c r="H34" s="155">
        <v>2.1401709E7</v>
      </c>
      <c r="I34" s="14">
        <v>1333461.0300000012</v>
      </c>
      <c r="J34" s="156">
        <v>2.1248983E7</v>
      </c>
    </row>
    <row r="35">
      <c r="A35" s="133">
        <v>45663.0</v>
      </c>
      <c r="B35" s="134" t="s">
        <v>515</v>
      </c>
      <c r="C35" s="134" t="s">
        <v>516</v>
      </c>
      <c r="D35" s="133">
        <v>45660.0</v>
      </c>
      <c r="E35" s="155">
        <v>2.006824797E7</v>
      </c>
      <c r="F35" s="155">
        <v>0.0</v>
      </c>
      <c r="G35" s="155">
        <v>-2.006824797E7</v>
      </c>
      <c r="H35" s="155">
        <v>2.1223091E7</v>
      </c>
      <c r="I35" s="14">
        <v>1154843.0300000012</v>
      </c>
      <c r="J35" s="156">
        <v>2.0727196E7</v>
      </c>
    </row>
    <row r="36">
      <c r="A36" s="133">
        <v>45664.0</v>
      </c>
      <c r="B36" s="134" t="s">
        <v>515</v>
      </c>
      <c r="C36" s="134" t="s">
        <v>516</v>
      </c>
      <c r="D36" s="133">
        <v>45663.0</v>
      </c>
      <c r="E36" s="155">
        <v>2.006824797E7</v>
      </c>
      <c r="F36" s="155">
        <v>0.0</v>
      </c>
      <c r="G36" s="155">
        <v>-2.006824797E7</v>
      </c>
      <c r="H36" s="155">
        <v>2.0612897E7</v>
      </c>
      <c r="I36" s="14">
        <v>544649.0300000012</v>
      </c>
      <c r="J36" s="156">
        <v>2.0817056E7</v>
      </c>
    </row>
    <row r="37">
      <c r="A37" s="133">
        <v>45665.0</v>
      </c>
      <c r="B37" s="134" t="s">
        <v>515</v>
      </c>
      <c r="C37" s="134" t="s">
        <v>516</v>
      </c>
      <c r="D37" s="133">
        <v>45664.0</v>
      </c>
      <c r="E37" s="155">
        <v>2.006824797E7</v>
      </c>
      <c r="F37" s="155">
        <v>0.0</v>
      </c>
      <c r="G37" s="155">
        <v>-2.006824797E7</v>
      </c>
      <c r="H37" s="155">
        <v>2.0753023E7</v>
      </c>
      <c r="I37" s="14">
        <v>684775.0300000012</v>
      </c>
      <c r="J37" s="156">
        <v>2.0416338E7</v>
      </c>
    </row>
    <row r="38">
      <c r="A38" s="133">
        <v>45666.0</v>
      </c>
      <c r="B38" s="134" t="s">
        <v>515</v>
      </c>
      <c r="C38" s="134" t="s">
        <v>516</v>
      </c>
      <c r="D38" s="133">
        <v>45665.0</v>
      </c>
      <c r="E38" s="155">
        <v>2.006824797E7</v>
      </c>
      <c r="F38" s="155">
        <v>0.0</v>
      </c>
      <c r="G38" s="155">
        <v>-2.006824797E7</v>
      </c>
      <c r="H38" s="155">
        <v>2.0346572E7</v>
      </c>
      <c r="I38" s="14">
        <v>278324.0300000012</v>
      </c>
      <c r="J38" s="156">
        <v>2.0219241E7</v>
      </c>
    </row>
    <row r="39">
      <c r="A39" s="133">
        <v>45667.0</v>
      </c>
      <c r="B39" s="134" t="s">
        <v>515</v>
      </c>
      <c r="C39" s="134" t="s">
        <v>516</v>
      </c>
      <c r="D39" s="133">
        <v>45666.0</v>
      </c>
      <c r="E39" s="155">
        <v>2.006824797E7</v>
      </c>
      <c r="F39" s="155">
        <v>0.0</v>
      </c>
      <c r="G39" s="155">
        <v>-2.006824797E7</v>
      </c>
      <c r="H39" s="155">
        <v>2.0138703E7</v>
      </c>
      <c r="I39" s="14">
        <v>70455.03000000119</v>
      </c>
      <c r="J39" s="156">
        <v>1.989003E7</v>
      </c>
    </row>
    <row r="40">
      <c r="A40" s="133">
        <v>45670.0</v>
      </c>
      <c r="B40" s="134" t="s">
        <v>515</v>
      </c>
      <c r="C40" s="134" t="s">
        <v>516</v>
      </c>
      <c r="D40" s="133">
        <v>45667.0</v>
      </c>
      <c r="E40" s="155">
        <v>2.006824797E7</v>
      </c>
      <c r="F40" s="155">
        <v>0.0</v>
      </c>
      <c r="G40" s="155">
        <v>-2.006824797E7</v>
      </c>
      <c r="H40" s="155">
        <v>1.9796424E7</v>
      </c>
      <c r="I40" s="14">
        <v>-271823.9699999988</v>
      </c>
      <c r="J40" s="156">
        <v>1.916571E7</v>
      </c>
    </row>
    <row r="41">
      <c r="A41" s="133">
        <v>45671.0</v>
      </c>
      <c r="B41" s="134" t="s">
        <v>515</v>
      </c>
      <c r="C41" s="134" t="s">
        <v>516</v>
      </c>
      <c r="D41" s="133">
        <v>45670.0</v>
      </c>
      <c r="E41" s="155">
        <v>2.006824797E7</v>
      </c>
      <c r="F41" s="155">
        <v>0.0</v>
      </c>
      <c r="G41" s="155">
        <v>-2.006824797E7</v>
      </c>
      <c r="H41" s="155">
        <v>1.8997324E7</v>
      </c>
      <c r="I41" s="14">
        <v>-1070923.9699999988</v>
      </c>
      <c r="J41" s="156">
        <v>1.9432013E7</v>
      </c>
    </row>
    <row r="42">
      <c r="A42" s="133">
        <v>45672.0</v>
      </c>
      <c r="B42" s="134" t="s">
        <v>515</v>
      </c>
      <c r="C42" s="134" t="s">
        <v>516</v>
      </c>
      <c r="D42" s="133">
        <v>45671.0</v>
      </c>
      <c r="E42" s="155">
        <v>2.006824797E7</v>
      </c>
      <c r="F42" s="155">
        <v>0.0</v>
      </c>
      <c r="G42" s="155">
        <v>-2.006824797E7</v>
      </c>
      <c r="H42" s="155">
        <v>1.9309575E7</v>
      </c>
      <c r="I42" s="14">
        <v>-758672.9699999988</v>
      </c>
      <c r="J42" s="156">
        <v>1.9486188E7</v>
      </c>
    </row>
    <row r="43">
      <c r="A43" s="133">
        <v>45673.0</v>
      </c>
      <c r="B43" s="134" t="s">
        <v>515</v>
      </c>
      <c r="C43" s="134" t="s">
        <v>516</v>
      </c>
      <c r="D43" s="133">
        <v>45672.0</v>
      </c>
      <c r="E43" s="155">
        <v>2.006824797E7</v>
      </c>
      <c r="F43" s="155">
        <v>0.0</v>
      </c>
      <c r="G43" s="155">
        <v>-2.006824797E7</v>
      </c>
      <c r="H43" s="155">
        <v>1.934073E7</v>
      </c>
      <c r="I43" s="14">
        <v>-727517.9699999988</v>
      </c>
      <c r="J43" s="156">
        <v>1.9491116E7</v>
      </c>
    </row>
    <row r="44">
      <c r="A44" s="133">
        <v>45674.0</v>
      </c>
      <c r="B44" s="134" t="s">
        <v>515</v>
      </c>
      <c r="C44" s="134" t="s">
        <v>516</v>
      </c>
      <c r="D44" s="133">
        <v>45673.0</v>
      </c>
      <c r="E44" s="155">
        <v>2.006824797E7</v>
      </c>
      <c r="F44" s="155">
        <v>0.0</v>
      </c>
      <c r="G44" s="155">
        <v>-2.006824797E7</v>
      </c>
      <c r="H44" s="155">
        <v>1.9345472E7</v>
      </c>
      <c r="I44" s="14">
        <v>-722775.9699999988</v>
      </c>
      <c r="J44" s="156">
        <v>1.9593015E7</v>
      </c>
    </row>
    <row r="45">
      <c r="A45" s="133">
        <v>45677.0</v>
      </c>
      <c r="B45" s="134" t="s">
        <v>515</v>
      </c>
      <c r="C45" s="134" t="s">
        <v>516</v>
      </c>
      <c r="D45" s="133">
        <v>45674.0</v>
      </c>
      <c r="E45" s="155">
        <v>2.006824797E7</v>
      </c>
      <c r="F45" s="155">
        <v>0.0</v>
      </c>
      <c r="G45" s="155">
        <v>-2.006824797E7</v>
      </c>
      <c r="H45" s="155">
        <v>1.9466386E7</v>
      </c>
      <c r="I45" s="14">
        <v>-601861.9699999988</v>
      </c>
      <c r="J45" s="156">
        <v>1.9657257E7</v>
      </c>
    </row>
    <row r="46">
      <c r="A46" s="133">
        <v>45678.0</v>
      </c>
      <c r="B46" s="134" t="s">
        <v>515</v>
      </c>
      <c r="C46" s="134" t="s">
        <v>516</v>
      </c>
      <c r="D46" s="133">
        <v>45677.0</v>
      </c>
      <c r="E46" s="155">
        <v>2.006824797E7</v>
      </c>
      <c r="F46" s="155">
        <v>0.0</v>
      </c>
      <c r="G46" s="155">
        <v>-2.006824797E7</v>
      </c>
      <c r="H46" s="155">
        <v>1.9546701E7</v>
      </c>
      <c r="I46" s="14">
        <v>-521546.9699999988</v>
      </c>
      <c r="J46" s="156">
        <v>1.8964221E7</v>
      </c>
    </row>
    <row r="47">
      <c r="A47" s="133">
        <v>45679.0</v>
      </c>
      <c r="B47" s="134" t="s">
        <v>515</v>
      </c>
      <c r="C47" s="134" t="s">
        <v>516</v>
      </c>
      <c r="D47" s="133">
        <v>45678.0</v>
      </c>
      <c r="E47" s="155">
        <v>2.006824797E7</v>
      </c>
      <c r="F47" s="155">
        <v>0.0</v>
      </c>
      <c r="G47" s="155">
        <v>-2.006824797E7</v>
      </c>
      <c r="H47" s="155">
        <v>1.8832632E7</v>
      </c>
      <c r="I47" s="14">
        <v>-1235615.9699999988</v>
      </c>
      <c r="J47" s="156">
        <v>1.8775885E7</v>
      </c>
    </row>
    <row r="48">
      <c r="A48" s="133">
        <v>45680.0</v>
      </c>
      <c r="B48" s="134" t="s">
        <v>515</v>
      </c>
      <c r="C48" s="134" t="s">
        <v>516</v>
      </c>
      <c r="D48" s="133">
        <v>45679.0</v>
      </c>
      <c r="E48" s="155">
        <v>2.006824797E7</v>
      </c>
      <c r="F48" s="155">
        <v>0.0</v>
      </c>
      <c r="G48" s="155">
        <v>-2.006824797E7</v>
      </c>
      <c r="H48" s="155">
        <v>1.8645379E7</v>
      </c>
      <c r="I48" s="14">
        <v>-1422868.9699999988</v>
      </c>
      <c r="J48" s="156">
        <v>1.9161992E7</v>
      </c>
    </row>
    <row r="49">
      <c r="A49" s="133">
        <v>45681.0</v>
      </c>
      <c r="B49" s="134" t="s">
        <v>515</v>
      </c>
      <c r="C49" s="134" t="s">
        <v>516</v>
      </c>
      <c r="D49" s="133">
        <v>45680.0</v>
      </c>
      <c r="E49" s="155">
        <v>2.006824797E7</v>
      </c>
      <c r="F49" s="155">
        <v>0.0</v>
      </c>
      <c r="G49" s="155">
        <v>-2.006824797E7</v>
      </c>
      <c r="H49" s="155">
        <v>1.9012265E7</v>
      </c>
      <c r="I49" s="14">
        <v>-1055982.9699999988</v>
      </c>
      <c r="J49" s="156">
        <v>1.8859721E7</v>
      </c>
    </row>
    <row r="50">
      <c r="A50" s="133">
        <v>45684.0</v>
      </c>
      <c r="B50" s="134" t="s">
        <v>515</v>
      </c>
      <c r="C50" s="134" t="s">
        <v>516</v>
      </c>
      <c r="D50" s="133">
        <v>45681.0</v>
      </c>
      <c r="E50" s="155">
        <v>2.006824797E7</v>
      </c>
      <c r="F50" s="155">
        <v>0.0</v>
      </c>
      <c r="G50" s="155">
        <v>-2.006824797E7</v>
      </c>
      <c r="H50" s="155">
        <v>1.8669521E7</v>
      </c>
      <c r="I50" s="14">
        <v>-1398726.9699999988</v>
      </c>
      <c r="J50" s="156">
        <v>1.8395745E7</v>
      </c>
    </row>
    <row r="51">
      <c r="A51" s="133">
        <v>45685.0</v>
      </c>
      <c r="B51" s="134" t="s">
        <v>515</v>
      </c>
      <c r="C51" s="134" t="s">
        <v>516</v>
      </c>
      <c r="D51" s="133">
        <v>45684.0</v>
      </c>
      <c r="E51" s="155">
        <v>2.006824797E7</v>
      </c>
      <c r="F51" s="155">
        <v>0.0</v>
      </c>
      <c r="G51" s="155">
        <v>-2.006824797E7</v>
      </c>
      <c r="H51" s="155">
        <v>1.8183148E7</v>
      </c>
      <c r="I51" s="14">
        <v>-1885099.9699999988</v>
      </c>
      <c r="J51" s="156">
        <v>1.8206739E7</v>
      </c>
    </row>
    <row r="52">
      <c r="A52" s="133">
        <v>45686.0</v>
      </c>
      <c r="B52" s="134" t="s">
        <v>515</v>
      </c>
      <c r="C52" s="134" t="s">
        <v>516</v>
      </c>
      <c r="D52" s="133">
        <v>45685.0</v>
      </c>
      <c r="E52" s="155">
        <v>2.006824797E7</v>
      </c>
      <c r="F52" s="155">
        <v>0.0</v>
      </c>
      <c r="G52" s="155">
        <v>-2.006824797E7</v>
      </c>
      <c r="H52" s="155">
        <v>1.7962437E7</v>
      </c>
      <c r="I52" s="14">
        <v>-2105810.969999999</v>
      </c>
      <c r="J52" s="156">
        <v>1.860369E7</v>
      </c>
    </row>
    <row r="53">
      <c r="A53" s="133">
        <v>45687.0</v>
      </c>
      <c r="B53" s="134" t="s">
        <v>515</v>
      </c>
      <c r="C53" s="134" t="s">
        <v>516</v>
      </c>
      <c r="D53" s="133">
        <v>45686.0</v>
      </c>
      <c r="E53" s="155">
        <v>2.006824797E7</v>
      </c>
      <c r="F53" s="155">
        <v>0.0</v>
      </c>
      <c r="G53" s="155">
        <v>-2.006824797E7</v>
      </c>
      <c r="H53" s="155">
        <v>1.8362801E7</v>
      </c>
      <c r="I53" s="14">
        <v>-1705446.9699999988</v>
      </c>
      <c r="J53" s="156">
        <v>1.844684E7</v>
      </c>
    </row>
    <row r="54">
      <c r="A54" s="133">
        <v>45688.0</v>
      </c>
      <c r="B54" s="134" t="s">
        <v>515</v>
      </c>
      <c r="C54" s="134" t="s">
        <v>516</v>
      </c>
      <c r="D54" s="133">
        <v>45687.0</v>
      </c>
      <c r="E54" s="155">
        <v>2.006824797E7</v>
      </c>
      <c r="F54" s="155">
        <v>0.0</v>
      </c>
      <c r="G54" s="155">
        <v>-2.006824797E7</v>
      </c>
      <c r="H54" s="155">
        <v>1.8199545E7</v>
      </c>
      <c r="I54" s="14">
        <v>-1868702.9699999988</v>
      </c>
      <c r="J54" s="156">
        <v>1.8738328E7</v>
      </c>
    </row>
    <row r="55">
      <c r="A55" s="133">
        <v>45689.0</v>
      </c>
      <c r="B55" s="134" t="s">
        <v>515</v>
      </c>
      <c r="C55" s="134" t="s">
        <v>516</v>
      </c>
      <c r="D55" s="133">
        <v>45688.0</v>
      </c>
      <c r="E55" s="155">
        <v>2.006824797E7</v>
      </c>
      <c r="F55" s="155">
        <v>0.0</v>
      </c>
      <c r="G55" s="155">
        <v>-2.006824797E7</v>
      </c>
      <c r="H55" s="155">
        <v>1.8537984E7</v>
      </c>
      <c r="I55" s="14">
        <v>-1530263.9699999988</v>
      </c>
      <c r="J55" s="156">
        <v>1.8738328E7</v>
      </c>
    </row>
    <row r="56">
      <c r="A56" s="133">
        <v>45691.0</v>
      </c>
      <c r="B56" s="134" t="s">
        <v>515</v>
      </c>
      <c r="C56" s="134" t="s">
        <v>516</v>
      </c>
      <c r="D56" s="133">
        <v>45689.0</v>
      </c>
      <c r="E56" s="155">
        <v>2.006824797E7</v>
      </c>
      <c r="F56" s="155">
        <v>0.0</v>
      </c>
      <c r="G56" s="155">
        <v>-2.006824797E7</v>
      </c>
      <c r="H56" s="155">
        <v>1.8449602E7</v>
      </c>
      <c r="I56" s="14">
        <v>-1618645.9699999988</v>
      </c>
      <c r="J56" s="156">
        <v>1.8506953E7</v>
      </c>
    </row>
    <row r="57">
      <c r="A57" s="133">
        <v>45692.0</v>
      </c>
      <c r="B57" s="134" t="s">
        <v>515</v>
      </c>
      <c r="C57" s="134" t="s">
        <v>516</v>
      </c>
      <c r="D57" s="133">
        <v>45691.0</v>
      </c>
      <c r="E57" s="155">
        <v>2.006824797E7</v>
      </c>
      <c r="F57" s="155">
        <v>0.0</v>
      </c>
      <c r="G57" s="155">
        <v>-2.006824797E7</v>
      </c>
      <c r="H57" s="155">
        <v>1.8170004E7</v>
      </c>
      <c r="I57" s="14">
        <v>-1898243.9699999988</v>
      </c>
      <c r="J57" s="156">
        <v>1.8790745E7</v>
      </c>
    </row>
    <row r="58">
      <c r="A58" s="133">
        <v>45693.0</v>
      </c>
      <c r="B58" s="134" t="s">
        <v>515</v>
      </c>
      <c r="C58" s="134" t="s">
        <v>516</v>
      </c>
      <c r="D58" s="133">
        <v>45692.0</v>
      </c>
      <c r="E58" s="155">
        <v>2.006824797E7</v>
      </c>
      <c r="F58" s="155">
        <v>0.0</v>
      </c>
      <c r="G58" s="155">
        <v>-2.006824797E7</v>
      </c>
      <c r="H58" s="155">
        <v>1.8523999E7</v>
      </c>
      <c r="I58" s="14">
        <v>-1544248.9699999988</v>
      </c>
      <c r="J58" s="156">
        <v>1.901972E7</v>
      </c>
    </row>
    <row r="59">
      <c r="A59" s="133">
        <v>45694.0</v>
      </c>
      <c r="B59" s="134" t="s">
        <v>515</v>
      </c>
      <c r="C59" s="134" t="s">
        <v>516</v>
      </c>
      <c r="D59" s="133">
        <v>45693.0</v>
      </c>
      <c r="E59" s="155">
        <v>2.006824797E7</v>
      </c>
      <c r="F59" s="155">
        <v>0.0</v>
      </c>
      <c r="G59" s="155">
        <v>-2.006824797E7</v>
      </c>
      <c r="H59" s="155">
        <v>1.8782863E7</v>
      </c>
      <c r="I59" s="14">
        <v>-1285384.9699999988</v>
      </c>
      <c r="J59" s="156">
        <v>1.8806376E7</v>
      </c>
    </row>
    <row r="60">
      <c r="A60" s="133">
        <v>45695.0</v>
      </c>
      <c r="B60" s="134" t="s">
        <v>515</v>
      </c>
      <c r="C60" s="134" t="s">
        <v>516</v>
      </c>
      <c r="D60" s="133">
        <v>45694.0</v>
      </c>
      <c r="E60" s="155">
        <v>2.006824797E7</v>
      </c>
      <c r="F60" s="155">
        <v>0.0</v>
      </c>
      <c r="G60" s="155">
        <v>-2.006824797E7</v>
      </c>
      <c r="H60" s="155">
        <v>1.8540811E7</v>
      </c>
      <c r="I60" s="14">
        <v>-1527436.9699999988</v>
      </c>
      <c r="J60" s="156">
        <v>1.8989226E7</v>
      </c>
    </row>
    <row r="61">
      <c r="A61" s="133">
        <v>45698.0</v>
      </c>
      <c r="B61" s="134" t="s">
        <v>515</v>
      </c>
      <c r="C61" s="134" t="s">
        <v>516</v>
      </c>
      <c r="D61" s="133">
        <v>45695.0</v>
      </c>
      <c r="E61" s="155">
        <v>2.006824797E7</v>
      </c>
      <c r="F61" s="155">
        <v>0.0</v>
      </c>
      <c r="G61" s="155">
        <v>-2.006824797E7</v>
      </c>
      <c r="H61" s="155">
        <v>1.8754639E7</v>
      </c>
      <c r="I61" s="14">
        <v>-1313608.9699999988</v>
      </c>
      <c r="J61" s="156">
        <v>1.8590318E7</v>
      </c>
    </row>
    <row r="62">
      <c r="A62" s="133">
        <v>45699.0</v>
      </c>
      <c r="B62" s="134" t="s">
        <v>515</v>
      </c>
      <c r="C62" s="134" t="s">
        <v>516</v>
      </c>
      <c r="D62" s="133">
        <v>45698.0</v>
      </c>
      <c r="E62" s="155">
        <v>2.006824797E7</v>
      </c>
      <c r="F62" s="155">
        <v>0.0</v>
      </c>
      <c r="G62" s="155">
        <v>-2.006824797E7</v>
      </c>
      <c r="H62" s="155">
        <v>1.8308548E7</v>
      </c>
      <c r="I62" s="14">
        <v>-1759699.9699999988</v>
      </c>
      <c r="J62" s="156">
        <v>1.8590318E7</v>
      </c>
    </row>
    <row r="63">
      <c r="A63" s="133">
        <v>45700.0</v>
      </c>
      <c r="B63" s="134" t="s">
        <v>515</v>
      </c>
      <c r="C63" s="134" t="s">
        <v>516</v>
      </c>
      <c r="D63" s="133">
        <v>45699.0</v>
      </c>
      <c r="E63" s="155">
        <v>2.006824797E7</v>
      </c>
      <c r="F63" s="155">
        <v>0.0</v>
      </c>
      <c r="G63" s="155">
        <v>-2.006824797E7</v>
      </c>
      <c r="H63" s="155">
        <v>1.7825146E7</v>
      </c>
      <c r="I63" s="14">
        <v>-2243101.969999999</v>
      </c>
      <c r="J63" s="156">
        <v>1.8590318E7</v>
      </c>
    </row>
    <row r="64">
      <c r="J64" s="1"/>
    </row>
    <row r="65">
      <c r="J65" s="17"/>
    </row>
    <row r="66">
      <c r="J66" s="17"/>
    </row>
    <row r="67">
      <c r="J67" s="17"/>
    </row>
    <row r="68">
      <c r="J68" s="17"/>
    </row>
    <row r="69">
      <c r="J69" s="17"/>
    </row>
    <row r="70">
      <c r="J70" s="17"/>
    </row>
    <row r="71">
      <c r="J71" s="17"/>
    </row>
    <row r="72">
      <c r="J72" s="17"/>
    </row>
    <row r="73">
      <c r="J73" s="17"/>
    </row>
    <row r="74">
      <c r="A74" s="96"/>
      <c r="J74" s="17"/>
    </row>
    <row r="75">
      <c r="A75" s="96"/>
      <c r="D75" s="96"/>
      <c r="J75" s="17"/>
    </row>
    <row r="76">
      <c r="A76" s="96"/>
      <c r="D76" s="96"/>
      <c r="J76" s="17"/>
    </row>
    <row r="77">
      <c r="A77" s="96"/>
      <c r="D77" s="96"/>
      <c r="J77" s="17"/>
    </row>
    <row r="78">
      <c r="A78" s="96"/>
      <c r="D78" s="96"/>
      <c r="J78" s="17"/>
    </row>
    <row r="79">
      <c r="A79" s="96"/>
      <c r="D79" s="96"/>
      <c r="J79" s="17"/>
    </row>
    <row r="80">
      <c r="A80" s="133"/>
      <c r="B80" s="134"/>
      <c r="C80" s="134"/>
      <c r="D80" s="133"/>
      <c r="J80" s="17"/>
    </row>
    <row r="81">
      <c r="A81" s="133"/>
      <c r="B81" s="134"/>
      <c r="C81" s="134"/>
      <c r="D81" s="133"/>
      <c r="J81" s="17"/>
    </row>
    <row r="82">
      <c r="A82" s="133"/>
      <c r="B82" s="134"/>
      <c r="C82" s="134"/>
      <c r="D82" s="133"/>
      <c r="J82" s="17"/>
    </row>
    <row r="83">
      <c r="A83" s="133"/>
      <c r="B83" s="134"/>
      <c r="C83" s="134"/>
      <c r="D83" s="133"/>
      <c r="J83" s="17"/>
    </row>
    <row r="84">
      <c r="A84" s="133"/>
      <c r="B84" s="134"/>
      <c r="C84" s="134"/>
      <c r="D84" s="133"/>
      <c r="J84" s="17"/>
    </row>
    <row r="85">
      <c r="A85" s="135"/>
      <c r="B85" s="134"/>
      <c r="C85" s="134"/>
      <c r="D85" s="135"/>
      <c r="J85" s="17"/>
    </row>
    <row r="86">
      <c r="A86" s="135"/>
      <c r="B86" s="134"/>
      <c r="C86" s="134"/>
      <c r="D86" s="135"/>
      <c r="J86" s="17"/>
    </row>
    <row r="87">
      <c r="A87" s="135"/>
      <c r="B87" s="134"/>
      <c r="C87" s="134"/>
      <c r="D87" s="135"/>
      <c r="J87" s="17"/>
    </row>
    <row r="88">
      <c r="A88" s="135"/>
      <c r="B88" s="134"/>
      <c r="C88" s="134"/>
      <c r="D88" s="135"/>
      <c r="J88" s="17"/>
    </row>
    <row r="89">
      <c r="A89" s="135"/>
      <c r="B89" s="134"/>
      <c r="C89" s="134"/>
      <c r="D89" s="135"/>
      <c r="J89" s="17"/>
    </row>
    <row r="90">
      <c r="A90" s="135"/>
      <c r="B90" s="134"/>
      <c r="C90" s="134"/>
      <c r="D90" s="135"/>
      <c r="J90" s="17"/>
    </row>
    <row r="91">
      <c r="A91" s="135"/>
      <c r="B91" s="134"/>
      <c r="C91" s="134"/>
      <c r="D91" s="135"/>
      <c r="J91" s="17"/>
    </row>
    <row r="92">
      <c r="A92" s="135"/>
      <c r="B92" s="134"/>
      <c r="C92" s="134"/>
      <c r="D92" s="135"/>
      <c r="J92" s="17"/>
    </row>
    <row r="93">
      <c r="A93" s="135"/>
      <c r="B93" s="134"/>
      <c r="C93" s="134"/>
      <c r="D93" s="135"/>
      <c r="J93" s="17"/>
    </row>
    <row r="94">
      <c r="A94" s="135"/>
      <c r="B94" s="134"/>
      <c r="C94" s="134"/>
      <c r="D94" s="135"/>
      <c r="J94" s="17"/>
    </row>
    <row r="95">
      <c r="A95" s="135"/>
      <c r="B95" s="134"/>
      <c r="C95" s="134"/>
      <c r="D95" s="135"/>
      <c r="J95" s="17"/>
    </row>
    <row r="96">
      <c r="A96" s="135"/>
      <c r="B96" s="134"/>
      <c r="C96" s="134"/>
      <c r="D96" s="135"/>
      <c r="J96" s="17"/>
    </row>
    <row r="97">
      <c r="A97" s="135"/>
      <c r="B97" s="134"/>
      <c r="C97" s="134"/>
      <c r="D97" s="135"/>
      <c r="J97" s="17"/>
    </row>
    <row r="98">
      <c r="A98" s="135"/>
      <c r="B98" s="134"/>
      <c r="C98" s="134"/>
      <c r="D98" s="135"/>
      <c r="J98" s="17"/>
    </row>
    <row r="99">
      <c r="A99" s="135"/>
      <c r="B99" s="134"/>
      <c r="C99" s="134"/>
      <c r="D99" s="135"/>
      <c r="J99" s="17"/>
    </row>
    <row r="100">
      <c r="A100" s="135"/>
      <c r="B100" s="134"/>
      <c r="C100" s="134"/>
      <c r="D100" s="135"/>
      <c r="J100" s="17"/>
    </row>
    <row r="101">
      <c r="A101" s="135"/>
      <c r="B101" s="134"/>
      <c r="C101" s="134"/>
      <c r="D101" s="135"/>
      <c r="J101" s="17"/>
    </row>
    <row r="102">
      <c r="A102" s="135"/>
      <c r="B102" s="134"/>
      <c r="C102" s="134"/>
      <c r="D102" s="135"/>
      <c r="J102" s="17"/>
    </row>
    <row r="103">
      <c r="A103" s="135"/>
      <c r="B103" s="134"/>
      <c r="C103" s="134"/>
      <c r="D103" s="135"/>
      <c r="J103" s="17"/>
    </row>
    <row r="104">
      <c r="A104" s="135"/>
      <c r="B104" s="134"/>
      <c r="C104" s="134"/>
      <c r="D104" s="135"/>
      <c r="J104" s="17"/>
    </row>
    <row r="105">
      <c r="A105" s="135"/>
      <c r="B105" s="134"/>
      <c r="C105" s="134"/>
      <c r="D105" s="135"/>
      <c r="J105" s="17"/>
    </row>
    <row r="106">
      <c r="A106" s="135"/>
      <c r="B106" s="134"/>
      <c r="C106" s="134"/>
      <c r="D106" s="135"/>
      <c r="J106" s="17"/>
    </row>
    <row r="107">
      <c r="A107" s="135"/>
      <c r="B107" s="134"/>
      <c r="C107" s="134"/>
      <c r="D107" s="135"/>
      <c r="J107" s="17"/>
    </row>
    <row r="108">
      <c r="A108" s="135"/>
      <c r="B108" s="134"/>
      <c r="C108" s="134"/>
      <c r="D108" s="135"/>
      <c r="J108" s="17"/>
    </row>
    <row r="109">
      <c r="A109" s="135"/>
      <c r="B109" s="134"/>
      <c r="C109" s="134"/>
      <c r="D109" s="135"/>
      <c r="J109" s="17"/>
    </row>
    <row r="110">
      <c r="A110" s="135"/>
      <c r="B110" s="134"/>
      <c r="C110" s="134"/>
      <c r="D110" s="135"/>
      <c r="J110" s="17"/>
    </row>
    <row r="111">
      <c r="A111" s="135"/>
      <c r="B111" s="134"/>
      <c r="C111" s="134"/>
      <c r="D111" s="135"/>
      <c r="J111" s="17"/>
    </row>
    <row r="112">
      <c r="A112" s="135"/>
      <c r="B112" s="134"/>
      <c r="C112" s="134"/>
      <c r="D112" s="135"/>
      <c r="J112" s="17"/>
    </row>
    <row r="113">
      <c r="A113" s="135"/>
      <c r="B113" s="134"/>
      <c r="C113" s="134"/>
      <c r="D113" s="135"/>
      <c r="J113" s="17"/>
    </row>
    <row r="114">
      <c r="A114" s="135"/>
      <c r="B114" s="134"/>
      <c r="C114" s="134"/>
      <c r="D114" s="135"/>
      <c r="J114" s="17"/>
    </row>
    <row r="115">
      <c r="A115" s="135"/>
      <c r="B115" s="134"/>
      <c r="C115" s="134"/>
      <c r="D115" s="135"/>
      <c r="J115" s="17"/>
    </row>
    <row r="116">
      <c r="A116" s="135"/>
      <c r="B116" s="134"/>
      <c r="C116" s="134"/>
      <c r="D116" s="135"/>
      <c r="J116" s="17"/>
    </row>
    <row r="117">
      <c r="A117" s="135"/>
      <c r="B117" s="134"/>
      <c r="C117" s="134"/>
      <c r="D117" s="135"/>
      <c r="J117" s="17"/>
    </row>
    <row r="118">
      <c r="A118" s="135"/>
      <c r="B118" s="134"/>
      <c r="C118" s="134"/>
      <c r="D118" s="135"/>
      <c r="J118" s="17"/>
    </row>
    <row r="119">
      <c r="A119" s="135"/>
      <c r="B119" s="134"/>
      <c r="C119" s="134"/>
      <c r="D119" s="135"/>
      <c r="J119" s="17"/>
    </row>
    <row r="120">
      <c r="A120" s="135"/>
      <c r="B120" s="134"/>
      <c r="C120" s="134"/>
      <c r="D120" s="135"/>
      <c r="J120" s="17"/>
    </row>
    <row r="121">
      <c r="A121" s="135"/>
      <c r="B121" s="134"/>
      <c r="C121" s="134"/>
      <c r="D121" s="135"/>
      <c r="J121" s="17"/>
    </row>
    <row r="122">
      <c r="A122" s="135"/>
      <c r="B122" s="134"/>
      <c r="C122" s="134"/>
      <c r="D122" s="135"/>
      <c r="J122" s="17"/>
    </row>
    <row r="123">
      <c r="A123" s="135"/>
      <c r="B123" s="134"/>
      <c r="C123" s="134"/>
      <c r="D123" s="135"/>
      <c r="J123" s="17"/>
    </row>
    <row r="124">
      <c r="A124" s="135"/>
      <c r="B124" s="134"/>
      <c r="C124" s="134"/>
      <c r="D124" s="135"/>
      <c r="J124" s="17"/>
    </row>
    <row r="125">
      <c r="A125" s="135"/>
      <c r="B125" s="134"/>
      <c r="C125" s="134"/>
      <c r="D125" s="135"/>
      <c r="J125" s="17"/>
    </row>
    <row r="126">
      <c r="A126" s="135"/>
      <c r="B126" s="134"/>
      <c r="C126" s="134"/>
      <c r="D126" s="135"/>
      <c r="J126" s="17"/>
    </row>
    <row r="127">
      <c r="J127" s="1"/>
    </row>
    <row r="128">
      <c r="J128" s="17"/>
    </row>
    <row r="129">
      <c r="J129" s="17"/>
    </row>
    <row r="130">
      <c r="J130" s="17"/>
    </row>
    <row r="131">
      <c r="J131" s="17"/>
    </row>
    <row r="132">
      <c r="J132" s="17"/>
    </row>
    <row r="133">
      <c r="J133" s="17"/>
    </row>
    <row r="134">
      <c r="J134" s="17"/>
    </row>
    <row r="135">
      <c r="J135" s="17"/>
    </row>
    <row r="136">
      <c r="J136" s="17"/>
    </row>
    <row r="137">
      <c r="A137" s="96"/>
      <c r="J137" s="17"/>
    </row>
    <row r="138">
      <c r="A138" s="96"/>
      <c r="D138" s="96"/>
      <c r="J138" s="17"/>
    </row>
    <row r="139">
      <c r="A139" s="96"/>
      <c r="D139" s="96"/>
      <c r="J139" s="17"/>
    </row>
    <row r="140">
      <c r="A140" s="96"/>
      <c r="D140" s="96"/>
      <c r="J140" s="17"/>
    </row>
    <row r="141">
      <c r="A141" s="96"/>
      <c r="D141" s="96"/>
      <c r="J141" s="17"/>
    </row>
    <row r="142">
      <c r="A142" s="96"/>
      <c r="D142" s="96"/>
      <c r="J142" s="17"/>
    </row>
    <row r="143">
      <c r="A143" s="133"/>
      <c r="B143" s="134"/>
      <c r="C143" s="134"/>
      <c r="D143" s="133"/>
      <c r="J143" s="17"/>
    </row>
    <row r="144">
      <c r="A144" s="133"/>
      <c r="B144" s="134"/>
      <c r="C144" s="134"/>
      <c r="D144" s="133"/>
      <c r="J144" s="17"/>
    </row>
    <row r="145">
      <c r="A145" s="133"/>
      <c r="B145" s="134"/>
      <c r="C145" s="134"/>
      <c r="D145" s="133"/>
      <c r="J145" s="17"/>
    </row>
    <row r="146">
      <c r="A146" s="133"/>
      <c r="B146" s="134"/>
      <c r="C146" s="134"/>
      <c r="D146" s="133"/>
      <c r="J146" s="17"/>
    </row>
    <row r="147">
      <c r="A147" s="133"/>
      <c r="B147" s="134"/>
      <c r="C147" s="134"/>
      <c r="D147" s="133"/>
      <c r="J147" s="17"/>
    </row>
    <row r="148">
      <c r="A148" s="135"/>
      <c r="B148" s="134"/>
      <c r="C148" s="134"/>
      <c r="D148" s="135"/>
      <c r="J148" s="17"/>
    </row>
    <row r="149">
      <c r="A149" s="135"/>
      <c r="B149" s="134"/>
      <c r="C149" s="134"/>
      <c r="D149" s="135"/>
      <c r="J149" s="17"/>
    </row>
    <row r="150">
      <c r="A150" s="135"/>
      <c r="B150" s="134"/>
      <c r="C150" s="134"/>
      <c r="D150" s="135"/>
      <c r="J150" s="17"/>
    </row>
    <row r="151">
      <c r="A151" s="135"/>
      <c r="B151" s="134"/>
      <c r="C151" s="134"/>
      <c r="D151" s="135"/>
      <c r="J151" s="17"/>
    </row>
    <row r="152">
      <c r="A152" s="135"/>
      <c r="B152" s="134"/>
      <c r="C152" s="134"/>
      <c r="D152" s="135"/>
      <c r="J152" s="17"/>
    </row>
    <row r="153">
      <c r="A153" s="135"/>
      <c r="B153" s="134"/>
      <c r="C153" s="134"/>
      <c r="D153" s="135"/>
      <c r="J153" s="17"/>
    </row>
    <row r="154">
      <c r="A154" s="135"/>
      <c r="B154" s="134"/>
      <c r="C154" s="134"/>
      <c r="D154" s="135"/>
      <c r="J154" s="17"/>
    </row>
    <row r="155">
      <c r="A155" s="135"/>
      <c r="B155" s="134"/>
      <c r="C155" s="134"/>
      <c r="D155" s="135"/>
      <c r="J155" s="17"/>
    </row>
    <row r="156">
      <c r="A156" s="135"/>
      <c r="B156" s="134"/>
      <c r="C156" s="134"/>
      <c r="D156" s="135"/>
      <c r="J156" s="17"/>
    </row>
    <row r="157">
      <c r="A157" s="135"/>
      <c r="B157" s="134"/>
      <c r="C157" s="134"/>
      <c r="D157" s="135"/>
      <c r="J157" s="17"/>
    </row>
    <row r="158">
      <c r="A158" s="135"/>
      <c r="B158" s="134"/>
      <c r="C158" s="134"/>
      <c r="D158" s="135"/>
      <c r="J158" s="17"/>
    </row>
    <row r="159">
      <c r="A159" s="135"/>
      <c r="B159" s="134"/>
      <c r="C159" s="134"/>
      <c r="D159" s="135"/>
      <c r="J159" s="17"/>
    </row>
    <row r="160">
      <c r="A160" s="135"/>
      <c r="B160" s="134"/>
      <c r="C160" s="134"/>
      <c r="D160" s="135"/>
      <c r="J160" s="17"/>
    </row>
    <row r="161">
      <c r="A161" s="135"/>
      <c r="B161" s="134"/>
      <c r="C161" s="134"/>
      <c r="D161" s="135"/>
      <c r="J161" s="17"/>
    </row>
    <row r="162">
      <c r="A162" s="135"/>
      <c r="B162" s="134"/>
      <c r="C162" s="134"/>
      <c r="D162" s="135"/>
      <c r="J162" s="17"/>
    </row>
    <row r="163">
      <c r="A163" s="135"/>
      <c r="B163" s="134"/>
      <c r="C163" s="134"/>
      <c r="D163" s="135"/>
      <c r="J163" s="17"/>
    </row>
    <row r="164">
      <c r="A164" s="135"/>
      <c r="B164" s="134"/>
      <c r="C164" s="134"/>
      <c r="D164" s="135"/>
      <c r="J164" s="17"/>
    </row>
    <row r="165">
      <c r="A165" s="135"/>
      <c r="B165" s="134"/>
      <c r="C165" s="134"/>
      <c r="D165" s="135"/>
      <c r="J165" s="17"/>
    </row>
    <row r="166">
      <c r="A166" s="135"/>
      <c r="B166" s="134"/>
      <c r="C166" s="134"/>
      <c r="D166" s="135"/>
      <c r="J166" s="17"/>
    </row>
    <row r="167">
      <c r="A167" s="135"/>
      <c r="B167" s="134"/>
      <c r="C167" s="134"/>
      <c r="D167" s="135"/>
      <c r="J167" s="17"/>
    </row>
    <row r="168">
      <c r="A168" s="135"/>
      <c r="B168" s="134"/>
      <c r="C168" s="134"/>
      <c r="D168" s="135"/>
      <c r="J168" s="17"/>
    </row>
    <row r="169">
      <c r="A169" s="135"/>
      <c r="B169" s="134"/>
      <c r="C169" s="134"/>
      <c r="D169" s="135"/>
      <c r="J169" s="17"/>
    </row>
    <row r="170">
      <c r="A170" s="135"/>
      <c r="B170" s="134"/>
      <c r="C170" s="134"/>
      <c r="D170" s="135"/>
      <c r="J170" s="17"/>
    </row>
    <row r="171">
      <c r="A171" s="135"/>
      <c r="B171" s="134"/>
      <c r="C171" s="134"/>
      <c r="D171" s="135"/>
      <c r="J171" s="17"/>
    </row>
    <row r="172">
      <c r="A172" s="135"/>
      <c r="B172" s="134"/>
      <c r="C172" s="134"/>
      <c r="D172" s="135"/>
      <c r="J172" s="17"/>
    </row>
    <row r="173">
      <c r="A173" s="135"/>
      <c r="B173" s="134"/>
      <c r="C173" s="134"/>
      <c r="D173" s="135"/>
      <c r="J173" s="17"/>
    </row>
    <row r="174">
      <c r="A174" s="135"/>
      <c r="B174" s="134"/>
      <c r="C174" s="134"/>
      <c r="D174" s="135"/>
      <c r="J174" s="17"/>
    </row>
    <row r="175">
      <c r="A175" s="135"/>
      <c r="B175" s="134"/>
      <c r="C175" s="134"/>
      <c r="D175" s="135"/>
      <c r="J175" s="17"/>
    </row>
    <row r="176">
      <c r="A176" s="135"/>
      <c r="B176" s="134"/>
      <c r="C176" s="134"/>
      <c r="D176" s="135"/>
      <c r="J176" s="17"/>
    </row>
    <row r="177">
      <c r="A177" s="135"/>
      <c r="B177" s="134"/>
      <c r="C177" s="134"/>
      <c r="D177" s="135"/>
      <c r="J177" s="17"/>
    </row>
    <row r="178">
      <c r="A178" s="135"/>
      <c r="B178" s="134"/>
      <c r="C178" s="134"/>
      <c r="D178" s="135"/>
      <c r="J178" s="17"/>
    </row>
    <row r="179">
      <c r="A179" s="135"/>
      <c r="B179" s="134"/>
      <c r="C179" s="134"/>
      <c r="D179" s="135"/>
      <c r="J179" s="17"/>
    </row>
    <row r="180">
      <c r="A180" s="135"/>
      <c r="B180" s="134"/>
      <c r="C180" s="134"/>
      <c r="D180" s="135"/>
      <c r="J180" s="17"/>
    </row>
    <row r="181">
      <c r="A181" s="135"/>
      <c r="B181" s="134"/>
      <c r="C181" s="134"/>
      <c r="D181" s="135"/>
      <c r="J181" s="17"/>
    </row>
    <row r="182">
      <c r="A182" s="135"/>
      <c r="B182" s="134"/>
      <c r="C182" s="134"/>
      <c r="D182" s="135"/>
      <c r="J182" s="17"/>
    </row>
    <row r="183">
      <c r="A183" s="135"/>
      <c r="B183" s="134"/>
      <c r="C183" s="134"/>
      <c r="D183" s="135"/>
      <c r="J183" s="17"/>
    </row>
    <row r="184">
      <c r="A184" s="135"/>
      <c r="B184" s="134"/>
      <c r="C184" s="134"/>
      <c r="D184" s="135"/>
      <c r="J184" s="17"/>
    </row>
    <row r="185">
      <c r="A185" s="135"/>
      <c r="B185" s="134"/>
      <c r="C185" s="134"/>
      <c r="D185" s="135"/>
      <c r="J185" s="17"/>
    </row>
    <row r="186">
      <c r="A186" s="135"/>
      <c r="B186" s="134"/>
      <c r="C186" s="134"/>
      <c r="D186" s="135"/>
      <c r="J186" s="17"/>
    </row>
    <row r="187">
      <c r="A187" s="135"/>
      <c r="B187" s="134"/>
      <c r="C187" s="134"/>
      <c r="D187" s="135"/>
      <c r="J187" s="17"/>
    </row>
    <row r="188">
      <c r="A188" s="135"/>
      <c r="B188" s="134"/>
      <c r="C188" s="134"/>
      <c r="D188" s="135"/>
      <c r="J188" s="17"/>
    </row>
    <row r="189">
      <c r="A189" s="135"/>
      <c r="B189" s="134"/>
      <c r="C189" s="134"/>
      <c r="D189" s="135"/>
      <c r="J189" s="17"/>
    </row>
    <row r="190">
      <c r="J190" s="1"/>
    </row>
    <row r="191">
      <c r="J191" s="17"/>
    </row>
    <row r="192">
      <c r="J192" s="17"/>
    </row>
    <row r="193">
      <c r="J193" s="17"/>
    </row>
    <row r="194">
      <c r="J194" s="17"/>
    </row>
    <row r="195">
      <c r="J195" s="17"/>
    </row>
    <row r="196">
      <c r="J196" s="17"/>
    </row>
    <row r="197">
      <c r="J197" s="17"/>
    </row>
    <row r="198">
      <c r="J198" s="17"/>
    </row>
    <row r="199">
      <c r="J199" s="17"/>
    </row>
    <row r="200">
      <c r="A200" s="96"/>
      <c r="J200" s="17"/>
    </row>
    <row r="201">
      <c r="A201" s="96"/>
      <c r="D201" s="96"/>
      <c r="J201" s="17"/>
    </row>
    <row r="202">
      <c r="A202" s="96"/>
      <c r="D202" s="96"/>
      <c r="J202" s="17"/>
    </row>
    <row r="203">
      <c r="A203" s="96"/>
      <c r="D203" s="96"/>
      <c r="J203" s="17"/>
    </row>
    <row r="204">
      <c r="A204" s="96"/>
      <c r="D204" s="96"/>
      <c r="J204" s="17"/>
    </row>
    <row r="205">
      <c r="A205" s="96"/>
      <c r="D205" s="96"/>
      <c r="J205" s="17"/>
    </row>
    <row r="206">
      <c r="A206" s="133"/>
      <c r="B206" s="134"/>
      <c r="C206" s="134"/>
      <c r="D206" s="133"/>
      <c r="J206" s="17"/>
    </row>
    <row r="207">
      <c r="A207" s="133"/>
      <c r="B207" s="134"/>
      <c r="C207" s="134"/>
      <c r="D207" s="133"/>
      <c r="J207" s="17"/>
    </row>
    <row r="208">
      <c r="A208" s="133"/>
      <c r="B208" s="134"/>
      <c r="C208" s="134"/>
      <c r="D208" s="133"/>
      <c r="J208" s="17"/>
    </row>
    <row r="209">
      <c r="A209" s="133"/>
      <c r="B209" s="134"/>
      <c r="C209" s="134"/>
      <c r="D209" s="133"/>
      <c r="J209" s="17"/>
    </row>
    <row r="210">
      <c r="A210" s="133"/>
      <c r="B210" s="134"/>
      <c r="C210" s="134"/>
      <c r="D210" s="133"/>
      <c r="J210" s="17"/>
    </row>
    <row r="211">
      <c r="A211" s="135"/>
      <c r="B211" s="134"/>
      <c r="C211" s="134"/>
      <c r="D211" s="135"/>
      <c r="J211" s="17"/>
    </row>
    <row r="212">
      <c r="A212" s="135"/>
      <c r="B212" s="134"/>
      <c r="C212" s="134"/>
      <c r="D212" s="135"/>
      <c r="J212" s="17"/>
    </row>
    <row r="213">
      <c r="A213" s="135"/>
      <c r="B213" s="134"/>
      <c r="C213" s="134"/>
      <c r="D213" s="135"/>
      <c r="J213" s="17"/>
    </row>
    <row r="214">
      <c r="A214" s="135"/>
      <c r="B214" s="134"/>
      <c r="C214" s="134"/>
      <c r="D214" s="135"/>
      <c r="J214" s="17"/>
    </row>
    <row r="215">
      <c r="A215" s="135"/>
      <c r="B215" s="134"/>
      <c r="C215" s="134"/>
      <c r="D215" s="135"/>
      <c r="J215" s="17"/>
    </row>
    <row r="216">
      <c r="A216" s="135"/>
      <c r="B216" s="134"/>
      <c r="C216" s="134"/>
      <c r="D216" s="135"/>
      <c r="J216" s="17"/>
    </row>
    <row r="217">
      <c r="A217" s="135"/>
      <c r="B217" s="134"/>
      <c r="C217" s="134"/>
      <c r="D217" s="135"/>
      <c r="J217" s="17"/>
    </row>
    <row r="218">
      <c r="A218" s="135"/>
      <c r="B218" s="134"/>
      <c r="C218" s="134"/>
      <c r="D218" s="135"/>
      <c r="J218" s="17"/>
    </row>
    <row r="219">
      <c r="A219" s="135"/>
      <c r="B219" s="134"/>
      <c r="C219" s="134"/>
      <c r="D219" s="135"/>
      <c r="J219" s="17"/>
    </row>
    <row r="220">
      <c r="A220" s="135"/>
      <c r="B220" s="134"/>
      <c r="C220" s="134"/>
      <c r="D220" s="135"/>
      <c r="J220" s="17"/>
    </row>
    <row r="221">
      <c r="A221" s="135"/>
      <c r="B221" s="134"/>
      <c r="C221" s="134"/>
      <c r="D221" s="135"/>
      <c r="J221" s="17"/>
    </row>
    <row r="222">
      <c r="A222" s="135"/>
      <c r="B222" s="134"/>
      <c r="C222" s="134"/>
      <c r="D222" s="135"/>
      <c r="J222" s="17"/>
    </row>
    <row r="223">
      <c r="A223" s="135"/>
      <c r="B223" s="134"/>
      <c r="C223" s="134"/>
      <c r="D223" s="135"/>
      <c r="J223" s="17"/>
    </row>
    <row r="224">
      <c r="A224" s="135"/>
      <c r="B224" s="134"/>
      <c r="C224" s="134"/>
      <c r="D224" s="135"/>
      <c r="J224" s="17"/>
    </row>
    <row r="225">
      <c r="A225" s="135"/>
      <c r="B225" s="134"/>
      <c r="C225" s="134"/>
      <c r="D225" s="135"/>
      <c r="J225" s="17"/>
    </row>
    <row r="226">
      <c r="A226" s="135"/>
      <c r="B226" s="134"/>
      <c r="C226" s="134"/>
      <c r="D226" s="135"/>
      <c r="J226" s="17"/>
    </row>
    <row r="227">
      <c r="A227" s="135"/>
      <c r="B227" s="134"/>
      <c r="C227" s="134"/>
      <c r="D227" s="135"/>
      <c r="J227" s="17"/>
    </row>
    <row r="228">
      <c r="A228" s="135"/>
      <c r="B228" s="134"/>
      <c r="C228" s="134"/>
      <c r="D228" s="135"/>
      <c r="J228" s="17"/>
    </row>
    <row r="229">
      <c r="A229" s="135"/>
      <c r="B229" s="134"/>
      <c r="C229" s="134"/>
      <c r="D229" s="135"/>
      <c r="J229" s="17"/>
    </row>
    <row r="230">
      <c r="A230" s="135"/>
      <c r="B230" s="134"/>
      <c r="C230" s="134"/>
      <c r="D230" s="135"/>
      <c r="J230" s="17"/>
    </row>
    <row r="231">
      <c r="A231" s="135"/>
      <c r="B231" s="134"/>
      <c r="C231" s="134"/>
      <c r="D231" s="135"/>
      <c r="J231" s="17"/>
    </row>
    <row r="232">
      <c r="A232" s="135"/>
      <c r="B232" s="134"/>
      <c r="C232" s="134"/>
      <c r="D232" s="135"/>
      <c r="J232" s="17"/>
    </row>
    <row r="233">
      <c r="A233" s="135"/>
      <c r="B233" s="134"/>
      <c r="C233" s="134"/>
      <c r="D233" s="135"/>
      <c r="J233" s="17"/>
    </row>
    <row r="234">
      <c r="A234" s="135"/>
      <c r="B234" s="134"/>
      <c r="C234" s="134"/>
      <c r="D234" s="135"/>
      <c r="J234" s="17"/>
    </row>
    <row r="235">
      <c r="A235" s="135"/>
      <c r="B235" s="134"/>
      <c r="C235" s="134"/>
      <c r="D235" s="135"/>
      <c r="J235" s="17"/>
    </row>
    <row r="236">
      <c r="A236" s="135"/>
      <c r="B236" s="134"/>
      <c r="C236" s="134"/>
      <c r="D236" s="135"/>
      <c r="J236" s="17"/>
    </row>
    <row r="237">
      <c r="A237" s="135"/>
      <c r="B237" s="134"/>
      <c r="C237" s="134"/>
      <c r="D237" s="135"/>
      <c r="J237" s="17"/>
    </row>
    <row r="238">
      <c r="A238" s="135"/>
      <c r="B238" s="134"/>
      <c r="C238" s="134"/>
      <c r="D238" s="135"/>
      <c r="J238" s="17"/>
    </row>
    <row r="239">
      <c r="A239" s="135"/>
      <c r="B239" s="134"/>
      <c r="C239" s="134"/>
      <c r="D239" s="135"/>
      <c r="J239" s="17"/>
    </row>
    <row r="240">
      <c r="A240" s="135"/>
      <c r="B240" s="134"/>
      <c r="C240" s="134"/>
      <c r="D240" s="135"/>
      <c r="J240" s="17"/>
    </row>
    <row r="241">
      <c r="A241" s="135"/>
      <c r="B241" s="134"/>
      <c r="C241" s="134"/>
      <c r="D241" s="135"/>
      <c r="J241" s="17"/>
    </row>
    <row r="242">
      <c r="A242" s="135"/>
      <c r="B242" s="134"/>
      <c r="C242" s="134"/>
      <c r="D242" s="135"/>
      <c r="J242" s="17"/>
    </row>
    <row r="243">
      <c r="A243" s="135"/>
      <c r="B243" s="134"/>
      <c r="C243" s="134"/>
      <c r="D243" s="135"/>
      <c r="J243" s="17"/>
    </row>
    <row r="244">
      <c r="A244" s="135"/>
      <c r="B244" s="134"/>
      <c r="C244" s="134"/>
      <c r="D244" s="135"/>
      <c r="J244" s="17"/>
    </row>
    <row r="245">
      <c r="A245" s="135"/>
      <c r="B245" s="134"/>
      <c r="C245" s="134"/>
      <c r="D245" s="135"/>
      <c r="J245" s="17"/>
    </row>
    <row r="246">
      <c r="A246" s="135"/>
      <c r="B246" s="134"/>
      <c r="C246" s="134"/>
      <c r="D246" s="135"/>
      <c r="J246" s="17"/>
    </row>
    <row r="247">
      <c r="A247" s="135"/>
      <c r="B247" s="134"/>
      <c r="C247" s="134"/>
      <c r="D247" s="135"/>
      <c r="J247" s="17"/>
    </row>
    <row r="248">
      <c r="A248" s="135"/>
      <c r="B248" s="134"/>
      <c r="C248" s="134"/>
      <c r="D248" s="135"/>
      <c r="J248" s="17"/>
    </row>
    <row r="249">
      <c r="A249" s="135"/>
      <c r="B249" s="134"/>
      <c r="C249" s="134"/>
      <c r="D249" s="135"/>
      <c r="J249" s="17"/>
    </row>
    <row r="250">
      <c r="A250" s="135"/>
      <c r="B250" s="134"/>
      <c r="C250" s="134"/>
      <c r="D250" s="135"/>
      <c r="J250" s="17"/>
    </row>
    <row r="251">
      <c r="A251" s="135"/>
      <c r="B251" s="134"/>
      <c r="C251" s="134"/>
      <c r="D251" s="135"/>
      <c r="J251" s="17"/>
    </row>
    <row r="252">
      <c r="A252" s="135"/>
      <c r="B252" s="134"/>
      <c r="C252" s="134"/>
      <c r="D252" s="135"/>
      <c r="J252" s="17"/>
    </row>
    <row r="253">
      <c r="J253" s="1"/>
    </row>
    <row r="254">
      <c r="J254" s="17"/>
    </row>
    <row r="255">
      <c r="J255" s="17"/>
    </row>
    <row r="256">
      <c r="J256" s="17"/>
    </row>
    <row r="257">
      <c r="J257" s="17"/>
    </row>
    <row r="258">
      <c r="J258" s="17"/>
    </row>
    <row r="259">
      <c r="J259" s="17"/>
    </row>
    <row r="260">
      <c r="J260" s="17"/>
    </row>
    <row r="261">
      <c r="J261" s="17"/>
    </row>
    <row r="262">
      <c r="J262" s="17"/>
    </row>
    <row r="263">
      <c r="A263" s="96"/>
      <c r="J263" s="17"/>
    </row>
    <row r="264">
      <c r="A264" s="96"/>
      <c r="D264" s="96"/>
      <c r="J264" s="17"/>
    </row>
    <row r="265">
      <c r="A265" s="96"/>
      <c r="D265" s="96"/>
      <c r="J265" s="17"/>
    </row>
    <row r="266">
      <c r="A266" s="96"/>
      <c r="D266" s="96"/>
      <c r="J266" s="17"/>
    </row>
    <row r="267">
      <c r="A267" s="96"/>
      <c r="D267" s="96"/>
      <c r="J267" s="17"/>
    </row>
    <row r="268">
      <c r="A268" s="96"/>
      <c r="D268" s="96"/>
      <c r="J268" s="17"/>
    </row>
    <row r="269">
      <c r="A269" s="133"/>
      <c r="B269" s="134"/>
      <c r="C269" s="134"/>
      <c r="D269" s="133"/>
      <c r="J269" s="17"/>
    </row>
    <row r="270">
      <c r="A270" s="133"/>
      <c r="B270" s="134"/>
      <c r="C270" s="134"/>
      <c r="D270" s="133"/>
      <c r="J270" s="17"/>
    </row>
    <row r="271">
      <c r="A271" s="133"/>
      <c r="B271" s="134"/>
      <c r="C271" s="134"/>
      <c r="D271" s="133"/>
      <c r="J271" s="17"/>
    </row>
    <row r="272">
      <c r="A272" s="133"/>
      <c r="B272" s="134"/>
      <c r="C272" s="134"/>
      <c r="D272" s="133"/>
      <c r="J272" s="17"/>
    </row>
    <row r="273">
      <c r="A273" s="133"/>
      <c r="B273" s="134"/>
      <c r="C273" s="134"/>
      <c r="D273" s="133"/>
      <c r="J273" s="17"/>
    </row>
    <row r="274">
      <c r="A274" s="135"/>
      <c r="B274" s="134"/>
      <c r="C274" s="134"/>
      <c r="D274" s="135"/>
      <c r="J274" s="17"/>
    </row>
    <row r="275">
      <c r="A275" s="135"/>
      <c r="B275" s="134"/>
      <c r="C275" s="134"/>
      <c r="D275" s="135"/>
      <c r="J275" s="17"/>
    </row>
    <row r="276">
      <c r="A276" s="135"/>
      <c r="B276" s="134"/>
      <c r="C276" s="134"/>
      <c r="D276" s="135"/>
      <c r="J276" s="17"/>
    </row>
    <row r="277">
      <c r="A277" s="135"/>
      <c r="B277" s="134"/>
      <c r="C277" s="134"/>
      <c r="D277" s="135"/>
      <c r="J277" s="17"/>
    </row>
    <row r="278">
      <c r="A278" s="135"/>
      <c r="B278" s="134"/>
      <c r="C278" s="134"/>
      <c r="D278" s="135"/>
      <c r="J278" s="17"/>
    </row>
    <row r="279">
      <c r="A279" s="135"/>
      <c r="B279" s="134"/>
      <c r="C279" s="134"/>
      <c r="D279" s="135"/>
      <c r="J279" s="17"/>
    </row>
    <row r="280">
      <c r="A280" s="135"/>
      <c r="B280" s="134"/>
      <c r="C280" s="134"/>
      <c r="D280" s="135"/>
      <c r="J280" s="17"/>
    </row>
    <row r="281">
      <c r="A281" s="135"/>
      <c r="B281" s="134"/>
      <c r="C281" s="134"/>
      <c r="D281" s="135"/>
      <c r="J281" s="17"/>
    </row>
    <row r="282">
      <c r="A282" s="135"/>
      <c r="B282" s="134"/>
      <c r="C282" s="134"/>
      <c r="D282" s="135"/>
      <c r="J282" s="17"/>
    </row>
    <row r="283">
      <c r="A283" s="135"/>
      <c r="B283" s="134"/>
      <c r="C283" s="134"/>
      <c r="D283" s="135"/>
      <c r="J283" s="17"/>
    </row>
    <row r="284">
      <c r="A284" s="135"/>
      <c r="B284" s="134"/>
      <c r="C284" s="134"/>
      <c r="D284" s="135"/>
      <c r="J284" s="17"/>
    </row>
    <row r="285">
      <c r="A285" s="135"/>
      <c r="B285" s="134"/>
      <c r="C285" s="134"/>
      <c r="D285" s="135"/>
      <c r="J285" s="17"/>
    </row>
    <row r="286">
      <c r="A286" s="135"/>
      <c r="B286" s="134"/>
      <c r="C286" s="134"/>
      <c r="D286" s="135"/>
      <c r="J286" s="17"/>
    </row>
    <row r="287">
      <c r="A287" s="135"/>
      <c r="B287" s="134"/>
      <c r="C287" s="134"/>
      <c r="D287" s="135"/>
      <c r="J287" s="17"/>
    </row>
    <row r="288">
      <c r="A288" s="135"/>
      <c r="B288" s="134"/>
      <c r="C288" s="134"/>
      <c r="D288" s="135"/>
      <c r="J288" s="17"/>
    </row>
    <row r="289">
      <c r="A289" s="135"/>
      <c r="B289" s="134"/>
      <c r="C289" s="134"/>
      <c r="D289" s="135"/>
      <c r="J289" s="17"/>
    </row>
    <row r="290">
      <c r="A290" s="135"/>
      <c r="B290" s="134"/>
      <c r="C290" s="134"/>
      <c r="D290" s="135"/>
      <c r="J290" s="17"/>
    </row>
    <row r="291">
      <c r="A291" s="135"/>
      <c r="B291" s="134"/>
      <c r="C291" s="134"/>
      <c r="D291" s="135"/>
      <c r="J291" s="17"/>
    </row>
    <row r="292">
      <c r="A292" s="135"/>
      <c r="B292" s="134"/>
      <c r="C292" s="134"/>
      <c r="D292" s="135"/>
      <c r="J292" s="17"/>
    </row>
    <row r="293">
      <c r="A293" s="135"/>
      <c r="B293" s="134"/>
      <c r="C293" s="134"/>
      <c r="D293" s="135"/>
      <c r="J293" s="17"/>
    </row>
    <row r="294">
      <c r="A294" s="135"/>
      <c r="B294" s="134"/>
      <c r="C294" s="134"/>
      <c r="D294" s="135"/>
      <c r="J294" s="17"/>
    </row>
    <row r="295">
      <c r="A295" s="135"/>
      <c r="B295" s="134"/>
      <c r="C295" s="134"/>
      <c r="D295" s="135"/>
      <c r="J295" s="17"/>
    </row>
    <row r="296">
      <c r="A296" s="135"/>
      <c r="B296" s="134"/>
      <c r="C296" s="134"/>
      <c r="D296" s="135"/>
      <c r="J296" s="17"/>
    </row>
    <row r="297">
      <c r="A297" s="135"/>
      <c r="B297" s="134"/>
      <c r="C297" s="134"/>
      <c r="D297" s="135"/>
      <c r="J297" s="17"/>
    </row>
    <row r="298">
      <c r="A298" s="135"/>
      <c r="B298" s="134"/>
      <c r="C298" s="134"/>
      <c r="D298" s="135"/>
      <c r="J298" s="17"/>
    </row>
    <row r="299">
      <c r="A299" s="135"/>
      <c r="B299" s="134"/>
      <c r="C299" s="134"/>
      <c r="D299" s="135"/>
      <c r="J299" s="17"/>
    </row>
    <row r="300">
      <c r="A300" s="135"/>
      <c r="B300" s="134"/>
      <c r="C300" s="134"/>
      <c r="D300" s="135"/>
      <c r="J300" s="17"/>
    </row>
    <row r="301">
      <c r="A301" s="135"/>
      <c r="B301" s="134"/>
      <c r="C301" s="134"/>
      <c r="D301" s="135"/>
      <c r="J301" s="17"/>
    </row>
    <row r="302">
      <c r="A302" s="135"/>
      <c r="B302" s="134"/>
      <c r="C302" s="134"/>
      <c r="D302" s="135"/>
      <c r="J302" s="17"/>
    </row>
    <row r="303">
      <c r="A303" s="135"/>
      <c r="B303" s="134"/>
      <c r="C303" s="134"/>
      <c r="D303" s="135"/>
      <c r="J303" s="17"/>
    </row>
    <row r="304">
      <c r="A304" s="135"/>
      <c r="B304" s="134"/>
      <c r="C304" s="134"/>
      <c r="D304" s="135"/>
      <c r="J304" s="17"/>
    </row>
    <row r="305">
      <c r="A305" s="135"/>
      <c r="B305" s="134"/>
      <c r="C305" s="134"/>
      <c r="D305" s="135"/>
      <c r="J305" s="17"/>
    </row>
    <row r="306">
      <c r="A306" s="135"/>
      <c r="B306" s="134"/>
      <c r="C306" s="134"/>
      <c r="D306" s="135"/>
      <c r="J306" s="17"/>
    </row>
    <row r="307">
      <c r="A307" s="135"/>
      <c r="B307" s="134"/>
      <c r="C307" s="134"/>
      <c r="D307" s="135"/>
      <c r="J307" s="17"/>
    </row>
    <row r="308">
      <c r="A308" s="135"/>
      <c r="B308" s="134"/>
      <c r="C308" s="134"/>
      <c r="D308" s="135"/>
      <c r="J308" s="17"/>
    </row>
    <row r="309">
      <c r="A309" s="135"/>
      <c r="B309" s="134"/>
      <c r="C309" s="134"/>
      <c r="D309" s="135"/>
      <c r="J309" s="17"/>
    </row>
    <row r="310">
      <c r="A310" s="135"/>
      <c r="B310" s="134"/>
      <c r="C310" s="134"/>
      <c r="D310" s="135"/>
      <c r="J310" s="17"/>
    </row>
    <row r="311">
      <c r="A311" s="135"/>
      <c r="B311" s="134"/>
      <c r="C311" s="134"/>
      <c r="D311" s="135"/>
      <c r="J311" s="17"/>
    </row>
    <row r="312">
      <c r="A312" s="135"/>
      <c r="B312" s="134"/>
      <c r="C312" s="134"/>
      <c r="D312" s="135"/>
      <c r="J312" s="17"/>
    </row>
    <row r="313">
      <c r="A313" s="135"/>
      <c r="B313" s="134"/>
      <c r="C313" s="134"/>
      <c r="D313" s="135"/>
      <c r="J313" s="17"/>
    </row>
    <row r="314">
      <c r="A314" s="135"/>
      <c r="B314" s="134"/>
      <c r="C314" s="134"/>
      <c r="D314" s="135"/>
      <c r="J314" s="17"/>
    </row>
    <row r="315">
      <c r="A315" s="135"/>
      <c r="B315" s="134"/>
      <c r="C315" s="134"/>
      <c r="D315" s="135"/>
      <c r="J315" s="17"/>
    </row>
    <row r="316">
      <c r="J316" s="1"/>
    </row>
    <row r="317">
      <c r="J317" s="17"/>
    </row>
    <row r="318">
      <c r="J318" s="17"/>
    </row>
    <row r="319">
      <c r="J319" s="17"/>
    </row>
    <row r="320">
      <c r="J320" s="17"/>
    </row>
    <row r="321">
      <c r="J321" s="17"/>
    </row>
    <row r="322">
      <c r="J322" s="17"/>
    </row>
    <row r="323">
      <c r="J323" s="17"/>
    </row>
    <row r="324">
      <c r="J324" s="17"/>
    </row>
    <row r="325">
      <c r="J325" s="17"/>
    </row>
    <row r="326">
      <c r="A326" s="96"/>
      <c r="J326" s="17"/>
    </row>
    <row r="327">
      <c r="A327" s="96"/>
      <c r="D327" s="96"/>
      <c r="J327" s="17"/>
    </row>
    <row r="328">
      <c r="A328" s="96"/>
      <c r="D328" s="96"/>
      <c r="J328" s="17"/>
    </row>
    <row r="329">
      <c r="A329" s="96"/>
      <c r="D329" s="96"/>
      <c r="J329" s="17"/>
    </row>
    <row r="330">
      <c r="A330" s="96"/>
      <c r="D330" s="96"/>
      <c r="J330" s="17"/>
    </row>
    <row r="331">
      <c r="A331" s="96"/>
      <c r="D331" s="96"/>
      <c r="J331" s="17"/>
    </row>
    <row r="332">
      <c r="A332" s="133"/>
      <c r="B332" s="134"/>
      <c r="C332" s="134"/>
      <c r="D332" s="133"/>
      <c r="J332" s="17"/>
    </row>
    <row r="333">
      <c r="A333" s="133"/>
      <c r="B333" s="134"/>
      <c r="C333" s="134"/>
      <c r="D333" s="133"/>
      <c r="J333" s="17"/>
    </row>
    <row r="334">
      <c r="A334" s="133"/>
      <c r="B334" s="134"/>
      <c r="C334" s="134"/>
      <c r="D334" s="133"/>
      <c r="J334" s="17"/>
    </row>
    <row r="335">
      <c r="A335" s="133"/>
      <c r="B335" s="134"/>
      <c r="C335" s="134"/>
      <c r="D335" s="133"/>
      <c r="J335" s="17"/>
    </row>
    <row r="336">
      <c r="A336" s="133"/>
      <c r="B336" s="134"/>
      <c r="C336" s="134"/>
      <c r="D336" s="133"/>
      <c r="J336" s="17"/>
    </row>
    <row r="337">
      <c r="A337" s="135"/>
      <c r="B337" s="134"/>
      <c r="C337" s="134"/>
      <c r="D337" s="135"/>
      <c r="J337" s="17"/>
    </row>
    <row r="338">
      <c r="A338" s="135"/>
      <c r="B338" s="134"/>
      <c r="C338" s="134"/>
      <c r="D338" s="135"/>
      <c r="J338" s="17"/>
    </row>
    <row r="339">
      <c r="A339" s="135"/>
      <c r="B339" s="134"/>
      <c r="C339" s="134"/>
      <c r="D339" s="135"/>
      <c r="J339" s="17"/>
    </row>
    <row r="340">
      <c r="A340" s="135"/>
      <c r="B340" s="134"/>
      <c r="C340" s="134"/>
      <c r="D340" s="135"/>
      <c r="J340" s="17"/>
    </row>
    <row r="341">
      <c r="A341" s="135"/>
      <c r="B341" s="134"/>
      <c r="C341" s="134"/>
      <c r="D341" s="135"/>
      <c r="J341" s="17"/>
    </row>
    <row r="342">
      <c r="A342" s="135"/>
      <c r="B342" s="134"/>
      <c r="C342" s="134"/>
      <c r="D342" s="135"/>
      <c r="J342" s="17"/>
    </row>
    <row r="343">
      <c r="A343" s="135"/>
      <c r="B343" s="134"/>
      <c r="C343" s="134"/>
      <c r="D343" s="135"/>
      <c r="J343" s="17"/>
    </row>
    <row r="344">
      <c r="A344" s="135"/>
      <c r="B344" s="134"/>
      <c r="C344" s="134"/>
      <c r="D344" s="135"/>
      <c r="J344" s="17"/>
    </row>
    <row r="345">
      <c r="A345" s="135"/>
      <c r="B345" s="134"/>
      <c r="C345" s="134"/>
      <c r="D345" s="135"/>
      <c r="J345" s="17"/>
    </row>
    <row r="346">
      <c r="A346" s="135"/>
      <c r="B346" s="134"/>
      <c r="C346" s="134"/>
      <c r="D346" s="135"/>
      <c r="J346" s="17"/>
    </row>
    <row r="347">
      <c r="A347" s="135"/>
      <c r="B347" s="134"/>
      <c r="C347" s="134"/>
      <c r="D347" s="135"/>
      <c r="J347" s="17"/>
    </row>
    <row r="348">
      <c r="A348" s="135"/>
      <c r="B348" s="134"/>
      <c r="C348" s="134"/>
      <c r="D348" s="135"/>
      <c r="J348" s="17"/>
    </row>
    <row r="349">
      <c r="A349" s="135"/>
      <c r="B349" s="134"/>
      <c r="C349" s="134"/>
      <c r="D349" s="135"/>
      <c r="J349" s="17"/>
    </row>
    <row r="350">
      <c r="A350" s="135"/>
      <c r="B350" s="134"/>
      <c r="C350" s="134"/>
      <c r="D350" s="135"/>
      <c r="J350" s="17"/>
    </row>
    <row r="351">
      <c r="A351" s="135"/>
      <c r="B351" s="134"/>
      <c r="C351" s="134"/>
      <c r="D351" s="135"/>
      <c r="J351" s="17"/>
    </row>
    <row r="352">
      <c r="A352" s="135"/>
      <c r="B352" s="134"/>
      <c r="C352" s="134"/>
      <c r="D352" s="135"/>
      <c r="J352" s="17"/>
    </row>
    <row r="353">
      <c r="A353" s="135"/>
      <c r="B353" s="134"/>
      <c r="C353" s="134"/>
      <c r="D353" s="135"/>
      <c r="J353" s="17"/>
    </row>
    <row r="354">
      <c r="A354" s="135"/>
      <c r="B354" s="134"/>
      <c r="C354" s="134"/>
      <c r="D354" s="135"/>
      <c r="J354" s="17"/>
    </row>
    <row r="355">
      <c r="A355" s="135"/>
      <c r="B355" s="134"/>
      <c r="C355" s="134"/>
      <c r="D355" s="135"/>
      <c r="J355" s="17"/>
    </row>
    <row r="356">
      <c r="A356" s="135"/>
      <c r="B356" s="134"/>
      <c r="C356" s="134"/>
      <c r="D356" s="135"/>
      <c r="J356" s="17"/>
    </row>
    <row r="357">
      <c r="A357" s="135"/>
      <c r="B357" s="134"/>
      <c r="C357" s="134"/>
      <c r="D357" s="135"/>
      <c r="J357" s="17"/>
    </row>
    <row r="358">
      <c r="A358" s="135"/>
      <c r="B358" s="134"/>
      <c r="C358" s="134"/>
      <c r="D358" s="135"/>
      <c r="J358" s="17"/>
    </row>
    <row r="359">
      <c r="A359" s="135"/>
      <c r="B359" s="134"/>
      <c r="C359" s="134"/>
      <c r="D359" s="135"/>
      <c r="J359" s="17"/>
    </row>
    <row r="360">
      <c r="A360" s="135"/>
      <c r="B360" s="134"/>
      <c r="C360" s="134"/>
      <c r="D360" s="135"/>
      <c r="J360" s="17"/>
    </row>
    <row r="361">
      <c r="A361" s="135"/>
      <c r="B361" s="134"/>
      <c r="C361" s="134"/>
      <c r="D361" s="135"/>
      <c r="J361" s="17"/>
    </row>
    <row r="362">
      <c r="A362" s="135"/>
      <c r="B362" s="134"/>
      <c r="C362" s="134"/>
      <c r="D362" s="135"/>
      <c r="J362" s="17"/>
    </row>
    <row r="363">
      <c r="A363" s="135"/>
      <c r="B363" s="134"/>
      <c r="C363" s="134"/>
      <c r="D363" s="135"/>
      <c r="J363" s="17"/>
    </row>
    <row r="364">
      <c r="A364" s="135"/>
      <c r="B364" s="134"/>
      <c r="C364" s="134"/>
      <c r="D364" s="135"/>
      <c r="J364" s="17"/>
    </row>
    <row r="365">
      <c r="A365" s="135"/>
      <c r="B365" s="134"/>
      <c r="C365" s="134"/>
      <c r="D365" s="135"/>
      <c r="J365" s="17"/>
    </row>
    <row r="366">
      <c r="A366" s="135"/>
      <c r="B366" s="134"/>
      <c r="C366" s="134"/>
      <c r="D366" s="135"/>
      <c r="J366" s="17"/>
    </row>
    <row r="367">
      <c r="A367" s="135"/>
      <c r="B367" s="134"/>
      <c r="C367" s="134"/>
      <c r="D367" s="135"/>
      <c r="J367" s="17"/>
    </row>
    <row r="368">
      <c r="A368" s="135"/>
      <c r="B368" s="134"/>
      <c r="C368" s="134"/>
      <c r="D368" s="135"/>
      <c r="J368" s="17"/>
    </row>
    <row r="369">
      <c r="A369" s="135"/>
      <c r="B369" s="134"/>
      <c r="C369" s="134"/>
      <c r="D369" s="135"/>
      <c r="J369" s="17"/>
    </row>
    <row r="370">
      <c r="A370" s="135"/>
      <c r="B370" s="134"/>
      <c r="C370" s="134"/>
      <c r="D370" s="135"/>
      <c r="J370" s="17"/>
    </row>
    <row r="371">
      <c r="A371" s="135"/>
      <c r="B371" s="134"/>
      <c r="C371" s="134"/>
      <c r="D371" s="135"/>
      <c r="J371" s="17"/>
    </row>
    <row r="372">
      <c r="A372" s="135"/>
      <c r="B372" s="134"/>
      <c r="C372" s="134"/>
      <c r="D372" s="135"/>
      <c r="J372" s="17"/>
    </row>
    <row r="373">
      <c r="A373" s="135"/>
      <c r="B373" s="134"/>
      <c r="C373" s="134"/>
      <c r="D373" s="135"/>
      <c r="J373" s="17"/>
    </row>
    <row r="374">
      <c r="A374" s="135"/>
      <c r="B374" s="134"/>
      <c r="C374" s="134"/>
      <c r="D374" s="135"/>
      <c r="J374" s="17"/>
    </row>
    <row r="375">
      <c r="A375" s="135"/>
      <c r="B375" s="134"/>
      <c r="C375" s="134"/>
      <c r="D375" s="135"/>
      <c r="J375" s="17"/>
    </row>
    <row r="376">
      <c r="A376" s="135"/>
      <c r="B376" s="134"/>
      <c r="C376" s="134"/>
      <c r="D376" s="135"/>
      <c r="J376" s="17"/>
    </row>
    <row r="377">
      <c r="A377" s="135"/>
      <c r="B377" s="134"/>
      <c r="C377" s="134"/>
      <c r="D377" s="135"/>
      <c r="J377" s="17"/>
    </row>
    <row r="378">
      <c r="A378" s="135"/>
      <c r="B378" s="134"/>
      <c r="C378" s="134"/>
      <c r="D378" s="135"/>
      <c r="J378" s="17"/>
    </row>
    <row r="379">
      <c r="J379" s="1"/>
    </row>
    <row r="380">
      <c r="J380" s="17"/>
    </row>
    <row r="381">
      <c r="J381" s="17"/>
    </row>
    <row r="382">
      <c r="J382" s="17"/>
    </row>
    <row r="383">
      <c r="J383" s="17"/>
    </row>
    <row r="384">
      <c r="J384" s="17"/>
    </row>
    <row r="385">
      <c r="J385" s="17"/>
    </row>
    <row r="386">
      <c r="J386" s="17"/>
    </row>
    <row r="387">
      <c r="J387" s="17"/>
    </row>
    <row r="388">
      <c r="J388" s="17"/>
    </row>
    <row r="389">
      <c r="A389" s="96"/>
      <c r="J389" s="17"/>
    </row>
    <row r="390">
      <c r="A390" s="96"/>
      <c r="D390" s="96"/>
      <c r="J390" s="17"/>
    </row>
    <row r="391">
      <c r="A391" s="96"/>
      <c r="D391" s="96"/>
      <c r="J391" s="17"/>
    </row>
    <row r="392">
      <c r="A392" s="96"/>
      <c r="D392" s="96"/>
      <c r="J392" s="17"/>
    </row>
    <row r="393">
      <c r="A393" s="96"/>
      <c r="D393" s="96"/>
      <c r="J393" s="17"/>
    </row>
    <row r="394">
      <c r="A394" s="96"/>
      <c r="D394" s="96"/>
      <c r="J394" s="17"/>
    </row>
    <row r="395">
      <c r="A395" s="133"/>
      <c r="B395" s="134"/>
      <c r="C395" s="134"/>
      <c r="D395" s="133"/>
      <c r="J395" s="17"/>
    </row>
    <row r="396">
      <c r="A396" s="133"/>
      <c r="B396" s="134"/>
      <c r="C396" s="134"/>
      <c r="D396" s="133"/>
      <c r="J396" s="17"/>
    </row>
    <row r="397">
      <c r="A397" s="133"/>
      <c r="B397" s="134"/>
      <c r="C397" s="134"/>
      <c r="D397" s="133"/>
      <c r="J397" s="17"/>
    </row>
    <row r="398">
      <c r="A398" s="133"/>
      <c r="B398" s="134"/>
      <c r="C398" s="134"/>
      <c r="D398" s="133"/>
      <c r="J398" s="17"/>
    </row>
    <row r="399">
      <c r="A399" s="133"/>
      <c r="B399" s="134"/>
      <c r="C399" s="134"/>
      <c r="D399" s="133"/>
      <c r="J399" s="17"/>
    </row>
    <row r="400">
      <c r="A400" s="135"/>
      <c r="B400" s="134"/>
      <c r="C400" s="134"/>
      <c r="D400" s="135"/>
      <c r="J400" s="17"/>
    </row>
    <row r="401">
      <c r="A401" s="135"/>
      <c r="B401" s="134"/>
      <c r="C401" s="134"/>
      <c r="D401" s="135"/>
      <c r="J401" s="17"/>
    </row>
    <row r="402">
      <c r="A402" s="135"/>
      <c r="B402" s="134"/>
      <c r="C402" s="134"/>
      <c r="D402" s="135"/>
      <c r="J402" s="17"/>
    </row>
    <row r="403">
      <c r="A403" s="135"/>
      <c r="B403" s="134"/>
      <c r="C403" s="134"/>
      <c r="D403" s="135"/>
      <c r="J403" s="17"/>
    </row>
    <row r="404">
      <c r="A404" s="135"/>
      <c r="B404" s="134"/>
      <c r="C404" s="134"/>
      <c r="D404" s="135"/>
      <c r="J404" s="17"/>
    </row>
    <row r="405">
      <c r="A405" s="135"/>
      <c r="B405" s="134"/>
      <c r="C405" s="134"/>
      <c r="D405" s="135"/>
      <c r="J405" s="17"/>
    </row>
    <row r="406">
      <c r="A406" s="135"/>
      <c r="B406" s="134"/>
      <c r="C406" s="134"/>
      <c r="D406" s="135"/>
      <c r="J406" s="17"/>
    </row>
    <row r="407">
      <c r="A407" s="135"/>
      <c r="B407" s="134"/>
      <c r="C407" s="134"/>
      <c r="D407" s="135"/>
      <c r="J407" s="17"/>
    </row>
    <row r="408">
      <c r="A408" s="135"/>
      <c r="B408" s="134"/>
      <c r="C408" s="134"/>
      <c r="D408" s="135"/>
      <c r="J408" s="17"/>
    </row>
    <row r="409">
      <c r="A409" s="135"/>
      <c r="B409" s="134"/>
      <c r="C409" s="134"/>
      <c r="D409" s="135"/>
      <c r="J409" s="17"/>
    </row>
    <row r="410">
      <c r="A410" s="135"/>
      <c r="B410" s="134"/>
      <c r="C410" s="134"/>
      <c r="D410" s="135"/>
      <c r="J410" s="17"/>
    </row>
    <row r="411">
      <c r="A411" s="135"/>
      <c r="B411" s="134"/>
      <c r="C411" s="134"/>
      <c r="D411" s="135"/>
      <c r="J411" s="17"/>
    </row>
    <row r="412">
      <c r="A412" s="135"/>
      <c r="B412" s="134"/>
      <c r="C412" s="134"/>
      <c r="D412" s="135"/>
      <c r="J412" s="17"/>
    </row>
    <row r="413">
      <c r="A413" s="135"/>
      <c r="B413" s="134"/>
      <c r="C413" s="134"/>
      <c r="D413" s="135"/>
      <c r="J413" s="17"/>
    </row>
    <row r="414">
      <c r="A414" s="135"/>
      <c r="B414" s="134"/>
      <c r="C414" s="134"/>
      <c r="D414" s="135"/>
      <c r="J414" s="17"/>
    </row>
    <row r="415">
      <c r="A415" s="135"/>
      <c r="B415" s="134"/>
      <c r="C415" s="134"/>
      <c r="D415" s="135"/>
      <c r="J415" s="17"/>
    </row>
    <row r="416">
      <c r="A416" s="135"/>
      <c r="B416" s="134"/>
      <c r="C416" s="134"/>
      <c r="D416" s="135"/>
      <c r="J416" s="17"/>
    </row>
    <row r="417">
      <c r="A417" s="135"/>
      <c r="B417" s="134"/>
      <c r="C417" s="134"/>
      <c r="D417" s="135"/>
      <c r="J417" s="17"/>
    </row>
    <row r="418">
      <c r="A418" s="135"/>
      <c r="B418" s="134"/>
      <c r="C418" s="134"/>
      <c r="D418" s="135"/>
      <c r="J418" s="17"/>
    </row>
    <row r="419">
      <c r="A419" s="135"/>
      <c r="B419" s="134"/>
      <c r="C419" s="134"/>
      <c r="D419" s="135"/>
      <c r="J419" s="17"/>
    </row>
    <row r="420">
      <c r="A420" s="135"/>
      <c r="B420" s="134"/>
      <c r="C420" s="134"/>
      <c r="D420" s="135"/>
      <c r="J420" s="17"/>
    </row>
    <row r="421">
      <c r="A421" s="135"/>
      <c r="B421" s="134"/>
      <c r="C421" s="134"/>
      <c r="D421" s="135"/>
      <c r="J421" s="17"/>
    </row>
    <row r="422">
      <c r="A422" s="135"/>
      <c r="B422" s="134"/>
      <c r="C422" s="134"/>
      <c r="D422" s="135"/>
      <c r="J422" s="17"/>
    </row>
    <row r="423">
      <c r="A423" s="135"/>
      <c r="B423" s="134"/>
      <c r="C423" s="134"/>
      <c r="D423" s="135"/>
      <c r="J423" s="17"/>
    </row>
    <row r="424">
      <c r="A424" s="135"/>
      <c r="B424" s="134"/>
      <c r="C424" s="134"/>
      <c r="D424" s="135"/>
      <c r="J424" s="17"/>
    </row>
    <row r="425">
      <c r="A425" s="135"/>
      <c r="B425" s="134"/>
      <c r="C425" s="134"/>
      <c r="D425" s="135"/>
      <c r="J425" s="17"/>
    </row>
    <row r="426">
      <c r="A426" s="135"/>
      <c r="B426" s="134"/>
      <c r="C426" s="134"/>
      <c r="D426" s="135"/>
      <c r="J426" s="17"/>
    </row>
    <row r="427">
      <c r="A427" s="135"/>
      <c r="B427" s="134"/>
      <c r="C427" s="134"/>
      <c r="D427" s="135"/>
      <c r="J427" s="17"/>
    </row>
    <row r="428">
      <c r="A428" s="135"/>
      <c r="B428" s="134"/>
      <c r="C428" s="134"/>
      <c r="D428" s="135"/>
      <c r="J428" s="17"/>
    </row>
    <row r="429">
      <c r="A429" s="135"/>
      <c r="B429" s="134"/>
      <c r="C429" s="134"/>
      <c r="D429" s="135"/>
      <c r="J429" s="17"/>
    </row>
    <row r="430">
      <c r="A430" s="135"/>
      <c r="B430" s="134"/>
      <c r="C430" s="134"/>
      <c r="D430" s="135"/>
      <c r="J430" s="17"/>
    </row>
    <row r="431">
      <c r="A431" s="135"/>
      <c r="B431" s="134"/>
      <c r="C431" s="134"/>
      <c r="D431" s="135"/>
      <c r="J431" s="17"/>
    </row>
    <row r="432">
      <c r="A432" s="135"/>
      <c r="B432" s="134"/>
      <c r="C432" s="134"/>
      <c r="D432" s="135"/>
      <c r="J432" s="17"/>
    </row>
    <row r="433">
      <c r="A433" s="135"/>
      <c r="B433" s="134"/>
      <c r="C433" s="134"/>
      <c r="D433" s="135"/>
      <c r="J433" s="17"/>
    </row>
    <row r="434">
      <c r="A434" s="135"/>
      <c r="B434" s="134"/>
      <c r="C434" s="134"/>
      <c r="D434" s="135"/>
      <c r="J434" s="17"/>
    </row>
    <row r="435">
      <c r="A435" s="135"/>
      <c r="B435" s="134"/>
      <c r="C435" s="134"/>
      <c r="D435" s="135"/>
      <c r="J435" s="17"/>
    </row>
    <row r="436">
      <c r="A436" s="135"/>
      <c r="B436" s="134"/>
      <c r="C436" s="134"/>
      <c r="D436" s="135"/>
      <c r="J436" s="17"/>
    </row>
    <row r="437">
      <c r="A437" s="135"/>
      <c r="B437" s="134"/>
      <c r="C437" s="134"/>
      <c r="D437" s="135"/>
      <c r="J437" s="17"/>
    </row>
    <row r="438">
      <c r="A438" s="135"/>
      <c r="B438" s="134"/>
      <c r="C438" s="134"/>
      <c r="D438" s="135"/>
      <c r="J438" s="17"/>
    </row>
    <row r="439">
      <c r="A439" s="135"/>
      <c r="B439" s="134"/>
      <c r="C439" s="134"/>
      <c r="D439" s="135"/>
      <c r="J439" s="17"/>
    </row>
    <row r="440">
      <c r="A440" s="135"/>
      <c r="B440" s="134"/>
      <c r="C440" s="134"/>
      <c r="D440" s="135"/>
      <c r="J440" s="17"/>
    </row>
    <row r="441">
      <c r="A441" s="135"/>
      <c r="B441" s="134"/>
      <c r="C441" s="134"/>
      <c r="D441" s="135"/>
      <c r="J441" s="17"/>
    </row>
    <row r="442">
      <c r="J442" s="1"/>
    </row>
    <row r="443">
      <c r="J443" s="17"/>
    </row>
    <row r="444">
      <c r="J444" s="17"/>
    </row>
    <row r="445">
      <c r="J445" s="17"/>
    </row>
    <row r="446">
      <c r="J446" s="17"/>
    </row>
    <row r="447">
      <c r="J447" s="17"/>
    </row>
    <row r="448">
      <c r="J448" s="17"/>
    </row>
    <row r="449">
      <c r="J449" s="17"/>
    </row>
    <row r="450">
      <c r="J450" s="17"/>
    </row>
    <row r="451">
      <c r="J451" s="17"/>
    </row>
    <row r="452">
      <c r="A452" s="96"/>
      <c r="J452" s="17"/>
    </row>
    <row r="453">
      <c r="A453" s="96"/>
      <c r="D453" s="96"/>
      <c r="J453" s="17"/>
    </row>
    <row r="454">
      <c r="A454" s="96"/>
      <c r="D454" s="96"/>
      <c r="J454" s="17"/>
    </row>
    <row r="455">
      <c r="A455" s="96"/>
      <c r="D455" s="96"/>
      <c r="J455" s="17"/>
    </row>
    <row r="456">
      <c r="A456" s="96"/>
      <c r="D456" s="96"/>
      <c r="J456" s="17"/>
    </row>
    <row r="457">
      <c r="A457" s="96"/>
      <c r="D457" s="96"/>
      <c r="J457" s="17"/>
    </row>
    <row r="458">
      <c r="A458" s="133"/>
      <c r="B458" s="134"/>
      <c r="C458" s="134"/>
      <c r="D458" s="133"/>
      <c r="J458" s="17"/>
    </row>
    <row r="459">
      <c r="A459" s="133"/>
      <c r="B459" s="134"/>
      <c r="C459" s="134"/>
      <c r="D459" s="133"/>
      <c r="J459" s="17"/>
    </row>
    <row r="460">
      <c r="A460" s="133"/>
      <c r="B460" s="134"/>
      <c r="C460" s="134"/>
      <c r="D460" s="133"/>
      <c r="J460" s="17"/>
    </row>
    <row r="461">
      <c r="A461" s="133"/>
      <c r="B461" s="134"/>
      <c r="C461" s="134"/>
      <c r="D461" s="133"/>
      <c r="J461" s="17"/>
    </row>
    <row r="462">
      <c r="A462" s="133"/>
      <c r="B462" s="134"/>
      <c r="C462" s="134"/>
      <c r="D462" s="133"/>
      <c r="J462" s="17"/>
    </row>
    <row r="463">
      <c r="A463" s="135"/>
      <c r="B463" s="134"/>
      <c r="C463" s="134"/>
      <c r="D463" s="135"/>
      <c r="J463" s="17"/>
    </row>
    <row r="464">
      <c r="A464" s="135"/>
      <c r="B464" s="134"/>
      <c r="C464" s="134"/>
      <c r="D464" s="135"/>
      <c r="J464" s="17"/>
    </row>
    <row r="465">
      <c r="A465" s="135"/>
      <c r="B465" s="134"/>
      <c r="C465" s="134"/>
      <c r="D465" s="135"/>
      <c r="J465" s="17"/>
    </row>
    <row r="466">
      <c r="A466" s="135"/>
      <c r="B466" s="134"/>
      <c r="C466" s="134"/>
      <c r="D466" s="135"/>
      <c r="J466" s="17"/>
    </row>
    <row r="467">
      <c r="A467" s="135"/>
      <c r="B467" s="134"/>
      <c r="C467" s="134"/>
      <c r="D467" s="135"/>
      <c r="J467" s="17"/>
    </row>
    <row r="468">
      <c r="A468" s="135"/>
      <c r="B468" s="134"/>
      <c r="C468" s="134"/>
      <c r="D468" s="135"/>
      <c r="J468" s="17"/>
    </row>
    <row r="469">
      <c r="A469" s="135"/>
      <c r="B469" s="134"/>
      <c r="C469" s="134"/>
      <c r="D469" s="135"/>
      <c r="J469" s="17"/>
    </row>
    <row r="470">
      <c r="A470" s="135"/>
      <c r="B470" s="134"/>
      <c r="C470" s="134"/>
      <c r="D470" s="135"/>
      <c r="J470" s="17"/>
    </row>
    <row r="471">
      <c r="A471" s="135"/>
      <c r="B471" s="134"/>
      <c r="C471" s="134"/>
      <c r="D471" s="135"/>
      <c r="J471" s="17"/>
    </row>
    <row r="472">
      <c r="A472" s="135"/>
      <c r="B472" s="134"/>
      <c r="C472" s="134"/>
      <c r="D472" s="135"/>
      <c r="J472" s="17"/>
    </row>
    <row r="473">
      <c r="A473" s="135"/>
      <c r="B473" s="134"/>
      <c r="C473" s="134"/>
      <c r="D473" s="135"/>
      <c r="J473" s="17"/>
    </row>
    <row r="474">
      <c r="A474" s="135"/>
      <c r="B474" s="134"/>
      <c r="C474" s="134"/>
      <c r="D474" s="135"/>
      <c r="J474" s="17"/>
    </row>
    <row r="475">
      <c r="A475" s="135"/>
      <c r="B475" s="134"/>
      <c r="C475" s="134"/>
      <c r="D475" s="135"/>
      <c r="J475" s="17"/>
    </row>
    <row r="476">
      <c r="A476" s="135"/>
      <c r="B476" s="134"/>
      <c r="C476" s="134"/>
      <c r="D476" s="135"/>
      <c r="J476" s="17"/>
    </row>
    <row r="477">
      <c r="A477" s="135"/>
      <c r="B477" s="134"/>
      <c r="C477" s="134"/>
      <c r="D477" s="135"/>
      <c r="J477" s="17"/>
    </row>
    <row r="478">
      <c r="A478" s="135"/>
      <c r="B478" s="134"/>
      <c r="C478" s="134"/>
      <c r="D478" s="135"/>
      <c r="J478" s="17"/>
    </row>
    <row r="479">
      <c r="A479" s="135"/>
      <c r="B479" s="134"/>
      <c r="C479" s="134"/>
      <c r="D479" s="135"/>
      <c r="J479" s="17"/>
    </row>
    <row r="480">
      <c r="A480" s="135"/>
      <c r="B480" s="134"/>
      <c r="C480" s="134"/>
      <c r="D480" s="135"/>
      <c r="J480" s="17"/>
    </row>
    <row r="481">
      <c r="A481" s="135"/>
      <c r="B481" s="134"/>
      <c r="C481" s="134"/>
      <c r="D481" s="135"/>
      <c r="J481" s="17"/>
    </row>
    <row r="482">
      <c r="A482" s="135"/>
      <c r="B482" s="134"/>
      <c r="C482" s="134"/>
      <c r="D482" s="135"/>
      <c r="J482" s="17"/>
    </row>
    <row r="483">
      <c r="A483" s="135"/>
      <c r="B483" s="134"/>
      <c r="C483" s="134"/>
      <c r="D483" s="135"/>
      <c r="J483" s="17"/>
    </row>
    <row r="484">
      <c r="A484" s="135"/>
      <c r="B484" s="134"/>
      <c r="C484" s="134"/>
      <c r="D484" s="135"/>
      <c r="J484" s="17"/>
    </row>
    <row r="485">
      <c r="A485" s="135"/>
      <c r="B485" s="134"/>
      <c r="C485" s="134"/>
      <c r="D485" s="135"/>
      <c r="J485" s="17"/>
    </row>
    <row r="486">
      <c r="A486" s="135"/>
      <c r="B486" s="134"/>
      <c r="C486" s="134"/>
      <c r="D486" s="135"/>
      <c r="J486" s="17"/>
    </row>
    <row r="487">
      <c r="A487" s="135"/>
      <c r="B487" s="134"/>
      <c r="C487" s="134"/>
      <c r="D487" s="135"/>
      <c r="J487" s="17"/>
    </row>
    <row r="488">
      <c r="A488" s="135"/>
      <c r="B488" s="134"/>
      <c r="C488" s="134"/>
      <c r="D488" s="135"/>
      <c r="J488" s="17"/>
    </row>
    <row r="489">
      <c r="A489" s="135"/>
      <c r="B489" s="134"/>
      <c r="C489" s="134"/>
      <c r="D489" s="135"/>
      <c r="J489" s="17"/>
    </row>
    <row r="490">
      <c r="A490" s="135"/>
      <c r="B490" s="134"/>
      <c r="C490" s="134"/>
      <c r="D490" s="135"/>
      <c r="J490" s="17"/>
    </row>
    <row r="491">
      <c r="A491" s="135"/>
      <c r="B491" s="134"/>
      <c r="C491" s="134"/>
      <c r="D491" s="135"/>
      <c r="J491" s="17"/>
    </row>
    <row r="492">
      <c r="A492" s="135"/>
      <c r="B492" s="134"/>
      <c r="C492" s="134"/>
      <c r="D492" s="135"/>
      <c r="J492" s="17"/>
    </row>
    <row r="493">
      <c r="A493" s="135"/>
      <c r="B493" s="134"/>
      <c r="C493" s="134"/>
      <c r="D493" s="135"/>
      <c r="J493" s="17"/>
    </row>
    <row r="494">
      <c r="A494" s="135"/>
      <c r="B494" s="134"/>
      <c r="C494" s="134"/>
      <c r="D494" s="135"/>
      <c r="J494" s="17"/>
    </row>
    <row r="495">
      <c r="A495" s="135"/>
      <c r="B495" s="134"/>
      <c r="C495" s="134"/>
      <c r="D495" s="135"/>
      <c r="J495" s="17"/>
    </row>
    <row r="496">
      <c r="A496" s="135"/>
      <c r="B496" s="134"/>
      <c r="C496" s="134"/>
      <c r="D496" s="135"/>
      <c r="J496" s="17"/>
    </row>
    <row r="497">
      <c r="A497" s="135"/>
      <c r="B497" s="134"/>
      <c r="C497" s="134"/>
      <c r="D497" s="135"/>
      <c r="J497" s="17"/>
    </row>
    <row r="498">
      <c r="A498" s="135"/>
      <c r="B498" s="134"/>
      <c r="C498" s="134"/>
      <c r="D498" s="135"/>
      <c r="J498" s="17"/>
    </row>
    <row r="499">
      <c r="A499" s="135"/>
      <c r="B499" s="134"/>
      <c r="C499" s="134"/>
      <c r="D499" s="135"/>
      <c r="J499" s="17"/>
    </row>
    <row r="500">
      <c r="A500" s="135"/>
      <c r="B500" s="134"/>
      <c r="C500" s="134"/>
      <c r="D500" s="135"/>
      <c r="J500" s="17"/>
    </row>
    <row r="501">
      <c r="A501" s="135"/>
      <c r="B501" s="134"/>
      <c r="C501" s="134"/>
      <c r="D501" s="135"/>
      <c r="J501" s="17"/>
    </row>
    <row r="502">
      <c r="A502" s="135"/>
      <c r="B502" s="134"/>
      <c r="C502" s="134"/>
      <c r="D502" s="135"/>
      <c r="J502" s="17"/>
    </row>
    <row r="503">
      <c r="A503" s="135"/>
      <c r="B503" s="134"/>
      <c r="C503" s="134"/>
      <c r="D503" s="135"/>
      <c r="J503" s="17"/>
    </row>
    <row r="504">
      <c r="A504" s="135"/>
      <c r="B504" s="134"/>
      <c r="C504" s="134"/>
      <c r="D504" s="135"/>
      <c r="J504" s="17"/>
    </row>
    <row r="505">
      <c r="J505" s="1"/>
    </row>
    <row r="506">
      <c r="J506" s="17"/>
    </row>
    <row r="507">
      <c r="J507" s="17"/>
    </row>
    <row r="508">
      <c r="J508" s="17"/>
    </row>
    <row r="509">
      <c r="J509" s="17"/>
    </row>
    <row r="510">
      <c r="J510" s="17"/>
    </row>
    <row r="511">
      <c r="J511" s="17"/>
    </row>
    <row r="512">
      <c r="J512" s="17"/>
    </row>
    <row r="513">
      <c r="J513" s="17"/>
    </row>
    <row r="514">
      <c r="J514" s="17"/>
    </row>
    <row r="515">
      <c r="A515" s="96"/>
      <c r="J515" s="17"/>
    </row>
    <row r="516">
      <c r="A516" s="96"/>
      <c r="D516" s="96"/>
      <c r="J516" s="17"/>
    </row>
    <row r="517">
      <c r="A517" s="96"/>
      <c r="D517" s="96"/>
      <c r="J517" s="17"/>
    </row>
    <row r="518">
      <c r="A518" s="96"/>
      <c r="D518" s="96"/>
      <c r="J518" s="17"/>
    </row>
    <row r="519">
      <c r="A519" s="96"/>
      <c r="D519" s="96"/>
      <c r="J519" s="17"/>
    </row>
    <row r="520">
      <c r="A520" s="96"/>
      <c r="D520" s="96"/>
      <c r="J520" s="17"/>
    </row>
    <row r="521">
      <c r="A521" s="133"/>
      <c r="B521" s="134"/>
      <c r="C521" s="134"/>
      <c r="D521" s="133"/>
      <c r="J521" s="17"/>
    </row>
    <row r="522">
      <c r="A522" s="133"/>
      <c r="B522" s="134"/>
      <c r="C522" s="134"/>
      <c r="D522" s="133"/>
      <c r="J522" s="17"/>
    </row>
    <row r="523">
      <c r="A523" s="133"/>
      <c r="B523" s="134"/>
      <c r="C523" s="134"/>
      <c r="D523" s="133"/>
      <c r="J523" s="17"/>
    </row>
    <row r="524">
      <c r="A524" s="133"/>
      <c r="B524" s="134"/>
      <c r="C524" s="134"/>
      <c r="D524" s="133"/>
      <c r="J524" s="17"/>
    </row>
    <row r="525">
      <c r="A525" s="133"/>
      <c r="B525" s="134"/>
      <c r="C525" s="134"/>
      <c r="D525" s="133"/>
      <c r="J525" s="17"/>
    </row>
    <row r="526">
      <c r="A526" s="135"/>
      <c r="B526" s="134"/>
      <c r="C526" s="134"/>
      <c r="D526" s="135"/>
      <c r="J526" s="17"/>
    </row>
    <row r="527">
      <c r="A527" s="135"/>
      <c r="B527" s="134"/>
      <c r="C527" s="134"/>
      <c r="D527" s="135"/>
      <c r="J527" s="17"/>
    </row>
    <row r="528">
      <c r="A528" s="135"/>
      <c r="B528" s="134"/>
      <c r="C528" s="134"/>
      <c r="D528" s="135"/>
      <c r="J528" s="17"/>
    </row>
    <row r="529">
      <c r="A529" s="135"/>
      <c r="B529" s="134"/>
      <c r="C529" s="134"/>
      <c r="D529" s="135"/>
      <c r="J529" s="17"/>
    </row>
    <row r="530">
      <c r="A530" s="135"/>
      <c r="B530" s="134"/>
      <c r="C530" s="134"/>
      <c r="D530" s="135"/>
      <c r="J530" s="17"/>
    </row>
    <row r="531">
      <c r="A531" s="135"/>
      <c r="B531" s="134"/>
      <c r="C531" s="134"/>
      <c r="D531" s="135"/>
      <c r="J531" s="17"/>
    </row>
    <row r="532">
      <c r="A532" s="135"/>
      <c r="B532" s="134"/>
      <c r="C532" s="134"/>
      <c r="D532" s="135"/>
      <c r="J532" s="17"/>
    </row>
    <row r="533">
      <c r="A533" s="135"/>
      <c r="B533" s="134"/>
      <c r="C533" s="134"/>
      <c r="D533" s="135"/>
      <c r="J533" s="17"/>
    </row>
    <row r="534">
      <c r="A534" s="135"/>
      <c r="B534" s="134"/>
      <c r="C534" s="134"/>
      <c r="D534" s="135"/>
      <c r="J534" s="17"/>
    </row>
    <row r="535">
      <c r="A535" s="135"/>
      <c r="B535" s="134"/>
      <c r="C535" s="134"/>
      <c r="D535" s="135"/>
      <c r="J535" s="17"/>
    </row>
    <row r="536">
      <c r="A536" s="135"/>
      <c r="B536" s="134"/>
      <c r="C536" s="134"/>
      <c r="D536" s="135"/>
      <c r="J536" s="17"/>
    </row>
    <row r="537">
      <c r="A537" s="135"/>
      <c r="B537" s="134"/>
      <c r="C537" s="134"/>
      <c r="D537" s="135"/>
      <c r="J537" s="17"/>
    </row>
    <row r="538">
      <c r="A538" s="135"/>
      <c r="B538" s="134"/>
      <c r="C538" s="134"/>
      <c r="D538" s="135"/>
      <c r="J538" s="17"/>
    </row>
    <row r="539">
      <c r="A539" s="135"/>
      <c r="B539" s="134"/>
      <c r="C539" s="134"/>
      <c r="D539" s="135"/>
      <c r="J539" s="17"/>
    </row>
    <row r="540">
      <c r="A540" s="135"/>
      <c r="B540" s="134"/>
      <c r="C540" s="134"/>
      <c r="D540" s="135"/>
      <c r="J540" s="17"/>
    </row>
    <row r="541">
      <c r="A541" s="135"/>
      <c r="B541" s="134"/>
      <c r="C541" s="134"/>
      <c r="D541" s="135"/>
      <c r="J541" s="17"/>
    </row>
    <row r="542">
      <c r="A542" s="135"/>
      <c r="B542" s="134"/>
      <c r="C542" s="134"/>
      <c r="D542" s="135"/>
      <c r="J542" s="17"/>
    </row>
    <row r="543">
      <c r="A543" s="135"/>
      <c r="B543" s="134"/>
      <c r="C543" s="134"/>
      <c r="D543" s="135"/>
      <c r="J543" s="17"/>
    </row>
    <row r="544">
      <c r="A544" s="135"/>
      <c r="B544" s="134"/>
      <c r="C544" s="134"/>
      <c r="D544" s="135"/>
      <c r="J544" s="17"/>
    </row>
    <row r="545">
      <c r="A545" s="135"/>
      <c r="B545" s="134"/>
      <c r="C545" s="134"/>
      <c r="D545" s="135"/>
      <c r="J545" s="17"/>
    </row>
    <row r="546">
      <c r="A546" s="135"/>
      <c r="B546" s="134"/>
      <c r="C546" s="134"/>
      <c r="D546" s="135"/>
      <c r="J546" s="17"/>
    </row>
    <row r="547">
      <c r="A547" s="135"/>
      <c r="B547" s="134"/>
      <c r="C547" s="134"/>
      <c r="D547" s="135"/>
      <c r="J547" s="17"/>
    </row>
    <row r="548">
      <c r="A548" s="135"/>
      <c r="B548" s="134"/>
      <c r="C548" s="134"/>
      <c r="D548" s="135"/>
      <c r="J548" s="17"/>
    </row>
    <row r="549">
      <c r="A549" s="135"/>
      <c r="B549" s="134"/>
      <c r="C549" s="134"/>
      <c r="D549" s="135"/>
      <c r="J549" s="17"/>
    </row>
    <row r="550">
      <c r="A550" s="135"/>
      <c r="B550" s="134"/>
      <c r="C550" s="134"/>
      <c r="D550" s="135"/>
      <c r="J550" s="17"/>
    </row>
    <row r="551">
      <c r="A551" s="135"/>
      <c r="B551" s="134"/>
      <c r="C551" s="134"/>
      <c r="D551" s="135"/>
      <c r="J551" s="17"/>
    </row>
    <row r="552">
      <c r="A552" s="135"/>
      <c r="B552" s="134"/>
      <c r="C552" s="134"/>
      <c r="D552" s="135"/>
      <c r="J552" s="17"/>
    </row>
    <row r="553">
      <c r="A553" s="135"/>
      <c r="B553" s="134"/>
      <c r="C553" s="134"/>
      <c r="D553" s="135"/>
      <c r="J553" s="17"/>
    </row>
    <row r="554">
      <c r="A554" s="135"/>
      <c r="B554" s="134"/>
      <c r="C554" s="134"/>
      <c r="D554" s="135"/>
      <c r="J554" s="17"/>
    </row>
    <row r="555">
      <c r="A555" s="135"/>
      <c r="B555" s="134"/>
      <c r="C555" s="134"/>
      <c r="D555" s="135"/>
      <c r="J555" s="17"/>
    </row>
    <row r="556">
      <c r="A556" s="135"/>
      <c r="B556" s="134"/>
      <c r="C556" s="134"/>
      <c r="D556" s="135"/>
      <c r="J556" s="17"/>
    </row>
    <row r="557">
      <c r="A557" s="135"/>
      <c r="B557" s="134"/>
      <c r="C557" s="134"/>
      <c r="D557" s="135"/>
      <c r="J557" s="17"/>
    </row>
    <row r="558">
      <c r="A558" s="135"/>
      <c r="B558" s="134"/>
      <c r="C558" s="134"/>
      <c r="D558" s="135"/>
      <c r="J558" s="17"/>
    </row>
    <row r="559">
      <c r="A559" s="135"/>
      <c r="B559" s="134"/>
      <c r="C559" s="134"/>
      <c r="D559" s="135"/>
      <c r="J559" s="17"/>
    </row>
    <row r="560">
      <c r="A560" s="135"/>
      <c r="B560" s="134"/>
      <c r="C560" s="134"/>
      <c r="D560" s="135"/>
      <c r="J560" s="17"/>
    </row>
    <row r="561">
      <c r="A561" s="135"/>
      <c r="B561" s="134"/>
      <c r="C561" s="134"/>
      <c r="D561" s="135"/>
      <c r="J561" s="17"/>
    </row>
    <row r="562">
      <c r="A562" s="135"/>
      <c r="B562" s="134"/>
      <c r="C562" s="134"/>
      <c r="D562" s="135"/>
      <c r="J562" s="17"/>
    </row>
    <row r="563">
      <c r="A563" s="135"/>
      <c r="B563" s="134"/>
      <c r="C563" s="134"/>
      <c r="D563" s="135"/>
      <c r="J563" s="17"/>
    </row>
    <row r="564">
      <c r="A564" s="135"/>
      <c r="B564" s="134"/>
      <c r="C564" s="134"/>
      <c r="D564" s="135"/>
      <c r="J564" s="17"/>
    </row>
    <row r="565">
      <c r="A565" s="135"/>
      <c r="B565" s="134"/>
      <c r="C565" s="134"/>
      <c r="D565" s="135"/>
      <c r="J565" s="17"/>
    </row>
    <row r="566">
      <c r="A566" s="135"/>
      <c r="B566" s="134"/>
      <c r="C566" s="134"/>
      <c r="D566" s="135"/>
      <c r="J566" s="17"/>
    </row>
    <row r="567">
      <c r="A567" s="135"/>
      <c r="B567" s="134"/>
      <c r="C567" s="134"/>
      <c r="D567" s="135"/>
      <c r="J567" s="17"/>
    </row>
    <row r="568">
      <c r="J568" s="1"/>
    </row>
    <row r="569">
      <c r="J569" s="17"/>
    </row>
    <row r="570">
      <c r="J570" s="17"/>
    </row>
    <row r="571">
      <c r="J571" s="17"/>
    </row>
    <row r="572">
      <c r="J572" s="17"/>
    </row>
    <row r="573">
      <c r="J573" s="17"/>
    </row>
    <row r="574">
      <c r="J574" s="17"/>
    </row>
    <row r="575">
      <c r="J575" s="17"/>
    </row>
    <row r="576">
      <c r="J576" s="17"/>
    </row>
    <row r="577">
      <c r="J577" s="17"/>
    </row>
    <row r="578">
      <c r="A578" s="96"/>
      <c r="J578" s="17"/>
    </row>
    <row r="579">
      <c r="A579" s="96"/>
      <c r="D579" s="96"/>
      <c r="J579" s="17"/>
    </row>
    <row r="580">
      <c r="A580" s="96"/>
      <c r="D580" s="96"/>
      <c r="J580" s="17"/>
    </row>
    <row r="581">
      <c r="A581" s="96"/>
      <c r="D581" s="96"/>
      <c r="J581" s="17"/>
    </row>
    <row r="582">
      <c r="A582" s="96"/>
      <c r="D582" s="96"/>
      <c r="J582" s="17"/>
    </row>
    <row r="583">
      <c r="A583" s="96"/>
      <c r="D583" s="96"/>
      <c r="J583" s="17"/>
    </row>
    <row r="584">
      <c r="A584" s="133"/>
      <c r="B584" s="134"/>
      <c r="C584" s="134"/>
      <c r="D584" s="133"/>
      <c r="J584" s="17"/>
    </row>
    <row r="585">
      <c r="A585" s="133"/>
      <c r="B585" s="134"/>
      <c r="C585" s="134"/>
      <c r="D585" s="133"/>
      <c r="J585" s="17"/>
    </row>
    <row r="586">
      <c r="A586" s="133"/>
      <c r="B586" s="134"/>
      <c r="C586" s="134"/>
      <c r="D586" s="133"/>
      <c r="J586" s="17"/>
    </row>
    <row r="587">
      <c r="A587" s="133"/>
      <c r="B587" s="134"/>
      <c r="C587" s="134"/>
      <c r="D587" s="133"/>
      <c r="J587" s="17"/>
    </row>
    <row r="588">
      <c r="A588" s="133"/>
      <c r="B588" s="134"/>
      <c r="C588" s="134"/>
      <c r="D588" s="133"/>
      <c r="J588" s="17"/>
    </row>
    <row r="589">
      <c r="A589" s="135"/>
      <c r="B589" s="134"/>
      <c r="C589" s="134"/>
      <c r="D589" s="135"/>
      <c r="J589" s="17"/>
    </row>
    <row r="590">
      <c r="A590" s="135"/>
      <c r="B590" s="134"/>
      <c r="C590" s="134"/>
      <c r="D590" s="135"/>
      <c r="J590" s="17"/>
    </row>
    <row r="591">
      <c r="A591" s="135"/>
      <c r="B591" s="134"/>
      <c r="C591" s="134"/>
      <c r="D591" s="135"/>
      <c r="J591" s="17"/>
    </row>
    <row r="592">
      <c r="A592" s="135"/>
      <c r="B592" s="134"/>
      <c r="C592" s="134"/>
      <c r="D592" s="135"/>
      <c r="J592" s="17"/>
    </row>
    <row r="593">
      <c r="A593" s="135"/>
      <c r="B593" s="134"/>
      <c r="C593" s="134"/>
      <c r="D593" s="135"/>
      <c r="J593" s="17"/>
    </row>
    <row r="594">
      <c r="A594" s="135"/>
      <c r="B594" s="134"/>
      <c r="C594" s="134"/>
      <c r="D594" s="135"/>
      <c r="J594" s="17"/>
    </row>
    <row r="595">
      <c r="A595" s="135"/>
      <c r="B595" s="134"/>
      <c r="C595" s="134"/>
      <c r="D595" s="135"/>
      <c r="J595" s="17"/>
    </row>
    <row r="596">
      <c r="A596" s="135"/>
      <c r="B596" s="134"/>
      <c r="C596" s="134"/>
      <c r="D596" s="135"/>
      <c r="J596" s="17"/>
    </row>
    <row r="597">
      <c r="A597" s="135"/>
      <c r="B597" s="134"/>
      <c r="C597" s="134"/>
      <c r="D597" s="135"/>
      <c r="J597" s="17"/>
    </row>
    <row r="598">
      <c r="A598" s="135"/>
      <c r="B598" s="134"/>
      <c r="C598" s="134"/>
      <c r="D598" s="135"/>
      <c r="J598" s="17"/>
    </row>
    <row r="599">
      <c r="A599" s="135"/>
      <c r="B599" s="134"/>
      <c r="C599" s="134"/>
      <c r="D599" s="135"/>
      <c r="J599" s="17"/>
    </row>
    <row r="600">
      <c r="A600" s="135"/>
      <c r="B600" s="134"/>
      <c r="C600" s="134"/>
      <c r="D600" s="135"/>
      <c r="J600" s="17"/>
    </row>
    <row r="601">
      <c r="A601" s="135"/>
      <c r="B601" s="134"/>
      <c r="C601" s="134"/>
      <c r="D601" s="135"/>
      <c r="J601" s="17"/>
    </row>
    <row r="602">
      <c r="A602" s="135"/>
      <c r="B602" s="134"/>
      <c r="C602" s="134"/>
      <c r="D602" s="135"/>
      <c r="J602" s="17"/>
    </row>
    <row r="603">
      <c r="A603" s="135"/>
      <c r="B603" s="134"/>
      <c r="C603" s="134"/>
      <c r="D603" s="135"/>
      <c r="J603" s="17"/>
    </row>
    <row r="604">
      <c r="A604" s="135"/>
      <c r="B604" s="134"/>
      <c r="C604" s="134"/>
      <c r="D604" s="135"/>
      <c r="J604" s="17"/>
    </row>
    <row r="605">
      <c r="A605" s="135"/>
      <c r="B605" s="134"/>
      <c r="C605" s="134"/>
      <c r="D605" s="135"/>
      <c r="J605" s="17"/>
    </row>
    <row r="606">
      <c r="A606" s="135"/>
      <c r="B606" s="134"/>
      <c r="C606" s="134"/>
      <c r="D606" s="135"/>
      <c r="J606" s="17"/>
    </row>
    <row r="607">
      <c r="A607" s="135"/>
      <c r="B607" s="134"/>
      <c r="C607" s="134"/>
      <c r="D607" s="135"/>
      <c r="J607" s="17"/>
    </row>
    <row r="608">
      <c r="A608" s="135"/>
      <c r="B608" s="134"/>
      <c r="C608" s="134"/>
      <c r="D608" s="135"/>
      <c r="J608" s="17"/>
    </row>
    <row r="609">
      <c r="A609" s="135"/>
      <c r="B609" s="134"/>
      <c r="C609" s="134"/>
      <c r="D609" s="135"/>
      <c r="J609" s="17"/>
    </row>
    <row r="610">
      <c r="A610" s="135"/>
      <c r="B610" s="134"/>
      <c r="C610" s="134"/>
      <c r="D610" s="135"/>
      <c r="J610" s="17"/>
    </row>
    <row r="611">
      <c r="A611" s="135"/>
      <c r="B611" s="134"/>
      <c r="C611" s="134"/>
      <c r="D611" s="135"/>
      <c r="J611" s="17"/>
    </row>
    <row r="612">
      <c r="A612" s="135"/>
      <c r="B612" s="134"/>
      <c r="C612" s="134"/>
      <c r="D612" s="135"/>
      <c r="J612" s="17"/>
    </row>
    <row r="613">
      <c r="A613" s="135"/>
      <c r="B613" s="134"/>
      <c r="C613" s="134"/>
      <c r="D613" s="135"/>
      <c r="J613" s="17"/>
    </row>
    <row r="614">
      <c r="A614" s="135"/>
      <c r="B614" s="134"/>
      <c r="C614" s="134"/>
      <c r="D614" s="135"/>
      <c r="J614" s="17"/>
    </row>
    <row r="615">
      <c r="A615" s="135"/>
      <c r="B615" s="134"/>
      <c r="C615" s="134"/>
      <c r="D615" s="135"/>
      <c r="J615" s="17"/>
    </row>
    <row r="616">
      <c r="A616" s="135"/>
      <c r="B616" s="134"/>
      <c r="C616" s="134"/>
      <c r="D616" s="135"/>
      <c r="J616" s="17"/>
    </row>
    <row r="617">
      <c r="A617" s="135"/>
      <c r="B617" s="134"/>
      <c r="C617" s="134"/>
      <c r="D617" s="135"/>
      <c r="J617" s="17"/>
    </row>
    <row r="618">
      <c r="A618" s="135"/>
      <c r="B618" s="134"/>
      <c r="C618" s="134"/>
      <c r="D618" s="135"/>
      <c r="J618" s="17"/>
    </row>
    <row r="619">
      <c r="A619" s="135"/>
      <c r="B619" s="134"/>
      <c r="C619" s="134"/>
      <c r="D619" s="135"/>
      <c r="J619" s="17"/>
    </row>
    <row r="620">
      <c r="A620" s="135"/>
      <c r="B620" s="134"/>
      <c r="C620" s="134"/>
      <c r="D620" s="135"/>
      <c r="J620" s="17"/>
    </row>
    <row r="621">
      <c r="A621" s="135"/>
      <c r="B621" s="134"/>
      <c r="C621" s="134"/>
      <c r="D621" s="135"/>
      <c r="J621" s="17"/>
    </row>
    <row r="622">
      <c r="A622" s="135"/>
      <c r="B622" s="134"/>
      <c r="C622" s="134"/>
      <c r="D622" s="135"/>
      <c r="J622" s="17"/>
    </row>
    <row r="623">
      <c r="A623" s="135"/>
      <c r="B623" s="134"/>
      <c r="C623" s="134"/>
      <c r="D623" s="135"/>
      <c r="J623" s="17"/>
    </row>
    <row r="624">
      <c r="A624" s="135"/>
      <c r="B624" s="134"/>
      <c r="C624" s="134"/>
      <c r="D624" s="135"/>
      <c r="J624" s="17"/>
    </row>
    <row r="625">
      <c r="A625" s="135"/>
      <c r="B625" s="134"/>
      <c r="C625" s="134"/>
      <c r="D625" s="135"/>
      <c r="J625" s="17"/>
    </row>
    <row r="626">
      <c r="A626" s="135"/>
      <c r="B626" s="134"/>
      <c r="C626" s="134"/>
      <c r="D626" s="135"/>
      <c r="J626" s="17"/>
    </row>
    <row r="627">
      <c r="A627" s="135"/>
      <c r="B627" s="134"/>
      <c r="C627" s="134"/>
      <c r="D627" s="135"/>
      <c r="J627" s="17"/>
    </row>
    <row r="628">
      <c r="A628" s="135"/>
      <c r="B628" s="134"/>
      <c r="C628" s="134"/>
      <c r="D628" s="135"/>
      <c r="J628" s="17"/>
    </row>
    <row r="629">
      <c r="A629" s="135"/>
      <c r="B629" s="134"/>
      <c r="C629" s="134"/>
      <c r="D629" s="135"/>
      <c r="J629" s="17"/>
    </row>
    <row r="630">
      <c r="A630" s="135"/>
      <c r="B630" s="134"/>
      <c r="C630" s="134"/>
      <c r="D630" s="135"/>
      <c r="J630" s="17"/>
    </row>
    <row r="631">
      <c r="J631" s="1"/>
    </row>
    <row r="632">
      <c r="J632" s="17"/>
    </row>
    <row r="633">
      <c r="J633" s="17"/>
    </row>
    <row r="634">
      <c r="J634" s="17"/>
    </row>
    <row r="635">
      <c r="J635" s="17"/>
    </row>
    <row r="636">
      <c r="J636" s="17"/>
    </row>
    <row r="637">
      <c r="J637" s="17"/>
    </row>
    <row r="638">
      <c r="J638" s="17"/>
    </row>
    <row r="639">
      <c r="J639" s="17"/>
    </row>
    <row r="640">
      <c r="J640" s="17"/>
    </row>
    <row r="641">
      <c r="A641" s="96"/>
      <c r="J641" s="17"/>
    </row>
    <row r="642">
      <c r="A642" s="96"/>
      <c r="D642" s="96"/>
      <c r="J642" s="17"/>
    </row>
    <row r="643">
      <c r="A643" s="96"/>
      <c r="D643" s="96"/>
      <c r="J643" s="17"/>
    </row>
    <row r="644">
      <c r="A644" s="96"/>
      <c r="D644" s="96"/>
      <c r="J644" s="17"/>
    </row>
    <row r="645">
      <c r="A645" s="96"/>
      <c r="D645" s="96"/>
      <c r="J645" s="17"/>
    </row>
    <row r="646">
      <c r="A646" s="96"/>
      <c r="D646" s="96"/>
      <c r="J646" s="17"/>
    </row>
    <row r="647">
      <c r="A647" s="133"/>
      <c r="B647" s="134"/>
      <c r="C647" s="134"/>
      <c r="D647" s="133"/>
      <c r="J647" s="17"/>
    </row>
    <row r="648">
      <c r="A648" s="133"/>
      <c r="B648" s="134"/>
      <c r="C648" s="134"/>
      <c r="D648" s="133"/>
      <c r="J648" s="17"/>
    </row>
    <row r="649">
      <c r="A649" s="133"/>
      <c r="B649" s="134"/>
      <c r="C649" s="134"/>
      <c r="D649" s="133"/>
      <c r="J649" s="17"/>
    </row>
    <row r="650">
      <c r="A650" s="133"/>
      <c r="B650" s="134"/>
      <c r="C650" s="134"/>
      <c r="D650" s="133"/>
      <c r="J650" s="17"/>
    </row>
    <row r="651">
      <c r="A651" s="133"/>
      <c r="B651" s="134"/>
      <c r="C651" s="134"/>
      <c r="D651" s="133"/>
      <c r="J651" s="17"/>
    </row>
    <row r="652">
      <c r="A652" s="135"/>
      <c r="B652" s="134"/>
      <c r="C652" s="134"/>
      <c r="D652" s="135"/>
      <c r="J652" s="17"/>
    </row>
    <row r="653">
      <c r="A653" s="135"/>
      <c r="B653" s="134"/>
      <c r="C653" s="134"/>
      <c r="D653" s="135"/>
      <c r="J653" s="17"/>
    </row>
    <row r="654">
      <c r="A654" s="135"/>
      <c r="B654" s="134"/>
      <c r="C654" s="134"/>
      <c r="D654" s="135"/>
      <c r="J654" s="17"/>
    </row>
    <row r="655">
      <c r="A655" s="135"/>
      <c r="B655" s="134"/>
      <c r="C655" s="134"/>
      <c r="D655" s="135"/>
      <c r="J655" s="17"/>
    </row>
    <row r="656">
      <c r="A656" s="135"/>
      <c r="B656" s="134"/>
      <c r="C656" s="134"/>
      <c r="D656" s="135"/>
      <c r="J656" s="17"/>
    </row>
    <row r="657">
      <c r="A657" s="135"/>
      <c r="B657" s="134"/>
      <c r="C657" s="134"/>
      <c r="D657" s="135"/>
      <c r="J657" s="17"/>
    </row>
    <row r="658">
      <c r="A658" s="135"/>
      <c r="B658" s="134"/>
      <c r="C658" s="134"/>
      <c r="D658" s="135"/>
      <c r="J658" s="17"/>
    </row>
    <row r="659">
      <c r="A659" s="135"/>
      <c r="B659" s="134"/>
      <c r="C659" s="134"/>
      <c r="D659" s="135"/>
      <c r="J659" s="17"/>
    </row>
    <row r="660">
      <c r="A660" s="135"/>
      <c r="B660" s="134"/>
      <c r="C660" s="134"/>
      <c r="D660" s="135"/>
      <c r="J660" s="17"/>
    </row>
    <row r="661">
      <c r="A661" s="135"/>
      <c r="B661" s="134"/>
      <c r="C661" s="134"/>
      <c r="D661" s="135"/>
      <c r="J661" s="17"/>
    </row>
    <row r="662">
      <c r="A662" s="135"/>
      <c r="B662" s="134"/>
      <c r="C662" s="134"/>
      <c r="D662" s="135"/>
      <c r="J662" s="17"/>
    </row>
    <row r="663">
      <c r="A663" s="135"/>
      <c r="B663" s="134"/>
      <c r="C663" s="134"/>
      <c r="D663" s="135"/>
      <c r="J663" s="17"/>
    </row>
    <row r="664">
      <c r="A664" s="135"/>
      <c r="B664" s="134"/>
      <c r="C664" s="134"/>
      <c r="D664" s="135"/>
      <c r="J664" s="17"/>
    </row>
    <row r="665">
      <c r="A665" s="135"/>
      <c r="B665" s="134"/>
      <c r="C665" s="134"/>
      <c r="D665" s="135"/>
      <c r="J665" s="17"/>
    </row>
    <row r="666">
      <c r="A666" s="135"/>
      <c r="B666" s="134"/>
      <c r="C666" s="134"/>
      <c r="D666" s="135"/>
      <c r="J666" s="17"/>
    </row>
    <row r="667">
      <c r="A667" s="135"/>
      <c r="B667" s="134"/>
      <c r="C667" s="134"/>
      <c r="D667" s="135"/>
      <c r="J667" s="17"/>
    </row>
    <row r="668">
      <c r="A668" s="135"/>
      <c r="B668" s="134"/>
      <c r="C668" s="134"/>
      <c r="D668" s="135"/>
      <c r="J668" s="17"/>
    </row>
    <row r="669">
      <c r="A669" s="135"/>
      <c r="B669" s="134"/>
      <c r="C669" s="134"/>
      <c r="D669" s="135"/>
      <c r="J669" s="17"/>
    </row>
    <row r="670">
      <c r="A670" s="135"/>
      <c r="B670" s="134"/>
      <c r="C670" s="134"/>
      <c r="D670" s="135"/>
      <c r="J670" s="17"/>
    </row>
    <row r="671">
      <c r="A671" s="135"/>
      <c r="B671" s="134"/>
      <c r="C671" s="134"/>
      <c r="D671" s="135"/>
      <c r="J671" s="17"/>
    </row>
    <row r="672">
      <c r="A672" s="135"/>
      <c r="B672" s="134"/>
      <c r="C672" s="134"/>
      <c r="D672" s="135"/>
      <c r="J672" s="17"/>
    </row>
    <row r="673">
      <c r="A673" s="135"/>
      <c r="B673" s="134"/>
      <c r="C673" s="134"/>
      <c r="D673" s="135"/>
      <c r="J673" s="17"/>
    </row>
    <row r="674">
      <c r="A674" s="135"/>
      <c r="B674" s="134"/>
      <c r="C674" s="134"/>
      <c r="D674" s="135"/>
      <c r="J674" s="17"/>
    </row>
    <row r="675">
      <c r="A675" s="135"/>
      <c r="B675" s="134"/>
      <c r="C675" s="134"/>
      <c r="D675" s="135"/>
      <c r="J675" s="17"/>
    </row>
    <row r="676">
      <c r="A676" s="135"/>
      <c r="B676" s="134"/>
      <c r="C676" s="134"/>
      <c r="D676" s="135"/>
      <c r="J676" s="17"/>
    </row>
    <row r="677">
      <c r="A677" s="135"/>
      <c r="B677" s="134"/>
      <c r="C677" s="134"/>
      <c r="D677" s="135"/>
      <c r="J677" s="17"/>
    </row>
    <row r="678">
      <c r="A678" s="135"/>
      <c r="B678" s="134"/>
      <c r="C678" s="134"/>
      <c r="D678" s="135"/>
      <c r="J678" s="17"/>
    </row>
    <row r="679">
      <c r="A679" s="135"/>
      <c r="B679" s="134"/>
      <c r="C679" s="134"/>
      <c r="D679" s="135"/>
      <c r="J679" s="17"/>
    </row>
    <row r="680">
      <c r="A680" s="135"/>
      <c r="B680" s="134"/>
      <c r="C680" s="134"/>
      <c r="D680" s="135"/>
      <c r="J680" s="17"/>
    </row>
    <row r="681">
      <c r="A681" s="135"/>
      <c r="B681" s="134"/>
      <c r="C681" s="134"/>
      <c r="D681" s="135"/>
      <c r="J681" s="17"/>
    </row>
    <row r="682">
      <c r="A682" s="135"/>
      <c r="B682" s="134"/>
      <c r="C682" s="134"/>
      <c r="D682" s="135"/>
      <c r="J682" s="17"/>
    </row>
    <row r="683">
      <c r="A683" s="135"/>
      <c r="B683" s="134"/>
      <c r="C683" s="134"/>
      <c r="D683" s="135"/>
      <c r="J683" s="17"/>
    </row>
    <row r="684">
      <c r="A684" s="135"/>
      <c r="B684" s="134"/>
      <c r="C684" s="134"/>
      <c r="D684" s="135"/>
      <c r="J684" s="17"/>
    </row>
    <row r="685">
      <c r="A685" s="135"/>
      <c r="B685" s="134"/>
      <c r="C685" s="134"/>
      <c r="D685" s="135"/>
      <c r="J685" s="17"/>
    </row>
    <row r="686">
      <c r="A686" s="135"/>
      <c r="B686" s="134"/>
      <c r="C686" s="134"/>
      <c r="D686" s="135"/>
      <c r="J686" s="17"/>
    </row>
    <row r="687">
      <c r="A687" s="135"/>
      <c r="B687" s="134"/>
      <c r="C687" s="134"/>
      <c r="D687" s="135"/>
      <c r="J687" s="17"/>
    </row>
    <row r="688">
      <c r="A688" s="135"/>
      <c r="B688" s="134"/>
      <c r="C688" s="134"/>
      <c r="D688" s="135"/>
      <c r="J688" s="17"/>
    </row>
    <row r="689">
      <c r="A689" s="135"/>
      <c r="B689" s="134"/>
      <c r="C689" s="134"/>
      <c r="D689" s="135"/>
      <c r="J689" s="17"/>
    </row>
    <row r="690">
      <c r="A690" s="135"/>
      <c r="B690" s="134"/>
      <c r="C690" s="134"/>
      <c r="D690" s="135"/>
      <c r="J690" s="17"/>
    </row>
    <row r="691">
      <c r="A691" s="135"/>
      <c r="B691" s="134"/>
      <c r="C691" s="134"/>
      <c r="D691" s="135"/>
      <c r="J691" s="17"/>
    </row>
    <row r="692">
      <c r="A692" s="135"/>
      <c r="B692" s="134"/>
      <c r="C692" s="134"/>
      <c r="D692" s="135"/>
      <c r="J692" s="17"/>
    </row>
    <row r="693">
      <c r="A693" s="135"/>
      <c r="B693" s="134"/>
      <c r="C693" s="134"/>
      <c r="D693" s="135"/>
      <c r="J693" s="17"/>
    </row>
    <row r="694">
      <c r="J694" s="1"/>
    </row>
    <row r="695">
      <c r="J695" s="17"/>
    </row>
    <row r="696">
      <c r="J696" s="17"/>
    </row>
    <row r="697">
      <c r="J697" s="17"/>
    </row>
    <row r="698">
      <c r="J698" s="17"/>
    </row>
    <row r="699">
      <c r="J699" s="17"/>
    </row>
    <row r="700">
      <c r="J700" s="17"/>
    </row>
    <row r="701">
      <c r="J701" s="17"/>
    </row>
    <row r="702">
      <c r="J702" s="17"/>
    </row>
    <row r="703">
      <c r="J703" s="17"/>
    </row>
    <row r="704">
      <c r="A704" s="96"/>
      <c r="J704" s="17"/>
    </row>
    <row r="705">
      <c r="A705" s="96"/>
      <c r="D705" s="96"/>
      <c r="J705" s="17"/>
    </row>
    <row r="706">
      <c r="A706" s="96"/>
      <c r="D706" s="96"/>
      <c r="J706" s="17"/>
    </row>
    <row r="707">
      <c r="A707" s="96"/>
      <c r="D707" s="96"/>
      <c r="J707" s="17"/>
    </row>
    <row r="708">
      <c r="A708" s="96"/>
      <c r="D708" s="96"/>
      <c r="J708" s="17"/>
    </row>
    <row r="709">
      <c r="A709" s="96"/>
      <c r="D709" s="96"/>
      <c r="J709" s="17"/>
    </row>
    <row r="710">
      <c r="A710" s="133"/>
      <c r="B710" s="134"/>
      <c r="C710" s="134"/>
      <c r="D710" s="133"/>
      <c r="J710" s="17"/>
    </row>
    <row r="711">
      <c r="A711" s="133"/>
      <c r="B711" s="134"/>
      <c r="C711" s="134"/>
      <c r="D711" s="133"/>
      <c r="J711" s="17"/>
    </row>
    <row r="712">
      <c r="A712" s="133"/>
      <c r="B712" s="134"/>
      <c r="C712" s="134"/>
      <c r="D712" s="133"/>
      <c r="J712" s="17"/>
    </row>
    <row r="713">
      <c r="A713" s="133"/>
      <c r="B713" s="134"/>
      <c r="C713" s="134"/>
      <c r="D713" s="133"/>
      <c r="J713" s="17"/>
    </row>
    <row r="714">
      <c r="A714" s="133"/>
      <c r="B714" s="134"/>
      <c r="C714" s="134"/>
      <c r="D714" s="133"/>
      <c r="J714" s="17"/>
    </row>
    <row r="715">
      <c r="A715" s="135"/>
      <c r="B715" s="134"/>
      <c r="C715" s="134"/>
      <c r="D715" s="135"/>
      <c r="J715" s="17"/>
    </row>
    <row r="716">
      <c r="A716" s="135"/>
      <c r="B716" s="134"/>
      <c r="C716" s="134"/>
      <c r="D716" s="135"/>
      <c r="J716" s="17"/>
    </row>
    <row r="717">
      <c r="A717" s="135"/>
      <c r="B717" s="134"/>
      <c r="C717" s="134"/>
      <c r="D717" s="135"/>
      <c r="J717" s="17"/>
    </row>
    <row r="718">
      <c r="A718" s="135"/>
      <c r="B718" s="134"/>
      <c r="C718" s="134"/>
      <c r="D718" s="135"/>
      <c r="J718" s="17"/>
    </row>
    <row r="719">
      <c r="A719" s="135"/>
      <c r="B719" s="134"/>
      <c r="C719" s="134"/>
      <c r="D719" s="135"/>
      <c r="J719" s="17"/>
    </row>
    <row r="720">
      <c r="A720" s="135"/>
      <c r="B720" s="134"/>
      <c r="C720" s="134"/>
      <c r="D720" s="135"/>
      <c r="J720" s="17"/>
    </row>
    <row r="721">
      <c r="A721" s="135"/>
      <c r="B721" s="134"/>
      <c r="C721" s="134"/>
      <c r="D721" s="135"/>
      <c r="J721" s="17"/>
    </row>
    <row r="722">
      <c r="A722" s="135"/>
      <c r="B722" s="134"/>
      <c r="C722" s="134"/>
      <c r="D722" s="135"/>
      <c r="J722" s="17"/>
    </row>
    <row r="723">
      <c r="A723" s="135"/>
      <c r="B723" s="134"/>
      <c r="C723" s="134"/>
      <c r="D723" s="135"/>
      <c r="J723" s="17"/>
    </row>
    <row r="724">
      <c r="A724" s="135"/>
      <c r="B724" s="134"/>
      <c r="C724" s="134"/>
      <c r="D724" s="135"/>
      <c r="J724" s="17"/>
    </row>
    <row r="725">
      <c r="A725" s="135"/>
      <c r="B725" s="134"/>
      <c r="C725" s="134"/>
      <c r="D725" s="135"/>
      <c r="J725" s="17"/>
    </row>
    <row r="726">
      <c r="A726" s="135"/>
      <c r="B726" s="134"/>
      <c r="C726" s="134"/>
      <c r="D726" s="135"/>
      <c r="J726" s="17"/>
    </row>
    <row r="727">
      <c r="A727" s="135"/>
      <c r="B727" s="134"/>
      <c r="C727" s="134"/>
      <c r="D727" s="135"/>
      <c r="J727" s="17"/>
    </row>
    <row r="728">
      <c r="A728" s="135"/>
      <c r="B728" s="134"/>
      <c r="C728" s="134"/>
      <c r="D728" s="135"/>
      <c r="J728" s="17"/>
    </row>
    <row r="729">
      <c r="A729" s="135"/>
      <c r="B729" s="134"/>
      <c r="C729" s="134"/>
      <c r="D729" s="135"/>
      <c r="J729" s="17"/>
    </row>
    <row r="730">
      <c r="A730" s="135"/>
      <c r="B730" s="134"/>
      <c r="C730" s="134"/>
      <c r="D730" s="135"/>
      <c r="J730" s="17"/>
    </row>
    <row r="731">
      <c r="A731" s="135"/>
      <c r="B731" s="134"/>
      <c r="C731" s="134"/>
      <c r="D731" s="135"/>
      <c r="J731" s="17"/>
    </row>
    <row r="732">
      <c r="A732" s="135"/>
      <c r="B732" s="134"/>
      <c r="C732" s="134"/>
      <c r="D732" s="135"/>
      <c r="J732" s="17"/>
    </row>
    <row r="733">
      <c r="A733" s="135"/>
      <c r="B733" s="134"/>
      <c r="C733" s="134"/>
      <c r="D733" s="135"/>
      <c r="J733" s="17"/>
    </row>
    <row r="734">
      <c r="A734" s="135"/>
      <c r="B734" s="134"/>
      <c r="C734" s="134"/>
      <c r="D734" s="135"/>
      <c r="J734" s="17"/>
    </row>
    <row r="735">
      <c r="A735" s="135"/>
      <c r="B735" s="134"/>
      <c r="C735" s="134"/>
      <c r="D735" s="135"/>
      <c r="J735" s="17"/>
    </row>
    <row r="736">
      <c r="A736" s="135"/>
      <c r="B736" s="134"/>
      <c r="C736" s="134"/>
      <c r="D736" s="135"/>
      <c r="J736" s="17"/>
    </row>
    <row r="737">
      <c r="A737" s="135"/>
      <c r="B737" s="134"/>
      <c r="C737" s="134"/>
      <c r="D737" s="135"/>
      <c r="J737" s="17"/>
    </row>
    <row r="738">
      <c r="A738" s="135"/>
      <c r="B738" s="134"/>
      <c r="C738" s="134"/>
      <c r="D738" s="135"/>
      <c r="J738" s="17"/>
    </row>
    <row r="739">
      <c r="A739" s="135"/>
      <c r="B739" s="134"/>
      <c r="C739" s="134"/>
      <c r="D739" s="135"/>
      <c r="J739" s="17"/>
    </row>
    <row r="740">
      <c r="A740" s="135"/>
      <c r="B740" s="134"/>
      <c r="C740" s="134"/>
      <c r="D740" s="135"/>
      <c r="J740" s="17"/>
    </row>
    <row r="741">
      <c r="A741" s="135"/>
      <c r="B741" s="134"/>
      <c r="C741" s="134"/>
      <c r="D741" s="135"/>
      <c r="J741" s="17"/>
    </row>
    <row r="742">
      <c r="A742" s="135"/>
      <c r="B742" s="134"/>
      <c r="C742" s="134"/>
      <c r="D742" s="135"/>
      <c r="J742" s="17"/>
    </row>
    <row r="743">
      <c r="A743" s="135"/>
      <c r="B743" s="134"/>
      <c r="C743" s="134"/>
      <c r="D743" s="135"/>
      <c r="J743" s="17"/>
    </row>
    <row r="744">
      <c r="A744" s="135"/>
      <c r="B744" s="134"/>
      <c r="C744" s="134"/>
      <c r="D744" s="135"/>
      <c r="J744" s="17"/>
    </row>
    <row r="745">
      <c r="A745" s="135"/>
      <c r="B745" s="134"/>
      <c r="C745" s="134"/>
      <c r="D745" s="135"/>
      <c r="J745" s="17"/>
    </row>
    <row r="746">
      <c r="A746" s="135"/>
      <c r="B746" s="134"/>
      <c r="C746" s="134"/>
      <c r="D746" s="135"/>
      <c r="J746" s="17"/>
    </row>
    <row r="747">
      <c r="A747" s="135"/>
      <c r="B747" s="134"/>
      <c r="C747" s="134"/>
      <c r="D747" s="135"/>
      <c r="J747" s="17"/>
    </row>
    <row r="748">
      <c r="A748" s="135"/>
      <c r="B748" s="134"/>
      <c r="C748" s="134"/>
      <c r="D748" s="135"/>
      <c r="J748" s="17"/>
    </row>
    <row r="749">
      <c r="A749" s="135"/>
      <c r="B749" s="134"/>
      <c r="C749" s="134"/>
      <c r="D749" s="135"/>
      <c r="J749" s="17"/>
    </row>
    <row r="750">
      <c r="A750" s="135"/>
      <c r="B750" s="134"/>
      <c r="C750" s="134"/>
      <c r="D750" s="135"/>
      <c r="J750" s="17"/>
    </row>
    <row r="751">
      <c r="A751" s="135"/>
      <c r="B751" s="134"/>
      <c r="C751" s="134"/>
      <c r="D751" s="135"/>
      <c r="J751" s="17"/>
    </row>
    <row r="752">
      <c r="A752" s="135"/>
      <c r="B752" s="134"/>
      <c r="C752" s="134"/>
      <c r="D752" s="135"/>
      <c r="J752" s="17"/>
    </row>
    <row r="753">
      <c r="A753" s="135"/>
      <c r="B753" s="134"/>
      <c r="C753" s="134"/>
      <c r="D753" s="135"/>
      <c r="J753" s="17"/>
    </row>
    <row r="754">
      <c r="A754" s="135"/>
      <c r="B754" s="134"/>
      <c r="C754" s="134"/>
      <c r="D754" s="135"/>
      <c r="J754" s="17"/>
    </row>
    <row r="755">
      <c r="A755" s="135"/>
      <c r="B755" s="134"/>
      <c r="C755" s="134"/>
      <c r="D755" s="135"/>
      <c r="J755" s="17"/>
    </row>
    <row r="756">
      <c r="A756" s="135"/>
      <c r="B756" s="134"/>
      <c r="C756" s="134"/>
      <c r="D756" s="135"/>
      <c r="J756" s="17"/>
    </row>
    <row r="757">
      <c r="J757" s="1"/>
    </row>
    <row r="758">
      <c r="J758" s="17"/>
    </row>
    <row r="759">
      <c r="J759" s="17"/>
    </row>
    <row r="760">
      <c r="J760" s="17"/>
    </row>
    <row r="761">
      <c r="J761" s="17"/>
    </row>
    <row r="762">
      <c r="J762" s="17"/>
    </row>
    <row r="763">
      <c r="J763" s="17"/>
    </row>
    <row r="764">
      <c r="J764" s="17"/>
    </row>
    <row r="765">
      <c r="J765" s="17"/>
    </row>
    <row r="766">
      <c r="J766" s="17"/>
    </row>
    <row r="767">
      <c r="A767" s="96"/>
      <c r="J767" s="17"/>
    </row>
    <row r="768">
      <c r="A768" s="96"/>
      <c r="D768" s="96"/>
      <c r="J768" s="17"/>
    </row>
    <row r="769">
      <c r="A769" s="96"/>
      <c r="D769" s="96"/>
      <c r="J769" s="17"/>
    </row>
    <row r="770">
      <c r="A770" s="96"/>
      <c r="D770" s="96"/>
      <c r="J770" s="17"/>
    </row>
    <row r="771">
      <c r="A771" s="96"/>
      <c r="D771" s="96"/>
      <c r="J771" s="17"/>
    </row>
    <row r="772">
      <c r="A772" s="96"/>
      <c r="D772" s="96"/>
      <c r="J772" s="17"/>
    </row>
    <row r="773">
      <c r="A773" s="133"/>
      <c r="B773" s="134"/>
      <c r="C773" s="134"/>
      <c r="D773" s="133"/>
      <c r="J773" s="17"/>
    </row>
    <row r="774">
      <c r="A774" s="133"/>
      <c r="B774" s="134"/>
      <c r="C774" s="134"/>
      <c r="D774" s="133"/>
      <c r="J774" s="17"/>
    </row>
    <row r="775">
      <c r="A775" s="133"/>
      <c r="B775" s="134"/>
      <c r="C775" s="134"/>
      <c r="D775" s="133"/>
      <c r="J775" s="17"/>
    </row>
    <row r="776">
      <c r="A776" s="133"/>
      <c r="B776" s="134"/>
      <c r="C776" s="134"/>
      <c r="D776" s="133"/>
      <c r="J776" s="17"/>
    </row>
    <row r="777">
      <c r="A777" s="133"/>
      <c r="B777" s="134"/>
      <c r="C777" s="134"/>
      <c r="D777" s="133"/>
      <c r="J777" s="17"/>
    </row>
    <row r="778">
      <c r="A778" s="135"/>
      <c r="B778" s="134"/>
      <c r="C778" s="134"/>
      <c r="D778" s="135"/>
      <c r="J778" s="17"/>
    </row>
    <row r="779">
      <c r="A779" s="135"/>
      <c r="B779" s="134"/>
      <c r="C779" s="134"/>
      <c r="D779" s="135"/>
      <c r="J779" s="17"/>
    </row>
    <row r="780">
      <c r="A780" s="135"/>
      <c r="B780" s="134"/>
      <c r="C780" s="134"/>
      <c r="D780" s="135"/>
      <c r="J780" s="17"/>
    </row>
    <row r="781">
      <c r="A781" s="135"/>
      <c r="B781" s="134"/>
      <c r="C781" s="134"/>
      <c r="D781" s="135"/>
      <c r="J781" s="17"/>
    </row>
    <row r="782">
      <c r="A782" s="135"/>
      <c r="B782" s="134"/>
      <c r="C782" s="134"/>
      <c r="D782" s="135"/>
      <c r="J782" s="17"/>
    </row>
    <row r="783">
      <c r="A783" s="135"/>
      <c r="B783" s="134"/>
      <c r="C783" s="134"/>
      <c r="D783" s="135"/>
      <c r="J783" s="17"/>
    </row>
    <row r="784">
      <c r="A784" s="135"/>
      <c r="B784" s="134"/>
      <c r="C784" s="134"/>
      <c r="D784" s="135"/>
      <c r="J784" s="17"/>
    </row>
    <row r="785">
      <c r="A785" s="135"/>
      <c r="B785" s="134"/>
      <c r="C785" s="134"/>
      <c r="D785" s="135"/>
      <c r="J785" s="17"/>
    </row>
    <row r="786">
      <c r="A786" s="135"/>
      <c r="B786" s="134"/>
      <c r="C786" s="134"/>
      <c r="D786" s="135"/>
      <c r="J786" s="17"/>
    </row>
    <row r="787">
      <c r="A787" s="135"/>
      <c r="B787" s="134"/>
      <c r="C787" s="134"/>
      <c r="D787" s="135"/>
      <c r="J787" s="17"/>
    </row>
    <row r="788">
      <c r="A788" s="135"/>
      <c r="B788" s="134"/>
      <c r="C788" s="134"/>
      <c r="D788" s="135"/>
      <c r="J788" s="17"/>
    </row>
    <row r="789">
      <c r="A789" s="135"/>
      <c r="B789" s="134"/>
      <c r="C789" s="134"/>
      <c r="D789" s="135"/>
      <c r="J789" s="17"/>
    </row>
    <row r="790">
      <c r="A790" s="135"/>
      <c r="B790" s="134"/>
      <c r="C790" s="134"/>
      <c r="D790" s="135"/>
      <c r="J790" s="17"/>
    </row>
    <row r="791">
      <c r="A791" s="135"/>
      <c r="B791" s="134"/>
      <c r="C791" s="134"/>
      <c r="D791" s="135"/>
      <c r="J791" s="17"/>
    </row>
    <row r="792">
      <c r="A792" s="135"/>
      <c r="B792" s="134"/>
      <c r="C792" s="134"/>
      <c r="D792" s="135"/>
      <c r="J792" s="17"/>
    </row>
    <row r="793">
      <c r="A793" s="135"/>
      <c r="B793" s="134"/>
      <c r="C793" s="134"/>
      <c r="D793" s="135"/>
      <c r="J793" s="17"/>
    </row>
    <row r="794">
      <c r="A794" s="135"/>
      <c r="B794" s="134"/>
      <c r="C794" s="134"/>
      <c r="D794" s="135"/>
      <c r="J794" s="17"/>
    </row>
    <row r="795">
      <c r="A795" s="135"/>
      <c r="B795" s="134"/>
      <c r="C795" s="134"/>
      <c r="D795" s="135"/>
      <c r="J795" s="17"/>
    </row>
    <row r="796">
      <c r="A796" s="135"/>
      <c r="B796" s="134"/>
      <c r="C796" s="134"/>
      <c r="D796" s="135"/>
      <c r="J796" s="17"/>
    </row>
    <row r="797">
      <c r="A797" s="135"/>
      <c r="B797" s="134"/>
      <c r="C797" s="134"/>
      <c r="D797" s="135"/>
      <c r="J797" s="17"/>
    </row>
    <row r="798">
      <c r="A798" s="135"/>
      <c r="B798" s="134"/>
      <c r="C798" s="134"/>
      <c r="D798" s="135"/>
      <c r="J798" s="17"/>
    </row>
    <row r="799">
      <c r="A799" s="135"/>
      <c r="B799" s="134"/>
      <c r="C799" s="134"/>
      <c r="D799" s="135"/>
      <c r="J799" s="17"/>
    </row>
    <row r="800">
      <c r="A800" s="135"/>
      <c r="B800" s="134"/>
      <c r="C800" s="134"/>
      <c r="D800" s="135"/>
      <c r="J800" s="17"/>
    </row>
    <row r="801">
      <c r="A801" s="135"/>
      <c r="B801" s="134"/>
      <c r="C801" s="134"/>
      <c r="D801" s="135"/>
      <c r="J801" s="17"/>
    </row>
    <row r="802">
      <c r="A802" s="135"/>
      <c r="B802" s="134"/>
      <c r="C802" s="134"/>
      <c r="D802" s="135"/>
      <c r="J802" s="17"/>
    </row>
    <row r="803">
      <c r="A803" s="135"/>
      <c r="B803" s="134"/>
      <c r="C803" s="134"/>
      <c r="D803" s="135"/>
      <c r="J803" s="17"/>
    </row>
    <row r="804">
      <c r="A804" s="135"/>
      <c r="B804" s="134"/>
      <c r="C804" s="134"/>
      <c r="D804" s="135"/>
      <c r="J804" s="17"/>
    </row>
    <row r="805">
      <c r="A805" s="135"/>
      <c r="B805" s="134"/>
      <c r="C805" s="134"/>
      <c r="D805" s="135"/>
      <c r="J805" s="17"/>
    </row>
    <row r="806">
      <c r="A806" s="135"/>
      <c r="B806" s="134"/>
      <c r="C806" s="134"/>
      <c r="D806" s="135"/>
      <c r="J806" s="17"/>
    </row>
    <row r="807">
      <c r="A807" s="135"/>
      <c r="B807" s="134"/>
      <c r="C807" s="134"/>
      <c r="D807" s="135"/>
      <c r="J807" s="17"/>
    </row>
    <row r="808">
      <c r="A808" s="135"/>
      <c r="B808" s="134"/>
      <c r="C808" s="134"/>
      <c r="D808" s="135"/>
      <c r="J808" s="17"/>
    </row>
    <row r="809">
      <c r="A809" s="135"/>
      <c r="B809" s="134"/>
      <c r="C809" s="134"/>
      <c r="D809" s="135"/>
      <c r="J809" s="17"/>
    </row>
    <row r="810">
      <c r="A810" s="135"/>
      <c r="B810" s="134"/>
      <c r="C810" s="134"/>
      <c r="D810" s="135"/>
      <c r="J810" s="17"/>
    </row>
    <row r="811">
      <c r="A811" s="135"/>
      <c r="B811" s="134"/>
      <c r="C811" s="134"/>
      <c r="D811" s="135"/>
      <c r="J811" s="17"/>
    </row>
    <row r="812">
      <c r="A812" s="135"/>
      <c r="B812" s="134"/>
      <c r="C812" s="134"/>
      <c r="D812" s="135"/>
      <c r="J812" s="17"/>
    </row>
    <row r="813">
      <c r="A813" s="135"/>
      <c r="B813" s="134"/>
      <c r="C813" s="134"/>
      <c r="D813" s="135"/>
      <c r="J813" s="17"/>
    </row>
    <row r="814">
      <c r="A814" s="135"/>
      <c r="B814" s="134"/>
      <c r="C814" s="134"/>
      <c r="D814" s="135"/>
      <c r="J814" s="17"/>
    </row>
    <row r="815">
      <c r="A815" s="135"/>
      <c r="B815" s="134"/>
      <c r="C815" s="134"/>
      <c r="D815" s="135"/>
      <c r="J815" s="17"/>
    </row>
    <row r="816">
      <c r="A816" s="135"/>
      <c r="B816" s="134"/>
      <c r="C816" s="134"/>
      <c r="D816" s="135"/>
      <c r="J816" s="17"/>
    </row>
    <row r="817">
      <c r="A817" s="135"/>
      <c r="B817" s="134"/>
      <c r="C817" s="134"/>
      <c r="D817" s="135"/>
      <c r="J817" s="17"/>
    </row>
    <row r="818">
      <c r="A818" s="135"/>
      <c r="B818" s="134"/>
      <c r="C818" s="134"/>
      <c r="D818" s="135"/>
      <c r="J818" s="17"/>
    </row>
    <row r="819">
      <c r="A819" s="135"/>
      <c r="B819" s="134"/>
      <c r="C819" s="134"/>
      <c r="D819" s="135"/>
      <c r="J819" s="17"/>
    </row>
    <row r="820">
      <c r="J820" s="1"/>
    </row>
    <row r="821">
      <c r="J821" s="17"/>
    </row>
    <row r="822">
      <c r="J822" s="17"/>
    </row>
    <row r="823">
      <c r="J823" s="17"/>
    </row>
    <row r="824">
      <c r="J824" s="17"/>
    </row>
    <row r="825">
      <c r="J825" s="17"/>
    </row>
    <row r="826">
      <c r="J826" s="17"/>
    </row>
    <row r="827">
      <c r="J827" s="17"/>
    </row>
    <row r="828">
      <c r="J828" s="17"/>
    </row>
    <row r="829">
      <c r="J829" s="17"/>
    </row>
    <row r="830">
      <c r="A830" s="96"/>
      <c r="J830" s="17"/>
    </row>
    <row r="831">
      <c r="A831" s="96"/>
      <c r="D831" s="96"/>
      <c r="J831" s="17"/>
    </row>
    <row r="832">
      <c r="A832" s="96"/>
      <c r="D832" s="96"/>
      <c r="J832" s="17"/>
    </row>
    <row r="833">
      <c r="A833" s="96"/>
      <c r="D833" s="96"/>
      <c r="J833" s="17"/>
    </row>
    <row r="834">
      <c r="A834" s="96"/>
      <c r="D834" s="96"/>
      <c r="J834" s="17"/>
    </row>
    <row r="835">
      <c r="A835" s="96"/>
      <c r="D835" s="96"/>
      <c r="J835" s="17"/>
    </row>
    <row r="836">
      <c r="A836" s="133"/>
      <c r="B836" s="134"/>
      <c r="C836" s="134"/>
      <c r="D836" s="133"/>
      <c r="J836" s="17"/>
    </row>
    <row r="837">
      <c r="A837" s="133"/>
      <c r="B837" s="134"/>
      <c r="C837" s="134"/>
      <c r="D837" s="133"/>
      <c r="J837" s="17"/>
    </row>
    <row r="838">
      <c r="A838" s="133"/>
      <c r="B838" s="134"/>
      <c r="C838" s="134"/>
      <c r="D838" s="133"/>
      <c r="J838" s="17"/>
    </row>
    <row r="839">
      <c r="A839" s="133"/>
      <c r="B839" s="134"/>
      <c r="C839" s="134"/>
      <c r="D839" s="133"/>
      <c r="J839" s="17"/>
    </row>
    <row r="840">
      <c r="A840" s="133"/>
      <c r="B840" s="134"/>
      <c r="C840" s="134"/>
      <c r="D840" s="133"/>
      <c r="J840" s="17"/>
    </row>
    <row r="841">
      <c r="A841" s="135"/>
      <c r="B841" s="134"/>
      <c r="C841" s="134"/>
      <c r="D841" s="135"/>
      <c r="J841" s="17"/>
    </row>
    <row r="842">
      <c r="A842" s="135"/>
      <c r="B842" s="134"/>
      <c r="C842" s="134"/>
      <c r="D842" s="135"/>
      <c r="J842" s="17"/>
    </row>
    <row r="843">
      <c r="A843" s="135"/>
      <c r="B843" s="134"/>
      <c r="C843" s="134"/>
      <c r="D843" s="135"/>
      <c r="J843" s="17"/>
    </row>
    <row r="844">
      <c r="A844" s="135"/>
      <c r="B844" s="134"/>
      <c r="C844" s="134"/>
      <c r="D844" s="135"/>
      <c r="J844" s="17"/>
    </row>
    <row r="845">
      <c r="A845" s="135"/>
      <c r="B845" s="134"/>
      <c r="C845" s="134"/>
      <c r="D845" s="135"/>
      <c r="J845" s="17"/>
    </row>
    <row r="846">
      <c r="A846" s="135"/>
      <c r="B846" s="134"/>
      <c r="C846" s="134"/>
      <c r="D846" s="135"/>
      <c r="J846" s="17"/>
    </row>
    <row r="847">
      <c r="A847" s="135"/>
      <c r="B847" s="134"/>
      <c r="C847" s="134"/>
      <c r="D847" s="135"/>
      <c r="J847" s="17"/>
    </row>
    <row r="848">
      <c r="A848" s="135"/>
      <c r="B848" s="134"/>
      <c r="C848" s="134"/>
      <c r="D848" s="135"/>
      <c r="J848" s="17"/>
    </row>
    <row r="849">
      <c r="A849" s="135"/>
      <c r="B849" s="134"/>
      <c r="C849" s="134"/>
      <c r="D849" s="135"/>
      <c r="J849" s="17"/>
    </row>
    <row r="850">
      <c r="A850" s="135"/>
      <c r="B850" s="134"/>
      <c r="C850" s="134"/>
      <c r="D850" s="135"/>
      <c r="J850" s="17"/>
    </row>
    <row r="851">
      <c r="A851" s="135"/>
      <c r="B851" s="134"/>
      <c r="C851" s="134"/>
      <c r="D851" s="135"/>
      <c r="J851" s="17"/>
    </row>
    <row r="852">
      <c r="A852" s="135"/>
      <c r="B852" s="134"/>
      <c r="C852" s="134"/>
      <c r="D852" s="135"/>
      <c r="J852" s="17"/>
    </row>
    <row r="853">
      <c r="A853" s="135"/>
      <c r="B853" s="134"/>
      <c r="C853" s="134"/>
      <c r="D853" s="135"/>
      <c r="J853" s="17"/>
    </row>
    <row r="854">
      <c r="A854" s="135"/>
      <c r="B854" s="134"/>
      <c r="C854" s="134"/>
      <c r="D854" s="135"/>
      <c r="J854" s="17"/>
    </row>
    <row r="855">
      <c r="A855" s="135"/>
      <c r="B855" s="134"/>
      <c r="C855" s="134"/>
      <c r="D855" s="135"/>
      <c r="J855" s="17"/>
    </row>
    <row r="856">
      <c r="A856" s="135"/>
      <c r="B856" s="134"/>
      <c r="C856" s="134"/>
      <c r="D856" s="135"/>
      <c r="J856" s="17"/>
    </row>
    <row r="857">
      <c r="A857" s="135"/>
      <c r="B857" s="134"/>
      <c r="C857" s="134"/>
      <c r="D857" s="135"/>
      <c r="J857" s="17"/>
    </row>
    <row r="858">
      <c r="A858" s="135"/>
      <c r="B858" s="134"/>
      <c r="C858" s="134"/>
      <c r="D858" s="135"/>
      <c r="J858" s="17"/>
    </row>
    <row r="859">
      <c r="A859" s="135"/>
      <c r="B859" s="134"/>
      <c r="C859" s="134"/>
      <c r="D859" s="135"/>
      <c r="J859" s="17"/>
    </row>
    <row r="860">
      <c r="A860" s="135"/>
      <c r="B860" s="134"/>
      <c r="C860" s="134"/>
      <c r="D860" s="135"/>
      <c r="J860" s="17"/>
    </row>
    <row r="861">
      <c r="A861" s="135"/>
      <c r="B861" s="134"/>
      <c r="C861" s="134"/>
      <c r="D861" s="135"/>
      <c r="J861" s="17"/>
    </row>
    <row r="862">
      <c r="A862" s="135"/>
      <c r="B862" s="134"/>
      <c r="C862" s="134"/>
      <c r="D862" s="135"/>
      <c r="J862" s="17"/>
    </row>
    <row r="863">
      <c r="A863" s="135"/>
      <c r="B863" s="134"/>
      <c r="C863" s="134"/>
      <c r="D863" s="135"/>
      <c r="J863" s="17"/>
    </row>
    <row r="864">
      <c r="A864" s="135"/>
      <c r="B864" s="134"/>
      <c r="C864" s="134"/>
      <c r="D864" s="135"/>
      <c r="J864" s="17"/>
    </row>
    <row r="865">
      <c r="A865" s="135"/>
      <c r="B865" s="134"/>
      <c r="C865" s="134"/>
      <c r="D865" s="135"/>
      <c r="J865" s="17"/>
    </row>
    <row r="866">
      <c r="A866" s="135"/>
      <c r="B866" s="134"/>
      <c r="C866" s="134"/>
      <c r="D866" s="135"/>
      <c r="J866" s="17"/>
    </row>
    <row r="867">
      <c r="A867" s="135"/>
      <c r="B867" s="134"/>
      <c r="C867" s="134"/>
      <c r="D867" s="135"/>
      <c r="J867" s="17"/>
    </row>
    <row r="868">
      <c r="A868" s="135"/>
      <c r="B868" s="134"/>
      <c r="C868" s="134"/>
      <c r="D868" s="135"/>
      <c r="J868" s="17"/>
    </row>
    <row r="869">
      <c r="A869" s="135"/>
      <c r="B869" s="134"/>
      <c r="C869" s="134"/>
      <c r="D869" s="135"/>
      <c r="J869" s="17"/>
    </row>
    <row r="870">
      <c r="A870" s="135"/>
      <c r="B870" s="134"/>
      <c r="C870" s="134"/>
      <c r="D870" s="135"/>
      <c r="J870" s="17"/>
    </row>
    <row r="871">
      <c r="A871" s="135"/>
      <c r="B871" s="134"/>
      <c r="C871" s="134"/>
      <c r="D871" s="135"/>
      <c r="J871" s="17"/>
    </row>
    <row r="872">
      <c r="A872" s="135"/>
      <c r="B872" s="134"/>
      <c r="C872" s="134"/>
      <c r="D872" s="135"/>
      <c r="J872" s="17"/>
    </row>
    <row r="873">
      <c r="A873" s="135"/>
      <c r="B873" s="134"/>
      <c r="C873" s="134"/>
      <c r="D873" s="135"/>
      <c r="J873" s="17"/>
    </row>
    <row r="874">
      <c r="A874" s="135"/>
      <c r="B874" s="134"/>
      <c r="C874" s="134"/>
      <c r="D874" s="135"/>
      <c r="J874" s="17"/>
    </row>
    <row r="875">
      <c r="A875" s="135"/>
      <c r="B875" s="134"/>
      <c r="C875" s="134"/>
      <c r="D875" s="135"/>
      <c r="J875" s="17"/>
    </row>
    <row r="876">
      <c r="A876" s="135"/>
      <c r="B876" s="134"/>
      <c r="C876" s="134"/>
      <c r="D876" s="135"/>
      <c r="J876" s="17"/>
    </row>
    <row r="877">
      <c r="A877" s="135"/>
      <c r="B877" s="134"/>
      <c r="C877" s="134"/>
      <c r="D877" s="135"/>
      <c r="J877" s="17"/>
    </row>
    <row r="878">
      <c r="A878" s="135"/>
      <c r="B878" s="134"/>
      <c r="C878" s="134"/>
      <c r="D878" s="135"/>
      <c r="J878" s="17"/>
    </row>
    <row r="879">
      <c r="A879" s="135"/>
      <c r="B879" s="134"/>
      <c r="C879" s="134"/>
      <c r="D879" s="135"/>
      <c r="J879" s="17"/>
    </row>
    <row r="880">
      <c r="A880" s="135"/>
      <c r="B880" s="134"/>
      <c r="C880" s="134"/>
      <c r="D880" s="135"/>
      <c r="J880" s="17"/>
    </row>
    <row r="881">
      <c r="A881" s="135"/>
      <c r="B881" s="134"/>
      <c r="C881" s="134"/>
      <c r="D881" s="135"/>
      <c r="J881" s="17"/>
    </row>
    <row r="882">
      <c r="A882" s="135"/>
      <c r="B882" s="134"/>
      <c r="C882" s="134"/>
      <c r="D882" s="135"/>
      <c r="J882" s="17"/>
    </row>
    <row r="883">
      <c r="J883" s="1"/>
    </row>
    <row r="884">
      <c r="J884" s="17"/>
    </row>
    <row r="885">
      <c r="J885" s="17"/>
    </row>
    <row r="886">
      <c r="J886" s="17"/>
    </row>
    <row r="887">
      <c r="J887" s="17"/>
    </row>
    <row r="888">
      <c r="J888" s="17"/>
    </row>
    <row r="889">
      <c r="J889" s="17"/>
    </row>
    <row r="890">
      <c r="J890" s="17"/>
    </row>
    <row r="891">
      <c r="J891" s="17"/>
    </row>
    <row r="892">
      <c r="J892" s="17"/>
    </row>
    <row r="893">
      <c r="A893" s="96"/>
      <c r="J893" s="17"/>
    </row>
    <row r="894">
      <c r="A894" s="96"/>
      <c r="D894" s="96"/>
      <c r="J894" s="17"/>
    </row>
    <row r="895">
      <c r="A895" s="96"/>
      <c r="D895" s="96"/>
      <c r="J895" s="17"/>
    </row>
    <row r="896">
      <c r="A896" s="96"/>
      <c r="D896" s="96"/>
      <c r="J896" s="17"/>
    </row>
    <row r="897">
      <c r="A897" s="96"/>
      <c r="D897" s="96"/>
      <c r="J897" s="17"/>
    </row>
    <row r="898">
      <c r="A898" s="96"/>
      <c r="D898" s="96"/>
      <c r="J898" s="17"/>
    </row>
    <row r="899">
      <c r="A899" s="133"/>
      <c r="B899" s="134"/>
      <c r="C899" s="134"/>
      <c r="D899" s="133"/>
      <c r="J899" s="17"/>
    </row>
    <row r="900">
      <c r="A900" s="133"/>
      <c r="B900" s="134"/>
      <c r="C900" s="134"/>
      <c r="D900" s="133"/>
      <c r="J900" s="17"/>
    </row>
    <row r="901">
      <c r="A901" s="133"/>
      <c r="B901" s="134"/>
      <c r="C901" s="134"/>
      <c r="D901" s="133"/>
      <c r="J901" s="17"/>
    </row>
    <row r="902">
      <c r="A902" s="133"/>
      <c r="B902" s="134"/>
      <c r="C902" s="134"/>
      <c r="D902" s="133"/>
      <c r="J902" s="17"/>
    </row>
    <row r="903">
      <c r="A903" s="133"/>
      <c r="B903" s="134"/>
      <c r="C903" s="134"/>
      <c r="D903" s="133"/>
      <c r="J903" s="17"/>
    </row>
    <row r="904">
      <c r="A904" s="135"/>
      <c r="B904" s="134"/>
      <c r="C904" s="134"/>
      <c r="D904" s="135"/>
      <c r="J904" s="17"/>
    </row>
    <row r="905">
      <c r="A905" s="135"/>
      <c r="B905" s="134"/>
      <c r="C905" s="134"/>
      <c r="D905" s="135"/>
      <c r="J905" s="17"/>
    </row>
    <row r="906">
      <c r="A906" s="135"/>
      <c r="B906" s="134"/>
      <c r="C906" s="134"/>
      <c r="D906" s="135"/>
      <c r="J906" s="17"/>
    </row>
    <row r="907">
      <c r="A907" s="135"/>
      <c r="B907" s="134"/>
      <c r="C907" s="134"/>
      <c r="D907" s="135"/>
      <c r="J907" s="17"/>
    </row>
    <row r="908">
      <c r="A908" s="135"/>
      <c r="B908" s="134"/>
      <c r="C908" s="134"/>
      <c r="D908" s="135"/>
      <c r="J908" s="17"/>
    </row>
    <row r="909">
      <c r="A909" s="135"/>
      <c r="B909" s="134"/>
      <c r="C909" s="134"/>
      <c r="D909" s="135"/>
      <c r="J909" s="17"/>
    </row>
    <row r="910">
      <c r="A910" s="135"/>
      <c r="B910" s="134"/>
      <c r="C910" s="134"/>
      <c r="D910" s="135"/>
      <c r="J910" s="17"/>
    </row>
    <row r="911">
      <c r="A911" s="135"/>
      <c r="B911" s="134"/>
      <c r="C911" s="134"/>
      <c r="D911" s="135"/>
      <c r="J911" s="17"/>
    </row>
    <row r="912">
      <c r="A912" s="135"/>
      <c r="B912" s="134"/>
      <c r="C912" s="134"/>
      <c r="D912" s="135"/>
      <c r="J912" s="17"/>
    </row>
    <row r="913">
      <c r="A913" s="135"/>
      <c r="B913" s="134"/>
      <c r="C913" s="134"/>
      <c r="D913" s="135"/>
      <c r="J913" s="17"/>
    </row>
    <row r="914">
      <c r="A914" s="135"/>
      <c r="B914" s="134"/>
      <c r="C914" s="134"/>
      <c r="D914" s="135"/>
      <c r="J914" s="17"/>
    </row>
    <row r="915">
      <c r="A915" s="135"/>
      <c r="B915" s="134"/>
      <c r="C915" s="134"/>
      <c r="D915" s="135"/>
      <c r="J915" s="17"/>
    </row>
    <row r="916">
      <c r="A916" s="135"/>
      <c r="B916" s="134"/>
      <c r="C916" s="134"/>
      <c r="D916" s="135"/>
      <c r="J916" s="17"/>
    </row>
    <row r="917">
      <c r="A917" s="135"/>
      <c r="B917" s="134"/>
      <c r="C917" s="134"/>
      <c r="D917" s="135"/>
      <c r="J917" s="17"/>
    </row>
    <row r="918">
      <c r="A918" s="135"/>
      <c r="B918" s="134"/>
      <c r="C918" s="134"/>
      <c r="D918" s="135"/>
      <c r="J918" s="17"/>
    </row>
    <row r="919">
      <c r="A919" s="135"/>
      <c r="B919" s="134"/>
      <c r="C919" s="134"/>
      <c r="D919" s="135"/>
      <c r="J919" s="17"/>
    </row>
    <row r="920">
      <c r="A920" s="135"/>
      <c r="B920" s="134"/>
      <c r="C920" s="134"/>
      <c r="D920" s="135"/>
      <c r="J920" s="17"/>
    </row>
    <row r="921">
      <c r="A921" s="135"/>
      <c r="B921" s="134"/>
      <c r="C921" s="134"/>
      <c r="D921" s="135"/>
      <c r="J921" s="17"/>
    </row>
    <row r="922">
      <c r="A922" s="135"/>
      <c r="B922" s="134"/>
      <c r="C922" s="134"/>
      <c r="D922" s="135"/>
      <c r="J922" s="17"/>
    </row>
    <row r="923">
      <c r="A923" s="135"/>
      <c r="B923" s="134"/>
      <c r="C923" s="134"/>
      <c r="D923" s="135"/>
      <c r="J923" s="17"/>
    </row>
    <row r="924">
      <c r="A924" s="135"/>
      <c r="B924" s="134"/>
      <c r="C924" s="134"/>
      <c r="D924" s="135"/>
      <c r="J924" s="17"/>
    </row>
    <row r="925">
      <c r="A925" s="135"/>
      <c r="B925" s="134"/>
      <c r="C925" s="134"/>
      <c r="D925" s="135"/>
      <c r="J925" s="17"/>
    </row>
    <row r="926">
      <c r="A926" s="135"/>
      <c r="B926" s="134"/>
      <c r="C926" s="134"/>
      <c r="D926" s="135"/>
      <c r="J926" s="17"/>
    </row>
    <row r="927">
      <c r="A927" s="135"/>
      <c r="B927" s="134"/>
      <c r="C927" s="134"/>
      <c r="D927" s="135"/>
      <c r="J927" s="17"/>
    </row>
    <row r="928">
      <c r="A928" s="135"/>
      <c r="B928" s="134"/>
      <c r="C928" s="134"/>
      <c r="D928" s="135"/>
      <c r="J928" s="17"/>
    </row>
    <row r="929">
      <c r="A929" s="135"/>
      <c r="B929" s="134"/>
      <c r="C929" s="134"/>
      <c r="D929" s="135"/>
      <c r="J929" s="17"/>
    </row>
    <row r="930">
      <c r="A930" s="135"/>
      <c r="B930" s="134"/>
      <c r="C930" s="134"/>
      <c r="D930" s="135"/>
      <c r="J930" s="17"/>
    </row>
    <row r="931">
      <c r="A931" s="135"/>
      <c r="B931" s="134"/>
      <c r="C931" s="134"/>
      <c r="D931" s="135"/>
      <c r="J931" s="17"/>
    </row>
    <row r="932">
      <c r="A932" s="135"/>
      <c r="B932" s="134"/>
      <c r="C932" s="134"/>
      <c r="D932" s="135"/>
      <c r="J932" s="17"/>
    </row>
    <row r="933">
      <c r="A933" s="135"/>
      <c r="B933" s="134"/>
      <c r="C933" s="134"/>
      <c r="D933" s="135"/>
      <c r="J933" s="17"/>
    </row>
    <row r="934">
      <c r="A934" s="135"/>
      <c r="B934" s="134"/>
      <c r="C934" s="134"/>
      <c r="D934" s="135"/>
      <c r="J934" s="17"/>
    </row>
    <row r="935">
      <c r="A935" s="135"/>
      <c r="B935" s="134"/>
      <c r="C935" s="134"/>
      <c r="D935" s="135"/>
      <c r="J935" s="17"/>
    </row>
    <row r="936">
      <c r="A936" s="135"/>
      <c r="B936" s="134"/>
      <c r="C936" s="134"/>
      <c r="D936" s="135"/>
      <c r="J936" s="17"/>
    </row>
    <row r="937">
      <c r="A937" s="135"/>
      <c r="B937" s="134"/>
      <c r="C937" s="134"/>
      <c r="D937" s="135"/>
      <c r="J937" s="17"/>
    </row>
    <row r="938">
      <c r="A938" s="135"/>
      <c r="B938" s="134"/>
      <c r="C938" s="134"/>
      <c r="D938" s="135"/>
      <c r="J938" s="17"/>
    </row>
    <row r="939">
      <c r="A939" s="135"/>
      <c r="B939" s="134"/>
      <c r="C939" s="134"/>
      <c r="D939" s="135"/>
      <c r="J939" s="17"/>
    </row>
    <row r="940">
      <c r="A940" s="135"/>
      <c r="B940" s="134"/>
      <c r="C940" s="134"/>
      <c r="D940" s="135"/>
      <c r="J940" s="17"/>
    </row>
    <row r="941">
      <c r="A941" s="135"/>
      <c r="B941" s="134"/>
      <c r="C941" s="134"/>
      <c r="D941" s="135"/>
      <c r="J941" s="17"/>
    </row>
    <row r="942">
      <c r="A942" s="135"/>
      <c r="B942" s="134"/>
      <c r="C942" s="134"/>
      <c r="D942" s="135"/>
      <c r="J942" s="17"/>
    </row>
    <row r="943">
      <c r="A943" s="135"/>
      <c r="B943" s="134"/>
      <c r="C943" s="134"/>
      <c r="D943" s="135"/>
      <c r="J943" s="17"/>
    </row>
    <row r="944">
      <c r="A944" s="135"/>
      <c r="B944" s="134"/>
      <c r="C944" s="134"/>
      <c r="D944" s="135"/>
      <c r="J944" s="17"/>
    </row>
    <row r="945">
      <c r="A945" s="135"/>
      <c r="B945" s="134"/>
      <c r="C945" s="134"/>
      <c r="D945" s="135"/>
      <c r="J945" s="17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2" max="2" width="33.86"/>
    <col customWidth="1" min="3" max="3" width="22.14"/>
    <col customWidth="1" min="9" max="9" width="20.0"/>
  </cols>
  <sheetData>
    <row r="1">
      <c r="A1" s="153" t="s">
        <v>665</v>
      </c>
      <c r="B1" s="153" t="s">
        <v>666</v>
      </c>
      <c r="C1" s="153" t="s">
        <v>667</v>
      </c>
      <c r="D1" s="153" t="s">
        <v>668</v>
      </c>
      <c r="E1" s="153" t="s">
        <v>669</v>
      </c>
      <c r="F1" s="153" t="s">
        <v>670</v>
      </c>
      <c r="G1" s="153" t="s">
        <v>671</v>
      </c>
      <c r="H1" s="153" t="s">
        <v>672</v>
      </c>
      <c r="I1" s="8" t="s">
        <v>682</v>
      </c>
      <c r="J1" s="8">
        <v>845.0</v>
      </c>
    </row>
    <row r="2">
      <c r="A2" s="8" t="s">
        <v>377</v>
      </c>
      <c r="B2" s="8" t="s">
        <v>683</v>
      </c>
      <c r="C2" s="8" t="s">
        <v>684</v>
      </c>
      <c r="D2" s="8" t="s">
        <v>376</v>
      </c>
      <c r="E2" s="8">
        <v>546612.1</v>
      </c>
      <c r="F2" s="8">
        <v>0.0</v>
      </c>
      <c r="G2" s="8">
        <v>544731.25</v>
      </c>
      <c r="H2" s="8">
        <f t="shared" ref="H2:H456" si="1">F2-E2+G2</f>
        <v>-1880.85</v>
      </c>
    </row>
    <row r="3">
      <c r="A3" s="8" t="s">
        <v>378</v>
      </c>
      <c r="B3" s="8" t="s">
        <v>683</v>
      </c>
      <c r="C3" s="8" t="s">
        <v>684</v>
      </c>
      <c r="D3" s="8" t="s">
        <v>377</v>
      </c>
      <c r="E3" s="8">
        <v>546612.1</v>
      </c>
      <c r="F3" s="8">
        <v>0.0</v>
      </c>
      <c r="G3" s="8">
        <v>583800.0</v>
      </c>
      <c r="H3" s="8">
        <f t="shared" si="1"/>
        <v>37187.9</v>
      </c>
    </row>
    <row r="4">
      <c r="A4" s="8" t="s">
        <v>380</v>
      </c>
      <c r="B4" s="8" t="s">
        <v>683</v>
      </c>
      <c r="C4" s="8" t="s">
        <v>684</v>
      </c>
      <c r="D4" s="8" t="s">
        <v>378</v>
      </c>
      <c r="E4" s="8">
        <v>546612.1</v>
      </c>
      <c r="F4" s="8">
        <v>0.0</v>
      </c>
      <c r="G4" s="8">
        <v>580518.75</v>
      </c>
      <c r="H4" s="8">
        <f t="shared" si="1"/>
        <v>33906.65</v>
      </c>
    </row>
    <row r="5">
      <c r="A5" s="8" t="s">
        <v>381</v>
      </c>
      <c r="B5" s="8" t="s">
        <v>683</v>
      </c>
      <c r="C5" s="8" t="s">
        <v>684</v>
      </c>
      <c r="D5" s="8" t="s">
        <v>380</v>
      </c>
      <c r="E5" s="8">
        <v>546612.1</v>
      </c>
      <c r="F5" s="8">
        <v>0.0</v>
      </c>
      <c r="G5" s="8">
        <v>640981.25</v>
      </c>
      <c r="H5" s="8">
        <f t="shared" si="1"/>
        <v>94369.15</v>
      </c>
    </row>
    <row r="6">
      <c r="A6" s="8" t="s">
        <v>382</v>
      </c>
      <c r="B6" s="8" t="s">
        <v>683</v>
      </c>
      <c r="C6" s="8" t="s">
        <v>684</v>
      </c>
      <c r="D6" s="8" t="s">
        <v>381</v>
      </c>
      <c r="E6" s="8">
        <v>546612.1</v>
      </c>
      <c r="F6" s="8">
        <v>0.0</v>
      </c>
      <c r="G6" s="8">
        <v>478756.25</v>
      </c>
      <c r="H6" s="8">
        <f t="shared" si="1"/>
        <v>-67855.85</v>
      </c>
    </row>
    <row r="7">
      <c r="A7" s="8" t="s">
        <v>383</v>
      </c>
      <c r="B7" s="8" t="s">
        <v>683</v>
      </c>
      <c r="C7" s="8" t="s">
        <v>684</v>
      </c>
      <c r="D7" s="8" t="s">
        <v>382</v>
      </c>
      <c r="E7" s="8">
        <v>546612.1</v>
      </c>
      <c r="F7" s="8">
        <v>0.0</v>
      </c>
      <c r="G7" s="8">
        <v>371525.0</v>
      </c>
      <c r="H7" s="8">
        <f t="shared" si="1"/>
        <v>-175087.1</v>
      </c>
    </row>
    <row r="8">
      <c r="A8" s="8" t="s">
        <v>384</v>
      </c>
      <c r="B8" s="8" t="s">
        <v>683</v>
      </c>
      <c r="C8" s="8" t="s">
        <v>684</v>
      </c>
      <c r="D8" s="8" t="s">
        <v>383</v>
      </c>
      <c r="E8" s="8">
        <v>546612.1</v>
      </c>
      <c r="F8" s="8">
        <v>0.0</v>
      </c>
      <c r="G8" s="8">
        <v>378656.25</v>
      </c>
      <c r="H8" s="8">
        <f t="shared" si="1"/>
        <v>-167955.85</v>
      </c>
    </row>
    <row r="9">
      <c r="A9" s="8" t="s">
        <v>385</v>
      </c>
      <c r="B9" s="8" t="s">
        <v>683</v>
      </c>
      <c r="C9" s="8" t="s">
        <v>684</v>
      </c>
      <c r="D9" s="8" t="s">
        <v>384</v>
      </c>
      <c r="E9" s="8">
        <v>546612.1</v>
      </c>
      <c r="F9" s="8">
        <v>0.0</v>
      </c>
      <c r="G9" s="8">
        <v>341381.25</v>
      </c>
      <c r="H9" s="8">
        <f t="shared" si="1"/>
        <v>-205230.85</v>
      </c>
    </row>
    <row r="10">
      <c r="A10" s="8" t="s">
        <v>387</v>
      </c>
      <c r="B10" s="8" t="s">
        <v>683</v>
      </c>
      <c r="C10" s="8" t="s">
        <v>684</v>
      </c>
      <c r="D10" s="8" t="s">
        <v>385</v>
      </c>
      <c r="E10" s="8">
        <v>546612.1</v>
      </c>
      <c r="F10" s="8">
        <v>0.0</v>
      </c>
      <c r="G10" s="8">
        <v>442443.75</v>
      </c>
      <c r="H10" s="8">
        <f t="shared" si="1"/>
        <v>-104168.35</v>
      </c>
    </row>
    <row r="11">
      <c r="A11" s="96">
        <v>45334.0</v>
      </c>
      <c r="B11" s="8" t="s">
        <v>683</v>
      </c>
      <c r="C11" s="8" t="s">
        <v>684</v>
      </c>
      <c r="D11" s="8" t="s">
        <v>387</v>
      </c>
      <c r="E11" s="8">
        <v>546612.1</v>
      </c>
      <c r="F11" s="8">
        <v>0.0</v>
      </c>
      <c r="G11" s="8">
        <v>381237.5</v>
      </c>
      <c r="H11" s="8">
        <f t="shared" si="1"/>
        <v>-165374.6</v>
      </c>
    </row>
    <row r="12">
      <c r="A12" s="96">
        <v>45363.0</v>
      </c>
      <c r="B12" s="8" t="s">
        <v>683</v>
      </c>
      <c r="C12" s="8" t="s">
        <v>684</v>
      </c>
      <c r="D12" s="96">
        <v>45334.0</v>
      </c>
      <c r="E12" s="8">
        <v>546612.1</v>
      </c>
      <c r="F12" s="8">
        <v>0.0</v>
      </c>
      <c r="G12" s="8">
        <v>359231.25</v>
      </c>
      <c r="H12" s="8">
        <f t="shared" si="1"/>
        <v>-187380.85</v>
      </c>
    </row>
    <row r="13">
      <c r="A13" s="96">
        <v>45394.0</v>
      </c>
      <c r="B13" s="8" t="s">
        <v>683</v>
      </c>
      <c r="C13" s="8" t="s">
        <v>684</v>
      </c>
      <c r="D13" s="96">
        <v>45363.0</v>
      </c>
      <c r="E13" s="8">
        <v>546612.1</v>
      </c>
      <c r="F13" s="8">
        <v>0.0</v>
      </c>
      <c r="G13" s="8">
        <v>323312.5</v>
      </c>
      <c r="H13" s="8">
        <f t="shared" si="1"/>
        <v>-223299.6</v>
      </c>
    </row>
    <row r="14">
      <c r="A14" s="96">
        <v>45424.0</v>
      </c>
      <c r="B14" s="8" t="s">
        <v>683</v>
      </c>
      <c r="C14" s="8" t="s">
        <v>684</v>
      </c>
      <c r="D14" s="96">
        <v>45394.0</v>
      </c>
      <c r="E14" s="8">
        <v>546612.1</v>
      </c>
      <c r="F14" s="8">
        <v>0.0</v>
      </c>
      <c r="G14" s="8">
        <v>307300.0</v>
      </c>
      <c r="H14" s="8">
        <f t="shared" si="1"/>
        <v>-239312.1</v>
      </c>
    </row>
    <row r="15">
      <c r="A15" s="96">
        <v>45455.0</v>
      </c>
      <c r="B15" s="8" t="s">
        <v>683</v>
      </c>
      <c r="C15" s="8" t="s">
        <v>684</v>
      </c>
      <c r="D15" s="96">
        <v>45424.0</v>
      </c>
      <c r="E15" s="8">
        <v>546612.1</v>
      </c>
      <c r="F15" s="8">
        <v>0.0</v>
      </c>
      <c r="G15" s="8">
        <v>273918.75</v>
      </c>
      <c r="H15" s="8">
        <f t="shared" si="1"/>
        <v>-272693.35</v>
      </c>
    </row>
    <row r="16">
      <c r="A16" s="96">
        <v>45547.0</v>
      </c>
      <c r="B16" s="8" t="s">
        <v>683</v>
      </c>
      <c r="C16" s="8" t="s">
        <v>684</v>
      </c>
      <c r="D16" s="96">
        <v>45455.0</v>
      </c>
      <c r="E16" s="8">
        <v>546612.1</v>
      </c>
      <c r="F16" s="8">
        <v>0.0</v>
      </c>
      <c r="G16" s="8">
        <v>271918.25</v>
      </c>
      <c r="H16" s="8">
        <f t="shared" si="1"/>
        <v>-274693.85</v>
      </c>
    </row>
    <row r="17">
      <c r="A17" s="133">
        <v>45636.0</v>
      </c>
      <c r="B17" s="45" t="s">
        <v>683</v>
      </c>
      <c r="C17" s="45" t="s">
        <v>684</v>
      </c>
      <c r="D17" s="133">
        <v>45635.0</v>
      </c>
      <c r="E17" s="109">
        <v>546612.1</v>
      </c>
      <c r="F17" s="109">
        <v>0.0</v>
      </c>
      <c r="G17" s="137">
        <v>287393.75</v>
      </c>
      <c r="H17" s="109">
        <f t="shared" si="1"/>
        <v>-259218.35</v>
      </c>
    </row>
    <row r="18">
      <c r="A18" s="133">
        <v>45637.0</v>
      </c>
      <c r="B18" s="45" t="s">
        <v>683</v>
      </c>
      <c r="C18" s="45" t="s">
        <v>684</v>
      </c>
      <c r="D18" s="133">
        <v>45636.0</v>
      </c>
      <c r="E18" s="109">
        <v>546612.1</v>
      </c>
      <c r="F18" s="109">
        <v>0.0</v>
      </c>
      <c r="G18" s="137">
        <v>276325.0</v>
      </c>
      <c r="H18" s="109">
        <f t="shared" si="1"/>
        <v>-270287.1</v>
      </c>
    </row>
    <row r="19">
      <c r="A19" s="133">
        <v>45638.0</v>
      </c>
      <c r="B19" s="45" t="s">
        <v>683</v>
      </c>
      <c r="C19" s="45" t="s">
        <v>684</v>
      </c>
      <c r="D19" s="133">
        <v>45637.0</v>
      </c>
      <c r="E19" s="109">
        <v>546612.1</v>
      </c>
      <c r="F19" s="109">
        <v>0.0</v>
      </c>
      <c r="G19" s="137">
        <v>262325.0</v>
      </c>
      <c r="H19" s="109">
        <f t="shared" si="1"/>
        <v>-284287.1</v>
      </c>
    </row>
    <row r="20">
      <c r="A20" s="133">
        <v>45639.0</v>
      </c>
      <c r="B20" s="45" t="s">
        <v>683</v>
      </c>
      <c r="C20" s="45" t="s">
        <v>684</v>
      </c>
      <c r="D20" s="133">
        <v>45638.0</v>
      </c>
      <c r="E20" s="109">
        <v>546612.1</v>
      </c>
      <c r="F20" s="109">
        <v>0.0</v>
      </c>
      <c r="G20" s="137">
        <v>271381.25</v>
      </c>
      <c r="H20" s="109">
        <f t="shared" si="1"/>
        <v>-275230.85</v>
      </c>
    </row>
    <row r="21">
      <c r="A21" s="133">
        <v>45642.0</v>
      </c>
      <c r="B21" s="45" t="s">
        <v>683</v>
      </c>
      <c r="C21" s="45" t="s">
        <v>684</v>
      </c>
      <c r="D21" s="133">
        <v>45639.0</v>
      </c>
      <c r="E21" s="109">
        <v>546612.1</v>
      </c>
      <c r="F21" s="109">
        <v>0.0</v>
      </c>
      <c r="G21" s="137">
        <v>238481.25</v>
      </c>
      <c r="H21" s="109">
        <f t="shared" si="1"/>
        <v>-308130.85</v>
      </c>
    </row>
    <row r="22">
      <c r="A22" s="135">
        <v>45643.0</v>
      </c>
      <c r="B22" s="45" t="s">
        <v>683</v>
      </c>
      <c r="C22" s="45" t="s">
        <v>684</v>
      </c>
      <c r="D22" s="135">
        <v>45642.0</v>
      </c>
      <c r="E22" s="109">
        <v>546612.1</v>
      </c>
      <c r="F22" s="109">
        <v>0.0</v>
      </c>
      <c r="G22" s="137">
        <v>258868.75</v>
      </c>
      <c r="H22" s="109">
        <f t="shared" si="1"/>
        <v>-287743.35</v>
      </c>
    </row>
    <row r="23">
      <c r="A23" s="135">
        <v>45644.0</v>
      </c>
      <c r="B23" s="45" t="s">
        <v>683</v>
      </c>
      <c r="C23" s="45" t="s">
        <v>684</v>
      </c>
      <c r="D23" s="135">
        <v>45643.0</v>
      </c>
      <c r="E23" s="109">
        <v>546612.1</v>
      </c>
      <c r="F23" s="109">
        <v>0.0</v>
      </c>
      <c r="G23" s="137">
        <v>322043.75</v>
      </c>
      <c r="H23" s="109">
        <f t="shared" si="1"/>
        <v>-224568.35</v>
      </c>
    </row>
    <row r="24">
      <c r="A24" s="135">
        <v>45645.0</v>
      </c>
      <c r="B24" s="45" t="s">
        <v>683</v>
      </c>
      <c r="C24" s="45" t="s">
        <v>684</v>
      </c>
      <c r="D24" s="135">
        <v>45644.0</v>
      </c>
      <c r="E24" s="109">
        <v>546612.1</v>
      </c>
      <c r="F24" s="109">
        <v>0.0</v>
      </c>
      <c r="G24" s="137">
        <v>353893.75</v>
      </c>
      <c r="H24" s="109">
        <f t="shared" si="1"/>
        <v>-192718.35</v>
      </c>
    </row>
    <row r="25">
      <c r="A25" s="135">
        <v>45646.0</v>
      </c>
      <c r="B25" s="45" t="s">
        <v>683</v>
      </c>
      <c r="C25" s="45" t="s">
        <v>684</v>
      </c>
      <c r="D25" s="135">
        <v>45645.0</v>
      </c>
      <c r="E25" s="109">
        <v>546612.1</v>
      </c>
      <c r="F25" s="109">
        <v>0.0</v>
      </c>
      <c r="G25" s="137">
        <v>416587.5</v>
      </c>
      <c r="H25" s="109">
        <f t="shared" si="1"/>
        <v>-130024.6</v>
      </c>
    </row>
    <row r="26">
      <c r="A26" s="135">
        <v>45649.0</v>
      </c>
      <c r="B26" s="45" t="s">
        <v>683</v>
      </c>
      <c r="C26" s="45" t="s">
        <v>684</v>
      </c>
      <c r="D26" s="135">
        <v>45646.0</v>
      </c>
      <c r="E26" s="109">
        <v>546612.1</v>
      </c>
      <c r="F26" s="109">
        <v>0.0</v>
      </c>
      <c r="G26" s="137">
        <v>559606.25</v>
      </c>
      <c r="H26" s="109">
        <f t="shared" si="1"/>
        <v>12994.15</v>
      </c>
    </row>
    <row r="27">
      <c r="A27" s="135">
        <v>45650.0</v>
      </c>
      <c r="B27" s="45" t="s">
        <v>683</v>
      </c>
      <c r="C27" s="45" t="s">
        <v>684</v>
      </c>
      <c r="D27" s="135">
        <v>45649.0</v>
      </c>
      <c r="E27" s="109">
        <v>546612.1</v>
      </c>
      <c r="F27" s="109">
        <v>0.0</v>
      </c>
      <c r="G27" s="137">
        <v>486018.75</v>
      </c>
      <c r="H27" s="109">
        <f t="shared" si="1"/>
        <v>-60593.35</v>
      </c>
    </row>
    <row r="28">
      <c r="A28" s="135">
        <v>45652.0</v>
      </c>
      <c r="B28" s="45" t="s">
        <v>683</v>
      </c>
      <c r="C28" s="45" t="s">
        <v>684</v>
      </c>
      <c r="D28" s="135">
        <v>45650.0</v>
      </c>
      <c r="E28" s="109">
        <v>546612.1</v>
      </c>
      <c r="F28" s="109">
        <v>0.0</v>
      </c>
      <c r="G28" s="137">
        <v>502075.0</v>
      </c>
      <c r="H28" s="109">
        <f t="shared" si="1"/>
        <v>-44537.1</v>
      </c>
    </row>
    <row r="29">
      <c r="A29" s="135">
        <v>45653.0</v>
      </c>
      <c r="B29" s="45" t="s">
        <v>683</v>
      </c>
      <c r="C29" s="45" t="s">
        <v>684</v>
      </c>
      <c r="D29" s="135">
        <v>45652.0</v>
      </c>
      <c r="E29" s="109">
        <v>546612.1</v>
      </c>
      <c r="F29" s="109">
        <v>0.0</v>
      </c>
      <c r="G29" s="137">
        <v>479543.75</v>
      </c>
      <c r="H29" s="109">
        <f t="shared" si="1"/>
        <v>-67068.35</v>
      </c>
    </row>
    <row r="30">
      <c r="A30" s="135">
        <v>45656.0</v>
      </c>
      <c r="B30" s="45" t="s">
        <v>683</v>
      </c>
      <c r="C30" s="45" t="s">
        <v>684</v>
      </c>
      <c r="D30" s="135">
        <v>45653.0</v>
      </c>
      <c r="E30" s="109">
        <v>546612.1</v>
      </c>
      <c r="F30" s="109">
        <v>0.0</v>
      </c>
      <c r="G30" s="137">
        <v>437281.25</v>
      </c>
      <c r="H30" s="109">
        <f t="shared" si="1"/>
        <v>-109330.85</v>
      </c>
    </row>
    <row r="31">
      <c r="A31" s="135">
        <v>45657.0</v>
      </c>
      <c r="B31" s="45" t="s">
        <v>683</v>
      </c>
      <c r="C31" s="45" t="s">
        <v>684</v>
      </c>
      <c r="D31" s="135">
        <v>45656.0</v>
      </c>
      <c r="E31" s="109">
        <v>546612.1</v>
      </c>
      <c r="F31" s="109">
        <v>0.0</v>
      </c>
      <c r="G31" s="137">
        <v>490218.75</v>
      </c>
      <c r="H31" s="109">
        <f t="shared" si="1"/>
        <v>-56393.35</v>
      </c>
    </row>
    <row r="32">
      <c r="A32" s="135">
        <v>45658.0</v>
      </c>
      <c r="B32" s="45" t="s">
        <v>683</v>
      </c>
      <c r="C32" s="45" t="s">
        <v>684</v>
      </c>
      <c r="D32" s="135">
        <v>46022.0</v>
      </c>
      <c r="E32" s="109">
        <v>546612.1</v>
      </c>
      <c r="F32" s="109">
        <v>0.0</v>
      </c>
      <c r="G32" s="137">
        <v>503693.75</v>
      </c>
      <c r="H32" s="109">
        <f t="shared" si="1"/>
        <v>-42918.35</v>
      </c>
    </row>
    <row r="33">
      <c r="A33" s="135">
        <v>45659.0</v>
      </c>
      <c r="B33" s="45" t="s">
        <v>683</v>
      </c>
      <c r="C33" s="45" t="s">
        <v>684</v>
      </c>
      <c r="D33" s="135">
        <v>45658.0</v>
      </c>
      <c r="E33" s="109">
        <v>546612.1</v>
      </c>
      <c r="F33" s="109">
        <v>0.0</v>
      </c>
      <c r="G33" s="137">
        <v>475562.5</v>
      </c>
      <c r="H33" s="109">
        <f t="shared" si="1"/>
        <v>-71049.6</v>
      </c>
    </row>
    <row r="34">
      <c r="A34" s="135">
        <v>45660.0</v>
      </c>
      <c r="B34" s="45" t="s">
        <v>683</v>
      </c>
      <c r="C34" s="45" t="s">
        <v>684</v>
      </c>
      <c r="D34" s="135">
        <v>45659.0</v>
      </c>
      <c r="E34" s="109">
        <v>546612.1</v>
      </c>
      <c r="F34" s="109">
        <v>0.0</v>
      </c>
      <c r="G34" s="137">
        <v>349606.25</v>
      </c>
      <c r="H34" s="109">
        <f t="shared" si="1"/>
        <v>-197005.85</v>
      </c>
    </row>
    <row r="35">
      <c r="A35" s="135">
        <v>45663.0</v>
      </c>
      <c r="B35" s="45" t="s">
        <v>683</v>
      </c>
      <c r="C35" s="45" t="s">
        <v>684</v>
      </c>
      <c r="D35" s="135">
        <v>45660.0</v>
      </c>
      <c r="E35" s="109">
        <v>546612.1</v>
      </c>
      <c r="F35" s="109">
        <v>0.0</v>
      </c>
      <c r="G35" s="137">
        <v>389156.25</v>
      </c>
      <c r="H35" s="109">
        <f t="shared" si="1"/>
        <v>-157455.85</v>
      </c>
    </row>
    <row r="36">
      <c r="A36" s="135">
        <v>45664.0</v>
      </c>
      <c r="B36" s="45" t="s">
        <v>683</v>
      </c>
      <c r="C36" s="45" t="s">
        <v>684</v>
      </c>
      <c r="D36" s="135">
        <v>45663.0</v>
      </c>
      <c r="E36" s="109">
        <v>546612.1</v>
      </c>
      <c r="F36" s="109">
        <v>0.0</v>
      </c>
      <c r="G36" s="137">
        <v>542937.5</v>
      </c>
      <c r="H36" s="109">
        <f t="shared" si="1"/>
        <v>-3674.6</v>
      </c>
    </row>
    <row r="37">
      <c r="A37" s="135">
        <v>45665.0</v>
      </c>
      <c r="B37" s="45" t="s">
        <v>683</v>
      </c>
      <c r="C37" s="45" t="s">
        <v>684</v>
      </c>
      <c r="D37" s="135">
        <v>45664.0</v>
      </c>
      <c r="E37" s="109">
        <v>546612.1</v>
      </c>
      <c r="F37" s="109">
        <v>0.0</v>
      </c>
      <c r="G37" s="137">
        <v>505268.75</v>
      </c>
      <c r="H37" s="109">
        <f t="shared" si="1"/>
        <v>-41343.35</v>
      </c>
    </row>
    <row r="38">
      <c r="A38" s="135">
        <v>45666.0</v>
      </c>
      <c r="B38" s="45" t="s">
        <v>683</v>
      </c>
      <c r="C38" s="45" t="s">
        <v>684</v>
      </c>
      <c r="D38" s="135">
        <v>45665.0</v>
      </c>
      <c r="E38" s="109">
        <v>546612.1</v>
      </c>
      <c r="F38" s="109">
        <v>0.0</v>
      </c>
      <c r="G38" s="137">
        <v>497743.75</v>
      </c>
      <c r="H38" s="109">
        <f t="shared" si="1"/>
        <v>-48868.35</v>
      </c>
    </row>
    <row r="39">
      <c r="A39" s="135">
        <v>45667.0</v>
      </c>
      <c r="B39" s="45" t="s">
        <v>683</v>
      </c>
      <c r="C39" s="45" t="s">
        <v>684</v>
      </c>
      <c r="D39" s="135">
        <v>45666.0</v>
      </c>
      <c r="E39" s="109">
        <v>546612.1</v>
      </c>
      <c r="F39" s="109">
        <v>0.0</v>
      </c>
      <c r="G39" s="137">
        <v>556937.5</v>
      </c>
      <c r="H39" s="109">
        <f t="shared" si="1"/>
        <v>10325.4</v>
      </c>
    </row>
    <row r="40">
      <c r="A40" s="135">
        <v>45670.0</v>
      </c>
      <c r="B40" s="45" t="s">
        <v>683</v>
      </c>
      <c r="C40" s="45" t="s">
        <v>684</v>
      </c>
      <c r="D40" s="135">
        <v>45667.0</v>
      </c>
      <c r="E40" s="109">
        <v>546612.1</v>
      </c>
      <c r="F40" s="109">
        <v>0.0</v>
      </c>
      <c r="G40" s="137">
        <v>625668.75</v>
      </c>
      <c r="H40" s="109">
        <f t="shared" si="1"/>
        <v>79056.65</v>
      </c>
    </row>
    <row r="41">
      <c r="A41" s="135">
        <v>45671.0</v>
      </c>
      <c r="B41" s="45" t="s">
        <v>683</v>
      </c>
      <c r="C41" s="45" t="s">
        <v>684</v>
      </c>
      <c r="D41" s="135">
        <v>45670.0</v>
      </c>
      <c r="E41" s="109">
        <v>546612.1</v>
      </c>
      <c r="F41" s="109">
        <v>0.0</v>
      </c>
      <c r="G41" s="137">
        <v>805787.5</v>
      </c>
      <c r="H41" s="109">
        <f t="shared" si="1"/>
        <v>259175.4</v>
      </c>
    </row>
    <row r="42">
      <c r="A42" s="135">
        <v>45672.0</v>
      </c>
      <c r="B42" s="45" t="s">
        <v>683</v>
      </c>
      <c r="C42" s="45" t="s">
        <v>684</v>
      </c>
      <c r="D42" s="135">
        <v>45671.0</v>
      </c>
      <c r="E42" s="109">
        <v>546612.1</v>
      </c>
      <c r="F42" s="109">
        <v>0.0</v>
      </c>
      <c r="G42" s="137">
        <v>727650.0</v>
      </c>
      <c r="H42" s="109">
        <f t="shared" si="1"/>
        <v>181037.9</v>
      </c>
    </row>
    <row r="43">
      <c r="A43" s="135">
        <v>45673.0</v>
      </c>
      <c r="B43" s="45" t="s">
        <v>683</v>
      </c>
      <c r="C43" s="45" t="s">
        <v>684</v>
      </c>
      <c r="D43" s="135">
        <v>45672.0</v>
      </c>
      <c r="E43" s="109">
        <v>546612.1</v>
      </c>
      <c r="F43" s="109">
        <v>0.0</v>
      </c>
      <c r="G43" s="137">
        <v>723756.0</v>
      </c>
      <c r="H43" s="109">
        <f t="shared" si="1"/>
        <v>177143.9</v>
      </c>
    </row>
    <row r="44">
      <c r="A44" s="135">
        <v>45674.0</v>
      </c>
      <c r="B44" s="45" t="s">
        <v>683</v>
      </c>
      <c r="C44" s="45" t="s">
        <v>684</v>
      </c>
      <c r="D44" s="135">
        <v>45673.0</v>
      </c>
      <c r="E44" s="109">
        <v>546612.1</v>
      </c>
      <c r="F44" s="109">
        <v>0.0</v>
      </c>
      <c r="G44" s="137">
        <v>674668.0</v>
      </c>
      <c r="H44" s="109">
        <f t="shared" si="1"/>
        <v>128055.9</v>
      </c>
    </row>
    <row r="45">
      <c r="A45" s="135">
        <v>45677.0</v>
      </c>
      <c r="B45" s="45" t="s">
        <v>683</v>
      </c>
      <c r="C45" s="45" t="s">
        <v>684</v>
      </c>
      <c r="D45" s="135">
        <v>45674.0</v>
      </c>
      <c r="E45" s="109">
        <v>546612.1</v>
      </c>
      <c r="F45" s="109">
        <v>0.0</v>
      </c>
      <c r="G45" s="137">
        <v>726862.0</v>
      </c>
      <c r="H45" s="109">
        <f t="shared" si="1"/>
        <v>180249.9</v>
      </c>
    </row>
    <row r="46">
      <c r="A46" s="135">
        <v>45678.0</v>
      </c>
      <c r="B46" s="45" t="s">
        <v>683</v>
      </c>
      <c r="C46" s="45" t="s">
        <v>684</v>
      </c>
      <c r="D46" s="135">
        <v>45677.0</v>
      </c>
      <c r="E46" s="109">
        <v>546612.1</v>
      </c>
      <c r="F46" s="109">
        <v>0.0</v>
      </c>
      <c r="G46" s="137">
        <v>664518.0</v>
      </c>
      <c r="H46" s="109">
        <f t="shared" si="1"/>
        <v>117905.9</v>
      </c>
    </row>
    <row r="47">
      <c r="A47" s="135">
        <v>45679.0</v>
      </c>
      <c r="B47" s="45" t="s">
        <v>683</v>
      </c>
      <c r="C47" s="45" t="s">
        <v>684</v>
      </c>
      <c r="D47" s="135">
        <v>45678.0</v>
      </c>
      <c r="E47" s="109">
        <v>546612.1</v>
      </c>
      <c r="F47" s="109">
        <v>0.0</v>
      </c>
      <c r="G47" s="137">
        <v>822718.0</v>
      </c>
      <c r="H47" s="109">
        <f t="shared" si="1"/>
        <v>276105.9</v>
      </c>
    </row>
    <row r="48">
      <c r="A48" s="135">
        <v>45680.0</v>
      </c>
      <c r="B48" s="45" t="s">
        <v>683</v>
      </c>
      <c r="C48" s="45" t="s">
        <v>684</v>
      </c>
      <c r="D48" s="135">
        <v>45679.0</v>
      </c>
      <c r="E48" s="109">
        <v>546612.1</v>
      </c>
      <c r="F48" s="109">
        <v>0.0</v>
      </c>
      <c r="G48" s="137">
        <v>754775.0</v>
      </c>
      <c r="H48" s="109">
        <f t="shared" si="1"/>
        <v>208162.9</v>
      </c>
    </row>
    <row r="49">
      <c r="A49" s="135">
        <v>45681.0</v>
      </c>
      <c r="B49" s="45" t="s">
        <v>683</v>
      </c>
      <c r="C49" s="45" t="s">
        <v>684</v>
      </c>
      <c r="D49" s="135">
        <v>45680.0</v>
      </c>
      <c r="E49" s="109">
        <v>546612.1</v>
      </c>
      <c r="F49" s="109">
        <v>0.0</v>
      </c>
      <c r="G49" s="137">
        <v>722006.0</v>
      </c>
      <c r="H49" s="109">
        <f t="shared" si="1"/>
        <v>175393.9</v>
      </c>
    </row>
    <row r="50">
      <c r="A50" s="135">
        <v>45684.0</v>
      </c>
      <c r="B50" s="45" t="s">
        <v>683</v>
      </c>
      <c r="C50" s="45" t="s">
        <v>684</v>
      </c>
      <c r="D50" s="135">
        <v>45681.0</v>
      </c>
      <c r="E50" s="109">
        <v>546612.1</v>
      </c>
      <c r="F50" s="109">
        <v>0.0</v>
      </c>
      <c r="G50" s="137">
        <v>798393.0</v>
      </c>
      <c r="H50" s="109">
        <f t="shared" si="1"/>
        <v>251780.9</v>
      </c>
    </row>
    <row r="51">
      <c r="A51" s="135">
        <v>45685.0</v>
      </c>
      <c r="B51" s="45" t="s">
        <v>683</v>
      </c>
      <c r="C51" s="45" t="s">
        <v>684</v>
      </c>
      <c r="D51" s="135">
        <v>45684.0</v>
      </c>
      <c r="E51" s="109">
        <v>546612.1</v>
      </c>
      <c r="F51" s="109">
        <v>0.0</v>
      </c>
      <c r="G51" s="137">
        <v>971468.0</v>
      </c>
      <c r="H51" s="109">
        <f t="shared" si="1"/>
        <v>424855.9</v>
      </c>
    </row>
    <row r="52">
      <c r="A52" s="135">
        <v>45686.0</v>
      </c>
      <c r="B52" s="45" t="s">
        <v>683</v>
      </c>
      <c r="C52" s="45" t="s">
        <v>684</v>
      </c>
      <c r="D52" s="135">
        <v>45685.0</v>
      </c>
      <c r="E52" s="109">
        <v>546612.1</v>
      </c>
      <c r="F52" s="109">
        <v>0.0</v>
      </c>
      <c r="G52" s="137">
        <v>887862.0</v>
      </c>
      <c r="H52" s="109">
        <f t="shared" si="1"/>
        <v>341249.9</v>
      </c>
    </row>
    <row r="53">
      <c r="A53" s="135">
        <v>45687.0</v>
      </c>
      <c r="B53" s="45" t="s">
        <v>683</v>
      </c>
      <c r="C53" s="45" t="s">
        <v>684</v>
      </c>
      <c r="D53" s="135">
        <v>45686.0</v>
      </c>
      <c r="E53" s="109">
        <v>546612.1</v>
      </c>
      <c r="F53" s="109">
        <v>0.0</v>
      </c>
      <c r="G53" s="137">
        <v>793450.0</v>
      </c>
      <c r="H53" s="109">
        <f t="shared" si="1"/>
        <v>246837.9</v>
      </c>
    </row>
    <row r="54">
      <c r="A54" s="135">
        <v>45688.0</v>
      </c>
      <c r="B54" s="45" t="s">
        <v>683</v>
      </c>
      <c r="C54" s="45" t="s">
        <v>684</v>
      </c>
      <c r="D54" s="135">
        <v>45687.0</v>
      </c>
      <c r="E54" s="109">
        <v>546612.1</v>
      </c>
      <c r="F54" s="109">
        <v>0.0</v>
      </c>
      <c r="G54" s="137">
        <v>685081.0</v>
      </c>
      <c r="H54" s="109">
        <f t="shared" si="1"/>
        <v>138468.9</v>
      </c>
    </row>
    <row r="55">
      <c r="A55" s="135">
        <v>45689.0</v>
      </c>
      <c r="B55" s="45" t="s">
        <v>683</v>
      </c>
      <c r="C55" s="45" t="s">
        <v>684</v>
      </c>
      <c r="D55" s="135">
        <v>45688.0</v>
      </c>
      <c r="E55" s="109">
        <v>546612.1</v>
      </c>
      <c r="F55" s="109">
        <v>0.0</v>
      </c>
      <c r="G55" s="137">
        <v>557243.0</v>
      </c>
      <c r="H55" s="109">
        <f t="shared" si="1"/>
        <v>10630.9</v>
      </c>
    </row>
    <row r="56">
      <c r="A56" s="135">
        <v>45691.0</v>
      </c>
      <c r="B56" s="45" t="s">
        <v>683</v>
      </c>
      <c r="C56" s="45" t="s">
        <v>684</v>
      </c>
      <c r="D56" s="135">
        <v>45689.0</v>
      </c>
      <c r="E56" s="109">
        <v>546612.1</v>
      </c>
      <c r="F56" s="109">
        <v>0.0</v>
      </c>
      <c r="G56" s="137">
        <v>548493.0</v>
      </c>
      <c r="H56" s="109">
        <f t="shared" si="1"/>
        <v>1880.9</v>
      </c>
    </row>
    <row r="57">
      <c r="A57" s="135">
        <v>45692.0</v>
      </c>
      <c r="B57" s="45" t="s">
        <v>683</v>
      </c>
      <c r="C57" s="45" t="s">
        <v>684</v>
      </c>
      <c r="D57" s="135">
        <v>45691.0</v>
      </c>
      <c r="E57" s="109">
        <v>546612.1</v>
      </c>
      <c r="F57" s="109">
        <v>0.0</v>
      </c>
      <c r="G57" s="137">
        <v>607512.0</v>
      </c>
      <c r="H57" s="109">
        <f t="shared" si="1"/>
        <v>60899.9</v>
      </c>
    </row>
    <row r="58">
      <c r="A58" s="135">
        <v>45693.0</v>
      </c>
      <c r="B58" s="45" t="s">
        <v>683</v>
      </c>
      <c r="C58" s="45" t="s">
        <v>684</v>
      </c>
      <c r="D58" s="135">
        <v>45692.0</v>
      </c>
      <c r="E58" s="109">
        <v>546612.1</v>
      </c>
      <c r="F58" s="109">
        <v>0.0</v>
      </c>
      <c r="G58" s="137">
        <v>433431.0</v>
      </c>
      <c r="H58" s="109">
        <f t="shared" si="1"/>
        <v>-113181.1</v>
      </c>
    </row>
    <row r="59">
      <c r="A59" s="135">
        <v>45694.0</v>
      </c>
      <c r="B59" s="45" t="s">
        <v>683</v>
      </c>
      <c r="C59" s="45" t="s">
        <v>684</v>
      </c>
      <c r="D59" s="135">
        <v>45693.0</v>
      </c>
      <c r="E59" s="109">
        <v>546612.1</v>
      </c>
      <c r="F59" s="109">
        <v>0.0</v>
      </c>
      <c r="G59" s="137">
        <v>433518.0</v>
      </c>
      <c r="H59" s="109">
        <f t="shared" si="1"/>
        <v>-113094.1</v>
      </c>
    </row>
    <row r="60">
      <c r="A60" s="135">
        <v>45695.0</v>
      </c>
      <c r="B60" s="45" t="s">
        <v>683</v>
      </c>
      <c r="C60" s="45" t="s">
        <v>684</v>
      </c>
      <c r="D60" s="135">
        <v>45694.0</v>
      </c>
      <c r="E60" s="109">
        <v>546612.1</v>
      </c>
      <c r="F60" s="109">
        <v>0.0</v>
      </c>
      <c r="G60" s="137">
        <v>468650.0</v>
      </c>
      <c r="H60" s="109">
        <f t="shared" si="1"/>
        <v>-77962.1</v>
      </c>
    </row>
    <row r="61">
      <c r="A61" s="135">
        <v>45698.0</v>
      </c>
      <c r="B61" s="45" t="s">
        <v>683</v>
      </c>
      <c r="C61" s="45" t="s">
        <v>684</v>
      </c>
      <c r="D61" s="135">
        <v>45695.0</v>
      </c>
      <c r="E61" s="109">
        <v>546612.1</v>
      </c>
      <c r="F61" s="109">
        <v>0.0</v>
      </c>
      <c r="G61" s="137">
        <v>489912.0</v>
      </c>
      <c r="H61" s="109">
        <f t="shared" si="1"/>
        <v>-56700.1</v>
      </c>
    </row>
    <row r="62">
      <c r="A62" s="135">
        <v>45699.0</v>
      </c>
      <c r="B62" s="45" t="s">
        <v>683</v>
      </c>
      <c r="C62" s="45" t="s">
        <v>684</v>
      </c>
      <c r="D62" s="135">
        <v>45698.0</v>
      </c>
      <c r="E62" s="109">
        <v>546612.1</v>
      </c>
      <c r="F62" s="109">
        <v>0.0</v>
      </c>
      <c r="G62" s="137">
        <v>565512.0</v>
      </c>
      <c r="H62" s="109">
        <f t="shared" si="1"/>
        <v>18899.9</v>
      </c>
    </row>
    <row r="63">
      <c r="A63" s="135">
        <v>45700.0</v>
      </c>
      <c r="B63" s="45" t="s">
        <v>683</v>
      </c>
      <c r="C63" s="45" t="s">
        <v>684</v>
      </c>
      <c r="D63" s="135">
        <v>45699.0</v>
      </c>
      <c r="E63" s="109">
        <v>546612.1</v>
      </c>
      <c r="F63" s="109">
        <v>0.0</v>
      </c>
      <c r="G63" s="137">
        <v>748256.0</v>
      </c>
      <c r="H63" s="109">
        <f t="shared" si="1"/>
        <v>201643.9</v>
      </c>
    </row>
    <row r="64">
      <c r="A64" s="135">
        <v>45701.0</v>
      </c>
      <c r="B64" s="45" t="s">
        <v>683</v>
      </c>
      <c r="C64" s="45" t="s">
        <v>684</v>
      </c>
      <c r="D64" s="135">
        <v>45700.0</v>
      </c>
      <c r="E64" s="109">
        <v>546612.1</v>
      </c>
      <c r="F64" s="109">
        <v>0.0</v>
      </c>
      <c r="G64" s="137">
        <v>756918.0</v>
      </c>
      <c r="H64" s="109">
        <f t="shared" si="1"/>
        <v>210305.9</v>
      </c>
    </row>
    <row r="65">
      <c r="A65" s="135">
        <v>45702.0</v>
      </c>
      <c r="B65" s="45" t="s">
        <v>683</v>
      </c>
      <c r="C65" s="45" t="s">
        <v>684</v>
      </c>
      <c r="D65" s="135">
        <v>45701.0</v>
      </c>
      <c r="E65" s="109">
        <v>546612.1</v>
      </c>
      <c r="F65" s="109">
        <v>0.0</v>
      </c>
      <c r="G65" s="137">
        <v>775031.0</v>
      </c>
      <c r="H65" s="109">
        <f t="shared" si="1"/>
        <v>228418.9</v>
      </c>
    </row>
    <row r="66">
      <c r="A66" s="135">
        <v>45705.0</v>
      </c>
      <c r="B66" s="45" t="s">
        <v>683</v>
      </c>
      <c r="C66" s="45" t="s">
        <v>684</v>
      </c>
      <c r="D66" s="135">
        <v>45702.0</v>
      </c>
      <c r="E66" s="109">
        <v>546612.1</v>
      </c>
      <c r="F66" s="109">
        <v>0.0</v>
      </c>
      <c r="G66" s="137">
        <v>845731.0</v>
      </c>
      <c r="H66" s="109">
        <f t="shared" si="1"/>
        <v>299118.9</v>
      </c>
    </row>
    <row r="67">
      <c r="A67" s="135">
        <v>45706.0</v>
      </c>
      <c r="B67" s="45" t="s">
        <v>683</v>
      </c>
      <c r="C67" s="45" t="s">
        <v>684</v>
      </c>
      <c r="D67" s="135">
        <v>45705.0</v>
      </c>
      <c r="E67" s="109">
        <v>546612.1</v>
      </c>
      <c r="F67" s="109">
        <v>0.0</v>
      </c>
      <c r="G67" s="137">
        <v>816681.0</v>
      </c>
      <c r="H67" s="109">
        <f t="shared" si="1"/>
        <v>270068.9</v>
      </c>
    </row>
    <row r="68">
      <c r="A68" s="135">
        <v>45707.0</v>
      </c>
      <c r="B68" s="45" t="s">
        <v>683</v>
      </c>
      <c r="C68" s="45" t="s">
        <v>684</v>
      </c>
      <c r="D68" s="135">
        <v>45706.0</v>
      </c>
      <c r="E68" s="109">
        <v>546612.1</v>
      </c>
      <c r="F68" s="109">
        <v>0.0</v>
      </c>
      <c r="G68" s="137">
        <v>856756.25</v>
      </c>
      <c r="H68" s="109">
        <f t="shared" si="1"/>
        <v>310144.15</v>
      </c>
    </row>
    <row r="69">
      <c r="A69" s="135">
        <v>45708.0</v>
      </c>
      <c r="B69" s="45" t="s">
        <v>683</v>
      </c>
      <c r="C69" s="45" t="s">
        <v>684</v>
      </c>
      <c r="D69" s="135">
        <v>45707.0</v>
      </c>
      <c r="E69" s="109">
        <v>546612.1</v>
      </c>
      <c r="F69" s="109">
        <v>0.0</v>
      </c>
      <c r="G69" s="137">
        <v>852425.0</v>
      </c>
      <c r="H69" s="109">
        <f t="shared" si="1"/>
        <v>305812.9</v>
      </c>
    </row>
    <row r="70">
      <c r="A70" s="135">
        <v>45709.0</v>
      </c>
      <c r="B70" s="45" t="s">
        <v>683</v>
      </c>
      <c r="C70" s="45" t="s">
        <v>684</v>
      </c>
      <c r="D70" s="135">
        <v>45708.0</v>
      </c>
      <c r="E70" s="109">
        <v>546612.1</v>
      </c>
      <c r="F70" s="109">
        <v>0.0</v>
      </c>
      <c r="G70" s="137">
        <v>853737.0</v>
      </c>
      <c r="H70" s="109">
        <f t="shared" si="1"/>
        <v>307124.9</v>
      </c>
    </row>
    <row r="71">
      <c r="A71" s="135">
        <v>45712.0</v>
      </c>
      <c r="B71" s="45" t="s">
        <v>683</v>
      </c>
      <c r="C71" s="45" t="s">
        <v>684</v>
      </c>
      <c r="D71" s="135">
        <v>45709.0</v>
      </c>
      <c r="E71" s="109">
        <v>546612.1</v>
      </c>
      <c r="F71" s="109">
        <v>0.0</v>
      </c>
      <c r="G71" s="137">
        <v>937081.0</v>
      </c>
      <c r="H71" s="109">
        <f t="shared" si="1"/>
        <v>390468.9</v>
      </c>
    </row>
    <row r="72">
      <c r="A72" s="135">
        <v>45713.0</v>
      </c>
      <c r="B72" s="45" t="s">
        <v>683</v>
      </c>
      <c r="C72" s="45" t="s">
        <v>684</v>
      </c>
      <c r="D72" s="135">
        <v>45712.0</v>
      </c>
      <c r="E72" s="109">
        <v>546612.1</v>
      </c>
      <c r="F72" s="109">
        <v>0.0</v>
      </c>
      <c r="G72" s="137">
        <v>1103681.0</v>
      </c>
      <c r="H72" s="109">
        <f t="shared" si="1"/>
        <v>557068.9</v>
      </c>
    </row>
    <row r="73">
      <c r="A73" s="135">
        <v>45715.0</v>
      </c>
      <c r="B73" s="45" t="s">
        <v>683</v>
      </c>
      <c r="C73" s="45" t="s">
        <v>684</v>
      </c>
      <c r="D73" s="135">
        <v>45713.0</v>
      </c>
      <c r="E73" s="109">
        <v>546612.1</v>
      </c>
      <c r="F73" s="109">
        <v>0.0</v>
      </c>
      <c r="G73" s="137">
        <v>1120612.0</v>
      </c>
      <c r="H73" s="109">
        <f t="shared" si="1"/>
        <v>573999.9</v>
      </c>
    </row>
    <row r="74">
      <c r="A74" s="135">
        <v>45716.0</v>
      </c>
      <c r="B74" s="45" t="s">
        <v>683</v>
      </c>
      <c r="C74" s="45" t="s">
        <v>684</v>
      </c>
      <c r="D74" s="135">
        <v>45715.0</v>
      </c>
      <c r="E74" s="109">
        <v>546612.1</v>
      </c>
      <c r="F74" s="109">
        <v>0.0</v>
      </c>
      <c r="G74" s="137">
        <v>1150537.0</v>
      </c>
      <c r="H74" s="109">
        <f t="shared" si="1"/>
        <v>603924.9</v>
      </c>
    </row>
    <row r="75">
      <c r="A75" s="135">
        <v>45719.0</v>
      </c>
      <c r="B75" s="45" t="s">
        <v>683</v>
      </c>
      <c r="C75" s="45" t="s">
        <v>684</v>
      </c>
      <c r="D75" s="135">
        <v>45716.0</v>
      </c>
      <c r="E75" s="109">
        <v>546612.1</v>
      </c>
      <c r="F75" s="109">
        <v>0.0</v>
      </c>
      <c r="G75" s="137">
        <v>1498743.0</v>
      </c>
      <c r="H75" s="109">
        <f t="shared" si="1"/>
        <v>952130.9</v>
      </c>
    </row>
    <row r="76">
      <c r="A76" s="135">
        <v>45720.0</v>
      </c>
      <c r="B76" s="45" t="s">
        <v>683</v>
      </c>
      <c r="C76" s="45" t="s">
        <v>684</v>
      </c>
      <c r="D76" s="135">
        <v>45719.0</v>
      </c>
      <c r="E76" s="109">
        <v>546612.1</v>
      </c>
      <c r="F76" s="109">
        <v>0.0</v>
      </c>
      <c r="G76" s="137">
        <v>1517950.0</v>
      </c>
      <c r="H76" s="109">
        <f t="shared" si="1"/>
        <v>971337.9</v>
      </c>
    </row>
    <row r="77">
      <c r="A77" s="135">
        <v>45721.0</v>
      </c>
      <c r="B77" s="45" t="s">
        <v>683</v>
      </c>
      <c r="C77" s="45" t="s">
        <v>684</v>
      </c>
      <c r="D77" s="135">
        <v>45720.0</v>
      </c>
      <c r="E77" s="109">
        <v>546612.1</v>
      </c>
      <c r="F77" s="109">
        <v>0.0</v>
      </c>
      <c r="G77" s="137">
        <v>1572331.0</v>
      </c>
      <c r="H77" s="109">
        <f t="shared" si="1"/>
        <v>1025718.9</v>
      </c>
    </row>
    <row r="78">
      <c r="A78" s="135">
        <v>45722.0</v>
      </c>
      <c r="B78" s="45" t="s">
        <v>683</v>
      </c>
      <c r="C78" s="45" t="s">
        <v>684</v>
      </c>
      <c r="D78" s="135">
        <v>45721.0</v>
      </c>
      <c r="E78" s="109">
        <v>546612.1</v>
      </c>
      <c r="F78" s="109">
        <v>0.0</v>
      </c>
      <c r="G78" s="137">
        <v>1362681.0</v>
      </c>
      <c r="H78" s="109">
        <f t="shared" si="1"/>
        <v>816068.9</v>
      </c>
    </row>
    <row r="79">
      <c r="A79" s="135">
        <v>45723.0</v>
      </c>
      <c r="B79" s="45" t="s">
        <v>683</v>
      </c>
      <c r="C79" s="45" t="s">
        <v>684</v>
      </c>
      <c r="D79" s="135">
        <v>45722.0</v>
      </c>
      <c r="E79" s="109">
        <v>546612.1</v>
      </c>
      <c r="F79" s="109">
        <v>0.0</v>
      </c>
      <c r="G79" s="137">
        <v>1201025.0</v>
      </c>
      <c r="H79" s="109">
        <f t="shared" si="1"/>
        <v>654412.9</v>
      </c>
    </row>
    <row r="80">
      <c r="A80" s="135">
        <v>45726.0</v>
      </c>
      <c r="B80" s="45" t="s">
        <v>683</v>
      </c>
      <c r="C80" s="45" t="s">
        <v>684</v>
      </c>
      <c r="D80" s="135">
        <v>45723.0</v>
      </c>
      <c r="E80" s="109">
        <v>546612.1</v>
      </c>
      <c r="F80" s="109">
        <v>0.0</v>
      </c>
      <c r="G80" s="137">
        <v>1183787.0</v>
      </c>
      <c r="H80" s="109">
        <f t="shared" si="1"/>
        <v>637174.9</v>
      </c>
    </row>
    <row r="81">
      <c r="A81" s="135">
        <v>45727.0</v>
      </c>
      <c r="B81" s="45" t="s">
        <v>683</v>
      </c>
      <c r="C81" s="45" t="s">
        <v>684</v>
      </c>
      <c r="D81" s="135">
        <v>45726.0</v>
      </c>
      <c r="E81" s="109">
        <v>546612.1</v>
      </c>
      <c r="F81" s="109">
        <v>0.0</v>
      </c>
      <c r="G81" s="137">
        <v>1291981.0</v>
      </c>
      <c r="H81" s="109">
        <f t="shared" si="1"/>
        <v>745368.9</v>
      </c>
    </row>
    <row r="82">
      <c r="A82" s="135">
        <v>45728.0</v>
      </c>
      <c r="B82" s="45" t="s">
        <v>683</v>
      </c>
      <c r="C82" s="45" t="s">
        <v>684</v>
      </c>
      <c r="D82" s="135">
        <v>45727.0</v>
      </c>
      <c r="E82" s="109">
        <v>546612.1</v>
      </c>
      <c r="F82" s="109">
        <v>0.0</v>
      </c>
      <c r="G82" s="137">
        <v>1253700.0</v>
      </c>
      <c r="H82" s="109">
        <f t="shared" si="1"/>
        <v>707087.9</v>
      </c>
    </row>
    <row r="83">
      <c r="A83" s="135">
        <v>45729.0</v>
      </c>
      <c r="B83" s="45" t="s">
        <v>683</v>
      </c>
      <c r="C83" s="45" t="s">
        <v>684</v>
      </c>
      <c r="D83" s="135">
        <v>45728.0</v>
      </c>
      <c r="E83" s="109">
        <v>546612.1</v>
      </c>
      <c r="F83" s="109">
        <v>0.0</v>
      </c>
      <c r="G83" s="137">
        <v>1282793.0</v>
      </c>
      <c r="H83" s="109">
        <f t="shared" si="1"/>
        <v>736180.9</v>
      </c>
    </row>
    <row r="84">
      <c r="A84" s="135">
        <v>45733.0</v>
      </c>
      <c r="B84" s="45" t="s">
        <v>683</v>
      </c>
      <c r="C84" s="45" t="s">
        <v>684</v>
      </c>
      <c r="D84" s="135">
        <v>45729.0</v>
      </c>
      <c r="E84" s="109">
        <v>546612.1</v>
      </c>
      <c r="F84" s="109">
        <v>0.0</v>
      </c>
      <c r="G84" s="137">
        <v>1357825.0</v>
      </c>
      <c r="H84" s="109">
        <f t="shared" si="1"/>
        <v>811212.9</v>
      </c>
    </row>
    <row r="85">
      <c r="A85" s="135">
        <v>45734.0</v>
      </c>
      <c r="B85" s="45" t="s">
        <v>683</v>
      </c>
      <c r="C85" s="45" t="s">
        <v>684</v>
      </c>
      <c r="D85" s="135">
        <v>45733.0</v>
      </c>
      <c r="E85" s="109">
        <v>546612.1</v>
      </c>
      <c r="F85" s="109">
        <v>0.0</v>
      </c>
      <c r="G85" s="137">
        <v>1239087.0</v>
      </c>
      <c r="H85" s="109">
        <f t="shared" si="1"/>
        <v>692474.9</v>
      </c>
    </row>
    <row r="86">
      <c r="A86" s="135">
        <v>45735.0</v>
      </c>
      <c r="B86" s="45" t="s">
        <v>683</v>
      </c>
      <c r="C86" s="45" t="s">
        <v>684</v>
      </c>
      <c r="D86" s="135">
        <v>45734.0</v>
      </c>
      <c r="E86" s="109">
        <v>546612.1</v>
      </c>
      <c r="F86" s="109">
        <v>0.0</v>
      </c>
      <c r="G86" s="137">
        <v>970243.0</v>
      </c>
      <c r="H86" s="109">
        <f t="shared" si="1"/>
        <v>423630.9</v>
      </c>
    </row>
    <row r="87">
      <c r="A87" s="135">
        <v>45736.0</v>
      </c>
      <c r="B87" s="45" t="s">
        <v>683</v>
      </c>
      <c r="C87" s="45" t="s">
        <v>684</v>
      </c>
      <c r="D87" s="135">
        <v>45735.0</v>
      </c>
      <c r="E87" s="109">
        <v>546612.1</v>
      </c>
      <c r="F87" s="109">
        <v>0.0</v>
      </c>
      <c r="G87" s="137">
        <v>896306.0</v>
      </c>
      <c r="H87" s="109">
        <f t="shared" si="1"/>
        <v>349693.9</v>
      </c>
    </row>
    <row r="88">
      <c r="A88" s="135">
        <v>45737.0</v>
      </c>
      <c r="B88" s="45" t="s">
        <v>683</v>
      </c>
      <c r="C88" s="45" t="s">
        <v>684</v>
      </c>
      <c r="D88" s="135">
        <v>45736.0</v>
      </c>
      <c r="E88" s="109">
        <v>546612.1</v>
      </c>
      <c r="F88" s="109">
        <v>0.0</v>
      </c>
      <c r="G88" s="137">
        <v>704987.0</v>
      </c>
      <c r="H88" s="109">
        <f t="shared" si="1"/>
        <v>158374.9</v>
      </c>
    </row>
    <row r="89">
      <c r="A89" s="135">
        <v>45740.0</v>
      </c>
      <c r="B89" s="45" t="s">
        <v>683</v>
      </c>
      <c r="C89" s="45" t="s">
        <v>684</v>
      </c>
      <c r="D89" s="135">
        <v>45737.0</v>
      </c>
      <c r="E89" s="109">
        <v>546612.1</v>
      </c>
      <c r="F89" s="109">
        <v>0.0</v>
      </c>
      <c r="G89" s="137">
        <v>549587.5</v>
      </c>
      <c r="H89" s="109">
        <f t="shared" si="1"/>
        <v>2975.4</v>
      </c>
    </row>
    <row r="90">
      <c r="A90" s="135">
        <v>45741.0</v>
      </c>
      <c r="B90" s="45" t="s">
        <v>683</v>
      </c>
      <c r="C90" s="45" t="s">
        <v>684</v>
      </c>
      <c r="D90" s="135">
        <v>45740.0</v>
      </c>
      <c r="E90" s="109">
        <v>546612.1</v>
      </c>
      <c r="F90" s="109">
        <v>0.0</v>
      </c>
      <c r="G90" s="137">
        <v>298725.0</v>
      </c>
      <c r="H90" s="109">
        <f t="shared" si="1"/>
        <v>-247887.1</v>
      </c>
    </row>
    <row r="91">
      <c r="A91" s="135">
        <v>45742.0</v>
      </c>
      <c r="B91" s="45" t="s">
        <v>683</v>
      </c>
      <c r="C91" s="45" t="s">
        <v>684</v>
      </c>
      <c r="D91" s="135">
        <v>45741.0</v>
      </c>
      <c r="E91" s="109">
        <v>546612.1</v>
      </c>
      <c r="F91" s="109">
        <v>0.0</v>
      </c>
      <c r="G91" s="137">
        <v>273831.0</v>
      </c>
      <c r="H91" s="109">
        <f t="shared" si="1"/>
        <v>-272781.1</v>
      </c>
    </row>
    <row r="92">
      <c r="A92" s="135">
        <v>45743.0</v>
      </c>
      <c r="B92" s="45" t="s">
        <v>683</v>
      </c>
      <c r="C92" s="45" t="s">
        <v>684</v>
      </c>
      <c r="D92" s="135">
        <v>45742.0</v>
      </c>
      <c r="E92" s="109">
        <v>546612.1</v>
      </c>
      <c r="F92" s="109">
        <v>0.0</v>
      </c>
      <c r="G92" s="137">
        <v>423325.0</v>
      </c>
      <c r="H92" s="109">
        <f t="shared" si="1"/>
        <v>-123287.1</v>
      </c>
    </row>
    <row r="93">
      <c r="A93" s="135">
        <v>45744.0</v>
      </c>
      <c r="B93" s="154" t="s">
        <v>688</v>
      </c>
      <c r="C93" s="154" t="s">
        <v>689</v>
      </c>
      <c r="D93" s="135">
        <v>45743.0</v>
      </c>
      <c r="E93" s="137">
        <v>1674573.58</v>
      </c>
      <c r="F93" s="137">
        <v>20377.0</v>
      </c>
      <c r="G93" s="137">
        <v>0.0</v>
      </c>
      <c r="H93" s="109">
        <f t="shared" si="1"/>
        <v>-1654196.58</v>
      </c>
    </row>
    <row r="94">
      <c r="A94" s="59">
        <v>45748.0</v>
      </c>
      <c r="B94" s="8" t="s">
        <v>690</v>
      </c>
      <c r="C94" s="8" t="s">
        <v>691</v>
      </c>
      <c r="D94" s="59">
        <v>45744.0</v>
      </c>
      <c r="E94" s="137">
        <v>1674573.58</v>
      </c>
      <c r="F94" s="137">
        <v>20377.0</v>
      </c>
      <c r="G94" s="8">
        <v>1565865.0</v>
      </c>
      <c r="H94" s="109">
        <f t="shared" si="1"/>
        <v>-88331.58</v>
      </c>
    </row>
    <row r="95">
      <c r="A95" s="59">
        <v>45749.0</v>
      </c>
      <c r="B95" s="8" t="s">
        <v>690</v>
      </c>
      <c r="C95" s="8" t="s">
        <v>691</v>
      </c>
      <c r="D95" s="59">
        <v>45748.0</v>
      </c>
      <c r="E95" s="137">
        <v>1674573.58</v>
      </c>
      <c r="F95" s="137">
        <v>20377.0</v>
      </c>
      <c r="G95" s="8">
        <v>1739655.0</v>
      </c>
      <c r="H95" s="109">
        <f t="shared" si="1"/>
        <v>85458.42</v>
      </c>
    </row>
    <row r="96">
      <c r="A96" s="59">
        <v>45750.0</v>
      </c>
      <c r="B96" s="8" t="s">
        <v>690</v>
      </c>
      <c r="C96" s="8" t="s">
        <v>691</v>
      </c>
      <c r="D96" s="59">
        <v>45749.0</v>
      </c>
      <c r="E96" s="137">
        <v>1674573.58</v>
      </c>
      <c r="F96" s="137">
        <v>20377.0</v>
      </c>
      <c r="G96" s="8">
        <v>1684710.0</v>
      </c>
      <c r="H96" s="109">
        <f t="shared" si="1"/>
        <v>30513.42</v>
      </c>
    </row>
    <row r="97">
      <c r="A97" s="59">
        <v>45751.0</v>
      </c>
      <c r="B97" s="8" t="s">
        <v>690</v>
      </c>
      <c r="C97" s="8" t="s">
        <v>691</v>
      </c>
      <c r="D97" s="59">
        <v>45750.0</v>
      </c>
      <c r="E97" s="137">
        <v>1674573.58</v>
      </c>
      <c r="F97" s="137">
        <v>20377.0</v>
      </c>
      <c r="G97" s="8">
        <v>1738215.0</v>
      </c>
      <c r="H97" s="109">
        <f t="shared" si="1"/>
        <v>84018.42</v>
      </c>
    </row>
    <row r="98">
      <c r="A98" s="59">
        <v>45754.0</v>
      </c>
      <c r="B98" s="8" t="s">
        <v>690</v>
      </c>
      <c r="C98" s="8" t="s">
        <v>691</v>
      </c>
      <c r="D98" s="59">
        <v>45751.0</v>
      </c>
      <c r="E98" s="137">
        <v>1674573.58</v>
      </c>
      <c r="F98" s="137">
        <v>20377.0</v>
      </c>
      <c r="G98" s="8">
        <v>2002185.0</v>
      </c>
      <c r="H98" s="109">
        <f t="shared" si="1"/>
        <v>347988.42</v>
      </c>
    </row>
    <row r="99">
      <c r="A99" s="59">
        <v>45755.0</v>
      </c>
      <c r="B99" s="8" t="s">
        <v>690</v>
      </c>
      <c r="C99" s="8" t="s">
        <v>691</v>
      </c>
      <c r="D99" s="59">
        <v>45754.0</v>
      </c>
      <c r="E99" s="137">
        <v>1674573.58</v>
      </c>
      <c r="F99" s="137">
        <v>20377.0</v>
      </c>
      <c r="G99" s="8">
        <v>2543445.0</v>
      </c>
      <c r="H99" s="109">
        <f t="shared" si="1"/>
        <v>889248.42</v>
      </c>
    </row>
    <row r="100">
      <c r="A100" s="59">
        <v>45756.0</v>
      </c>
      <c r="B100" s="8" t="s">
        <v>690</v>
      </c>
      <c r="C100" s="8" t="s">
        <v>691</v>
      </c>
      <c r="D100" s="59">
        <v>45755.0</v>
      </c>
      <c r="E100" s="137">
        <v>1674573.58</v>
      </c>
      <c r="F100" s="137">
        <v>20377.0</v>
      </c>
      <c r="G100" s="8">
        <v>2264130.0</v>
      </c>
      <c r="H100" s="109">
        <f t="shared" si="1"/>
        <v>609933.42</v>
      </c>
    </row>
    <row r="101">
      <c r="A101" s="59">
        <v>45758.0</v>
      </c>
      <c r="B101" s="8" t="s">
        <v>690</v>
      </c>
      <c r="C101" s="8" t="s">
        <v>691</v>
      </c>
      <c r="D101" s="59">
        <v>45756.0</v>
      </c>
      <c r="E101" s="137">
        <v>1674573.58</v>
      </c>
      <c r="F101" s="137">
        <v>20377.0</v>
      </c>
      <c r="G101" s="8">
        <v>2412810.0</v>
      </c>
      <c r="H101" s="109">
        <f t="shared" si="1"/>
        <v>758613.42</v>
      </c>
    </row>
    <row r="102">
      <c r="A102" s="59">
        <v>45762.0</v>
      </c>
      <c r="B102" s="8" t="s">
        <v>690</v>
      </c>
      <c r="C102" s="8" t="s">
        <v>691</v>
      </c>
      <c r="D102" s="59">
        <v>45758.0</v>
      </c>
      <c r="E102" s="137">
        <v>1674573.58</v>
      </c>
      <c r="F102" s="137">
        <v>20377.0</v>
      </c>
      <c r="G102" s="8">
        <v>2119185.0</v>
      </c>
      <c r="H102" s="109">
        <f t="shared" si="1"/>
        <v>464988.42</v>
      </c>
    </row>
    <row r="103">
      <c r="A103" s="59">
        <v>45763.0</v>
      </c>
      <c r="B103" s="8" t="s">
        <v>690</v>
      </c>
      <c r="C103" s="8" t="s">
        <v>691</v>
      </c>
      <c r="D103" s="59">
        <v>45762.0</v>
      </c>
      <c r="E103" s="137">
        <v>1674573.58</v>
      </c>
      <c r="F103" s="137">
        <v>20377.0</v>
      </c>
      <c r="G103" s="8">
        <v>1775115.0</v>
      </c>
      <c r="H103" s="109">
        <f t="shared" si="1"/>
        <v>120918.42</v>
      </c>
    </row>
    <row r="104">
      <c r="A104" s="59">
        <v>45764.0</v>
      </c>
      <c r="B104" s="8" t="s">
        <v>690</v>
      </c>
      <c r="C104" s="8" t="s">
        <v>691</v>
      </c>
      <c r="D104" s="59">
        <v>45763.0</v>
      </c>
      <c r="E104" s="137">
        <v>1674573.58</v>
      </c>
      <c r="F104" s="137">
        <v>20377.0</v>
      </c>
      <c r="G104" s="8">
        <v>1726335.0</v>
      </c>
      <c r="H104" s="109">
        <f t="shared" si="1"/>
        <v>72138.42</v>
      </c>
    </row>
    <row r="105">
      <c r="A105" s="59">
        <v>45768.0</v>
      </c>
      <c r="B105" s="8" t="s">
        <v>690</v>
      </c>
      <c r="C105" s="8" t="s">
        <v>691</v>
      </c>
      <c r="D105" s="59">
        <v>45764.0</v>
      </c>
      <c r="E105" s="137">
        <v>1674573.58</v>
      </c>
      <c r="F105" s="137">
        <v>20377.0</v>
      </c>
      <c r="G105" s="8">
        <v>1512450.0</v>
      </c>
      <c r="H105" s="109">
        <f t="shared" si="1"/>
        <v>-141746.58</v>
      </c>
    </row>
    <row r="106">
      <c r="A106" s="59">
        <v>45769.0</v>
      </c>
      <c r="B106" s="8" t="s">
        <v>690</v>
      </c>
      <c r="C106" s="8" t="s">
        <v>691</v>
      </c>
      <c r="D106" s="59">
        <v>45768.0</v>
      </c>
      <c r="E106" s="137">
        <v>1674573.58</v>
      </c>
      <c r="F106" s="137">
        <v>20377.0</v>
      </c>
      <c r="G106" s="8">
        <v>1359450.0</v>
      </c>
      <c r="H106" s="109">
        <f t="shared" si="1"/>
        <v>-294746.58</v>
      </c>
    </row>
    <row r="107">
      <c r="A107" s="59">
        <v>45770.0</v>
      </c>
      <c r="B107" s="8" t="s">
        <v>690</v>
      </c>
      <c r="C107" s="8" t="s">
        <v>691</v>
      </c>
      <c r="D107" s="59">
        <v>45769.0</v>
      </c>
      <c r="E107" s="137">
        <v>1674573.58</v>
      </c>
      <c r="F107" s="137">
        <v>20377.0</v>
      </c>
      <c r="G107" s="8">
        <v>1341360.0</v>
      </c>
      <c r="H107" s="109">
        <f t="shared" si="1"/>
        <v>-312836.58</v>
      </c>
    </row>
    <row r="108">
      <c r="A108" s="59">
        <v>45771.0</v>
      </c>
      <c r="B108" s="8" t="s">
        <v>690</v>
      </c>
      <c r="C108" s="8" t="s">
        <v>691</v>
      </c>
      <c r="D108" s="59">
        <v>45770.0</v>
      </c>
      <c r="E108" s="137">
        <v>1674573.58</v>
      </c>
      <c r="F108" s="137">
        <v>20377.0</v>
      </c>
      <c r="G108" s="8">
        <v>1250055.0</v>
      </c>
      <c r="H108" s="109">
        <f t="shared" si="1"/>
        <v>-404141.58</v>
      </c>
    </row>
    <row r="109">
      <c r="A109" s="59">
        <v>45772.0</v>
      </c>
      <c r="B109" s="8" t="s">
        <v>690</v>
      </c>
      <c r="C109" s="8" t="s">
        <v>691</v>
      </c>
      <c r="D109" s="59">
        <v>45771.0</v>
      </c>
      <c r="E109" s="137">
        <v>1674573.58</v>
      </c>
      <c r="F109" s="137">
        <v>20377.0</v>
      </c>
      <c r="G109" s="8">
        <v>1276110.0</v>
      </c>
      <c r="H109" s="109">
        <f t="shared" si="1"/>
        <v>-378086.58</v>
      </c>
    </row>
    <row r="110">
      <c r="A110" s="59">
        <v>45775.0</v>
      </c>
      <c r="B110" s="8" t="s">
        <v>690</v>
      </c>
      <c r="C110" s="8" t="s">
        <v>691</v>
      </c>
      <c r="D110" s="59">
        <v>45772.0</v>
      </c>
      <c r="E110" s="137">
        <v>1674573.58</v>
      </c>
      <c r="F110" s="137">
        <v>20377.0</v>
      </c>
      <c r="G110" s="8">
        <v>1407645.0</v>
      </c>
      <c r="H110" s="109">
        <f t="shared" si="1"/>
        <v>-246551.58</v>
      </c>
    </row>
    <row r="111">
      <c r="A111" s="59">
        <v>45776.0</v>
      </c>
      <c r="B111" s="8" t="s">
        <v>690</v>
      </c>
      <c r="C111" s="8" t="s">
        <v>691</v>
      </c>
      <c r="D111" s="59">
        <v>45775.0</v>
      </c>
      <c r="E111" s="137">
        <v>1674573.58</v>
      </c>
      <c r="F111" s="137">
        <v>20377.0</v>
      </c>
      <c r="G111" s="8">
        <v>1242360.0</v>
      </c>
      <c r="H111" s="109">
        <f t="shared" si="1"/>
        <v>-411836.58</v>
      </c>
    </row>
    <row r="112">
      <c r="A112" s="59">
        <v>45777.0</v>
      </c>
      <c r="B112" s="8" t="s">
        <v>690</v>
      </c>
      <c r="C112" s="8" t="s">
        <v>691</v>
      </c>
      <c r="D112" s="59">
        <v>45776.0</v>
      </c>
      <c r="E112" s="137">
        <v>1674573.58</v>
      </c>
      <c r="F112" s="137">
        <v>20377.0</v>
      </c>
      <c r="G112" s="8">
        <v>1224135.0</v>
      </c>
      <c r="H112" s="109">
        <f t="shared" si="1"/>
        <v>-430061.58</v>
      </c>
    </row>
    <row r="113">
      <c r="A113" s="59">
        <v>45779.0</v>
      </c>
      <c r="B113" s="8" t="s">
        <v>690</v>
      </c>
      <c r="C113" s="8" t="s">
        <v>691</v>
      </c>
      <c r="D113" s="59">
        <v>45777.0</v>
      </c>
      <c r="E113" s="137">
        <v>1674573.58</v>
      </c>
      <c r="F113" s="137">
        <v>20377.0</v>
      </c>
      <c r="G113" s="8">
        <v>1253205.0</v>
      </c>
      <c r="H113" s="109">
        <f t="shared" si="1"/>
        <v>-400991.58</v>
      </c>
    </row>
    <row r="114">
      <c r="A114" s="59">
        <v>45782.0</v>
      </c>
      <c r="B114" s="8" t="s">
        <v>690</v>
      </c>
      <c r="C114" s="8" t="s">
        <v>691</v>
      </c>
      <c r="D114" s="59">
        <v>45779.0</v>
      </c>
      <c r="E114" s="137">
        <v>1674573.58</v>
      </c>
      <c r="F114" s="137">
        <v>20377.0</v>
      </c>
      <c r="G114" s="8">
        <v>1256355.0</v>
      </c>
      <c r="H114" s="109">
        <f t="shared" si="1"/>
        <v>-397841.58</v>
      </c>
    </row>
    <row r="115">
      <c r="A115" s="59">
        <v>45783.0</v>
      </c>
      <c r="B115" s="8" t="s">
        <v>690</v>
      </c>
      <c r="C115" s="8" t="s">
        <v>691</v>
      </c>
      <c r="D115" s="59">
        <v>45782.0</v>
      </c>
      <c r="E115" s="137">
        <v>1674573.58</v>
      </c>
      <c r="F115" s="137">
        <v>20377.0</v>
      </c>
      <c r="G115" s="8">
        <v>1183005.0</v>
      </c>
      <c r="H115" s="109">
        <f t="shared" si="1"/>
        <v>-471191.58</v>
      </c>
    </row>
    <row r="116">
      <c r="A116" s="59">
        <v>45784.0</v>
      </c>
      <c r="B116" s="8" t="s">
        <v>690</v>
      </c>
      <c r="C116" s="8" t="s">
        <v>691</v>
      </c>
      <c r="D116" s="59">
        <v>45783.0</v>
      </c>
      <c r="E116" s="137">
        <v>1674573.58</v>
      </c>
      <c r="F116" s="137">
        <v>20377.0</v>
      </c>
      <c r="G116" s="8">
        <v>1268370.0</v>
      </c>
      <c r="H116" s="109">
        <f t="shared" si="1"/>
        <v>-385826.58</v>
      </c>
    </row>
    <row r="117">
      <c r="A117" s="59">
        <v>45785.0</v>
      </c>
      <c r="B117" s="8" t="s">
        <v>690</v>
      </c>
      <c r="C117" s="8" t="s">
        <v>691</v>
      </c>
      <c r="D117" s="59">
        <v>45784.0</v>
      </c>
      <c r="E117" s="137">
        <v>1674573.58</v>
      </c>
      <c r="F117" s="137">
        <v>20377.0</v>
      </c>
      <c r="G117" s="8">
        <v>1228320.0</v>
      </c>
      <c r="H117" s="109">
        <f t="shared" si="1"/>
        <v>-425876.58</v>
      </c>
    </row>
    <row r="118">
      <c r="A118" s="59">
        <v>45786.0</v>
      </c>
      <c r="B118" s="8" t="s">
        <v>690</v>
      </c>
      <c r="C118" s="8" t="s">
        <v>691</v>
      </c>
      <c r="D118" s="59">
        <v>45785.0</v>
      </c>
      <c r="E118" s="137">
        <v>1674573.58</v>
      </c>
      <c r="F118" s="137">
        <v>20377.0</v>
      </c>
      <c r="G118" s="8">
        <v>1353150.0</v>
      </c>
      <c r="H118" s="109">
        <f t="shared" si="1"/>
        <v>-301046.58</v>
      </c>
    </row>
    <row r="119">
      <c r="A119" s="59">
        <v>45789.0</v>
      </c>
      <c r="B119" s="8" t="s">
        <v>690</v>
      </c>
      <c r="C119" s="8" t="s">
        <v>691</v>
      </c>
      <c r="D119" s="59">
        <v>45786.0</v>
      </c>
      <c r="E119" s="137">
        <v>1674573.58</v>
      </c>
      <c r="F119" s="137">
        <v>20377.0</v>
      </c>
      <c r="G119" s="8">
        <v>1435500.0</v>
      </c>
      <c r="H119" s="109">
        <f t="shared" si="1"/>
        <v>-218696.58</v>
      </c>
    </row>
    <row r="120">
      <c r="A120" s="59">
        <v>45790.0</v>
      </c>
      <c r="B120" s="8" t="s">
        <v>690</v>
      </c>
      <c r="C120" s="8" t="s">
        <v>691</v>
      </c>
      <c r="D120" s="59">
        <v>45789.0</v>
      </c>
      <c r="E120" s="137">
        <v>1674573.58</v>
      </c>
      <c r="F120" s="137">
        <v>20377.0</v>
      </c>
      <c r="G120" s="8">
        <v>964215.0</v>
      </c>
      <c r="H120" s="109">
        <f t="shared" si="1"/>
        <v>-689981.58</v>
      </c>
    </row>
    <row r="121">
      <c r="A121" s="59">
        <v>45791.0</v>
      </c>
      <c r="B121" s="8" t="s">
        <v>690</v>
      </c>
      <c r="C121" s="8" t="s">
        <v>691</v>
      </c>
      <c r="D121" s="59">
        <v>45790.0</v>
      </c>
      <c r="E121" s="137">
        <v>1674573.58</v>
      </c>
      <c r="F121" s="137">
        <v>20377.0</v>
      </c>
      <c r="G121" s="8">
        <v>1110105.0</v>
      </c>
      <c r="H121" s="109">
        <f t="shared" si="1"/>
        <v>-544091.58</v>
      </c>
    </row>
    <row r="122">
      <c r="A122" s="59">
        <v>45792.0</v>
      </c>
      <c r="B122" s="8" t="s">
        <v>690</v>
      </c>
      <c r="C122" s="8" t="s">
        <v>691</v>
      </c>
      <c r="D122" s="59">
        <v>45791.0</v>
      </c>
      <c r="E122" s="137">
        <v>1674573.58</v>
      </c>
      <c r="F122" s="137">
        <v>20377.0</v>
      </c>
      <c r="G122" s="8">
        <v>1067940.0</v>
      </c>
      <c r="H122" s="109">
        <f t="shared" si="1"/>
        <v>-586256.58</v>
      </c>
    </row>
    <row r="123">
      <c r="A123" s="59">
        <v>45793.0</v>
      </c>
      <c r="B123" s="8" t="s">
        <v>690</v>
      </c>
      <c r="C123" s="8" t="s">
        <v>691</v>
      </c>
      <c r="D123" s="59">
        <v>45792.0</v>
      </c>
      <c r="E123" s="137">
        <v>1674573.58</v>
      </c>
      <c r="F123" s="137">
        <v>20377.0</v>
      </c>
      <c r="G123" s="8">
        <v>914355.0</v>
      </c>
      <c r="H123" s="109">
        <f t="shared" si="1"/>
        <v>-739841.58</v>
      </c>
    </row>
    <row r="124">
      <c r="A124" s="59">
        <v>45796.0</v>
      </c>
      <c r="B124" s="8" t="s">
        <v>690</v>
      </c>
      <c r="C124" s="8" t="s">
        <v>691</v>
      </c>
      <c r="D124" s="59">
        <v>45793.0</v>
      </c>
      <c r="E124" s="137">
        <v>1674573.58</v>
      </c>
      <c r="F124" s="137">
        <v>20377.0</v>
      </c>
      <c r="G124" s="8">
        <v>906615.0</v>
      </c>
      <c r="H124" s="109">
        <f t="shared" si="1"/>
        <v>-747581.58</v>
      </c>
    </row>
    <row r="125">
      <c r="A125" s="59">
        <v>45797.0</v>
      </c>
      <c r="B125" s="8" t="s">
        <v>690</v>
      </c>
      <c r="C125" s="8" t="s">
        <v>691</v>
      </c>
      <c r="D125" s="59">
        <v>45796.0</v>
      </c>
      <c r="E125" s="137">
        <v>1674573.58</v>
      </c>
      <c r="F125" s="137">
        <v>20377.0</v>
      </c>
      <c r="G125" s="8">
        <v>962100.0</v>
      </c>
      <c r="H125" s="109">
        <f t="shared" si="1"/>
        <v>-692096.58</v>
      </c>
    </row>
    <row r="126">
      <c r="A126" s="59">
        <v>45798.0</v>
      </c>
      <c r="B126" s="8" t="s">
        <v>690</v>
      </c>
      <c r="C126" s="8" t="s">
        <v>691</v>
      </c>
      <c r="D126" s="59">
        <v>45797.0</v>
      </c>
      <c r="E126" s="137">
        <v>1674573.58</v>
      </c>
      <c r="F126" s="137">
        <v>20377.0</v>
      </c>
      <c r="G126" s="8">
        <v>1043775.0</v>
      </c>
      <c r="H126" s="109">
        <f t="shared" si="1"/>
        <v>-610421.58</v>
      </c>
    </row>
    <row r="127">
      <c r="A127" s="59">
        <v>45799.0</v>
      </c>
      <c r="B127" s="8" t="s">
        <v>690</v>
      </c>
      <c r="C127" s="8" t="s">
        <v>691</v>
      </c>
      <c r="D127" s="59">
        <v>45798.0</v>
      </c>
      <c r="E127" s="137">
        <v>1674573.58</v>
      </c>
      <c r="F127" s="137">
        <v>20377.0</v>
      </c>
      <c r="G127" s="8">
        <v>1035585.0</v>
      </c>
      <c r="H127" s="109">
        <f t="shared" si="1"/>
        <v>-618611.58</v>
      </c>
    </row>
    <row r="128">
      <c r="A128" s="59">
        <v>45800.0</v>
      </c>
      <c r="B128" s="8" t="s">
        <v>690</v>
      </c>
      <c r="C128" s="8" t="s">
        <v>691</v>
      </c>
      <c r="D128" s="59">
        <v>45799.0</v>
      </c>
      <c r="E128" s="137">
        <v>1674573.58</v>
      </c>
      <c r="F128" s="137">
        <v>20377.0</v>
      </c>
      <c r="G128" s="8">
        <v>1102995.0</v>
      </c>
      <c r="H128" s="109">
        <f t="shared" si="1"/>
        <v>-551201.58</v>
      </c>
    </row>
    <row r="129">
      <c r="A129" s="59">
        <v>45803.0</v>
      </c>
      <c r="B129" s="8" t="s">
        <v>690</v>
      </c>
      <c r="C129" s="8" t="s">
        <v>691</v>
      </c>
      <c r="D129" s="59">
        <v>45800.0</v>
      </c>
      <c r="E129" s="137">
        <v>1674573.58</v>
      </c>
      <c r="F129" s="137">
        <v>20377.0</v>
      </c>
      <c r="G129" s="8">
        <v>1023660.0</v>
      </c>
      <c r="H129" s="109">
        <f t="shared" si="1"/>
        <v>-630536.58</v>
      </c>
    </row>
    <row r="130">
      <c r="A130" s="59">
        <v>45804.0</v>
      </c>
      <c r="B130" s="8" t="s">
        <v>690</v>
      </c>
      <c r="C130" s="8" t="s">
        <v>691</v>
      </c>
      <c r="D130" s="59">
        <v>45803.0</v>
      </c>
      <c r="E130" s="137">
        <v>1674573.58</v>
      </c>
      <c r="F130" s="137">
        <v>20377.0</v>
      </c>
      <c r="G130" s="8">
        <v>976680.0</v>
      </c>
      <c r="H130" s="109">
        <f t="shared" si="1"/>
        <v>-677516.58</v>
      </c>
    </row>
    <row r="131">
      <c r="A131" s="59">
        <v>45805.0</v>
      </c>
      <c r="B131" s="8" t="s">
        <v>690</v>
      </c>
      <c r="C131" s="8" t="s">
        <v>691</v>
      </c>
      <c r="D131" s="59">
        <v>45804.0</v>
      </c>
      <c r="E131" s="137">
        <v>1674573.58</v>
      </c>
      <c r="F131" s="137">
        <v>20377.0</v>
      </c>
      <c r="G131" s="8">
        <v>1041075.0</v>
      </c>
      <c r="H131" s="109">
        <f t="shared" si="1"/>
        <v>-613121.58</v>
      </c>
    </row>
    <row r="132">
      <c r="A132" s="59">
        <v>45806.0</v>
      </c>
      <c r="B132" s="8" t="s">
        <v>690</v>
      </c>
      <c r="C132" s="8" t="s">
        <v>691</v>
      </c>
      <c r="D132" s="59">
        <v>45805.0</v>
      </c>
      <c r="E132" s="137">
        <v>1674573.58</v>
      </c>
      <c r="F132" s="137">
        <v>20377.0</v>
      </c>
      <c r="G132" s="8">
        <v>1068660.0</v>
      </c>
      <c r="H132" s="109">
        <f t="shared" si="1"/>
        <v>-585536.58</v>
      </c>
    </row>
    <row r="133">
      <c r="A133" s="59">
        <v>45807.0</v>
      </c>
      <c r="B133" s="8" t="s">
        <v>690</v>
      </c>
      <c r="C133" s="8" t="s">
        <v>691</v>
      </c>
      <c r="D133" s="59">
        <v>45806.0</v>
      </c>
      <c r="E133" s="137">
        <v>1674573.58</v>
      </c>
      <c r="F133" s="137">
        <v>20377.0</v>
      </c>
      <c r="G133" s="8">
        <v>1027485.0</v>
      </c>
      <c r="H133" s="109">
        <f t="shared" si="1"/>
        <v>-626711.58</v>
      </c>
    </row>
    <row r="134">
      <c r="A134" s="59">
        <v>45810.0</v>
      </c>
      <c r="B134" s="8" t="s">
        <v>690</v>
      </c>
      <c r="C134" s="8" t="s">
        <v>691</v>
      </c>
      <c r="D134" s="59">
        <v>45807.0</v>
      </c>
      <c r="E134" s="137">
        <v>1674573.58</v>
      </c>
      <c r="F134" s="137">
        <v>20377.0</v>
      </c>
      <c r="G134" s="8">
        <v>1065105.0</v>
      </c>
      <c r="H134" s="109">
        <f t="shared" si="1"/>
        <v>-589091.58</v>
      </c>
    </row>
    <row r="135">
      <c r="A135" s="59">
        <v>45811.0</v>
      </c>
      <c r="B135" s="8" t="s">
        <v>690</v>
      </c>
      <c r="C135" s="8" t="s">
        <v>691</v>
      </c>
      <c r="D135" s="59">
        <v>45810.0</v>
      </c>
      <c r="E135" s="137">
        <v>1674573.58</v>
      </c>
      <c r="F135" s="137">
        <v>20377.0</v>
      </c>
      <c r="G135" s="8">
        <v>1104795.0</v>
      </c>
      <c r="H135" s="109">
        <f t="shared" si="1"/>
        <v>-549401.58</v>
      </c>
    </row>
    <row r="136">
      <c r="A136" s="59">
        <v>45812.0</v>
      </c>
      <c r="B136" s="8" t="s">
        <v>690</v>
      </c>
      <c r="C136" s="8" t="s">
        <v>691</v>
      </c>
      <c r="D136" s="59">
        <v>45811.0</v>
      </c>
      <c r="E136" s="137">
        <v>1674573.58</v>
      </c>
      <c r="F136" s="137">
        <v>20377.0</v>
      </c>
      <c r="G136" s="8">
        <v>1151235.0</v>
      </c>
      <c r="H136" s="109">
        <f t="shared" si="1"/>
        <v>-502961.58</v>
      </c>
    </row>
    <row r="137">
      <c r="A137" s="59">
        <v>45813.0</v>
      </c>
      <c r="B137" s="8" t="s">
        <v>690</v>
      </c>
      <c r="C137" s="8" t="s">
        <v>691</v>
      </c>
      <c r="D137" s="59">
        <v>45812.0</v>
      </c>
      <c r="E137" s="137">
        <v>1674573.58</v>
      </c>
      <c r="F137" s="137">
        <v>20377.0</v>
      </c>
      <c r="G137" s="8">
        <v>1126170.0</v>
      </c>
      <c r="H137" s="109">
        <f t="shared" si="1"/>
        <v>-528026.58</v>
      </c>
    </row>
    <row r="138">
      <c r="A138" s="59">
        <v>45814.0</v>
      </c>
      <c r="B138" s="8" t="s">
        <v>690</v>
      </c>
      <c r="C138" s="8" t="s">
        <v>691</v>
      </c>
      <c r="D138" s="59">
        <v>45813.0</v>
      </c>
      <c r="E138" s="137">
        <v>1674573.58</v>
      </c>
      <c r="F138" s="137">
        <v>20377.0</v>
      </c>
      <c r="G138" s="8">
        <v>1056870.0</v>
      </c>
      <c r="H138" s="109">
        <f t="shared" si="1"/>
        <v>-597326.58</v>
      </c>
    </row>
    <row r="139">
      <c r="A139" s="59">
        <v>45817.0</v>
      </c>
      <c r="B139" s="8" t="s">
        <v>690</v>
      </c>
      <c r="C139" s="8" t="s">
        <v>691</v>
      </c>
      <c r="D139" s="59">
        <v>45814.0</v>
      </c>
      <c r="E139" s="137">
        <v>1674573.58</v>
      </c>
      <c r="F139" s="137">
        <v>20377.0</v>
      </c>
      <c r="G139" s="8">
        <v>952470.0</v>
      </c>
      <c r="H139" s="109">
        <f t="shared" si="1"/>
        <v>-701726.58</v>
      </c>
    </row>
    <row r="140">
      <c r="A140" s="59">
        <v>45818.0</v>
      </c>
      <c r="B140" s="8" t="s">
        <v>690</v>
      </c>
      <c r="C140" s="8" t="s">
        <v>691</v>
      </c>
      <c r="D140" s="59">
        <v>45817.0</v>
      </c>
      <c r="E140" s="137">
        <v>1674573.58</v>
      </c>
      <c r="F140" s="137">
        <v>20377.0</v>
      </c>
      <c r="G140" s="8">
        <v>910215.0</v>
      </c>
      <c r="H140" s="109">
        <f t="shared" si="1"/>
        <v>-743981.58</v>
      </c>
    </row>
    <row r="141">
      <c r="A141" s="59">
        <v>45819.0</v>
      </c>
      <c r="B141" s="8" t="s">
        <v>690</v>
      </c>
      <c r="C141" s="8" t="s">
        <v>691</v>
      </c>
      <c r="D141" s="59">
        <v>45818.0</v>
      </c>
      <c r="E141" s="137">
        <v>1674573.58</v>
      </c>
      <c r="F141" s="137">
        <v>20377.0</v>
      </c>
      <c r="G141" s="8">
        <v>915345.0</v>
      </c>
      <c r="H141" s="109">
        <f t="shared" si="1"/>
        <v>-738851.58</v>
      </c>
    </row>
    <row r="142">
      <c r="A142" s="59">
        <v>45820.0</v>
      </c>
      <c r="B142" s="8" t="s">
        <v>690</v>
      </c>
      <c r="C142" s="8" t="s">
        <v>691</v>
      </c>
      <c r="D142" s="59">
        <v>45819.0</v>
      </c>
      <c r="E142" s="137">
        <v>1674573.58</v>
      </c>
      <c r="F142" s="137">
        <v>20377.0</v>
      </c>
      <c r="G142" s="8">
        <v>887985.0</v>
      </c>
      <c r="H142" s="109">
        <f t="shared" si="1"/>
        <v>-766211.58</v>
      </c>
    </row>
    <row r="143">
      <c r="A143" s="59">
        <v>45821.0</v>
      </c>
      <c r="B143" s="8" t="s">
        <v>690</v>
      </c>
      <c r="C143" s="8" t="s">
        <v>691</v>
      </c>
      <c r="D143" s="59">
        <v>45820.0</v>
      </c>
      <c r="E143" s="137">
        <v>1674573.58</v>
      </c>
      <c r="F143" s="137">
        <v>20377.0</v>
      </c>
      <c r="G143" s="8">
        <v>1013220.0</v>
      </c>
      <c r="H143" s="109">
        <f t="shared" si="1"/>
        <v>-640976.58</v>
      </c>
    </row>
    <row r="144">
      <c r="A144" s="59">
        <v>45824.0</v>
      </c>
      <c r="B144" s="8" t="s">
        <v>690</v>
      </c>
      <c r="C144" s="8" t="s">
        <v>691</v>
      </c>
      <c r="D144" s="59">
        <v>45821.0</v>
      </c>
      <c r="E144" s="137">
        <v>1674573.58</v>
      </c>
      <c r="F144" s="137">
        <v>20377.0</v>
      </c>
      <c r="G144" s="8">
        <v>1111140.0</v>
      </c>
      <c r="H144" s="109">
        <f t="shared" si="1"/>
        <v>-543056.58</v>
      </c>
    </row>
    <row r="145">
      <c r="A145" s="59">
        <v>45825.0</v>
      </c>
      <c r="B145" s="8" t="s">
        <v>690</v>
      </c>
      <c r="C145" s="8" t="s">
        <v>691</v>
      </c>
      <c r="D145" s="59">
        <v>45824.0</v>
      </c>
      <c r="E145" s="137">
        <v>1674573.58</v>
      </c>
      <c r="F145" s="137">
        <v>20377.0</v>
      </c>
      <c r="G145" s="8">
        <v>982350.0</v>
      </c>
      <c r="H145" s="109">
        <f t="shared" si="1"/>
        <v>-671846.58</v>
      </c>
    </row>
    <row r="146">
      <c r="A146" s="59">
        <v>45826.0</v>
      </c>
      <c r="B146" s="8" t="s">
        <v>690</v>
      </c>
      <c r="C146" s="8" t="s">
        <v>691</v>
      </c>
      <c r="D146" s="59">
        <v>45825.0</v>
      </c>
      <c r="E146" s="137">
        <v>1674573.58</v>
      </c>
      <c r="F146" s="137">
        <v>20377.0</v>
      </c>
      <c r="G146" s="8">
        <v>1037565.0</v>
      </c>
      <c r="H146" s="109">
        <f t="shared" si="1"/>
        <v>-616631.58</v>
      </c>
    </row>
    <row r="147">
      <c r="A147" s="59">
        <v>45827.0</v>
      </c>
      <c r="B147" s="8" t="s">
        <v>690</v>
      </c>
      <c r="C147" s="8" t="s">
        <v>691</v>
      </c>
      <c r="D147" s="59">
        <v>45826.0</v>
      </c>
      <c r="E147" s="137">
        <v>1674573.58</v>
      </c>
      <c r="F147" s="137">
        <v>20377.0</v>
      </c>
      <c r="G147" s="8">
        <v>1057995.0</v>
      </c>
      <c r="H147" s="109">
        <f t="shared" si="1"/>
        <v>-596201.58</v>
      </c>
    </row>
    <row r="148">
      <c r="A148" s="59">
        <v>45828.0</v>
      </c>
      <c r="B148" s="8" t="s">
        <v>690</v>
      </c>
      <c r="C148" s="8" t="s">
        <v>691</v>
      </c>
      <c r="D148" s="59">
        <v>45827.0</v>
      </c>
      <c r="E148" s="137">
        <v>1674573.58</v>
      </c>
      <c r="F148" s="137">
        <v>20377.0</v>
      </c>
      <c r="G148" s="8">
        <v>1062135.0</v>
      </c>
      <c r="H148" s="109">
        <f t="shared" si="1"/>
        <v>-592061.58</v>
      </c>
    </row>
    <row r="149">
      <c r="A149" s="59">
        <v>45831.0</v>
      </c>
      <c r="B149" s="8" t="s">
        <v>690</v>
      </c>
      <c r="C149" s="8" t="s">
        <v>691</v>
      </c>
      <c r="D149" s="59">
        <v>45828.0</v>
      </c>
      <c r="E149" s="137">
        <v>1674573.58</v>
      </c>
      <c r="F149" s="137">
        <v>20377.0</v>
      </c>
      <c r="G149" s="8">
        <v>927675.0</v>
      </c>
      <c r="H149" s="109">
        <f t="shared" si="1"/>
        <v>-726521.58</v>
      </c>
    </row>
    <row r="150">
      <c r="A150" s="59">
        <v>45832.0</v>
      </c>
      <c r="B150" s="8" t="s">
        <v>690</v>
      </c>
      <c r="C150" s="8" t="s">
        <v>691</v>
      </c>
      <c r="D150" s="59">
        <v>45831.0</v>
      </c>
      <c r="E150" s="137">
        <v>1674573.58</v>
      </c>
      <c r="F150" s="137">
        <v>20377.0</v>
      </c>
      <c r="G150" s="8">
        <v>964980.0</v>
      </c>
      <c r="H150" s="109">
        <f t="shared" si="1"/>
        <v>-689216.58</v>
      </c>
    </row>
    <row r="151">
      <c r="A151" s="59">
        <v>45833.0</v>
      </c>
      <c r="B151" s="8" t="s">
        <v>690</v>
      </c>
      <c r="C151" s="8" t="s">
        <v>691</v>
      </c>
      <c r="D151" s="59">
        <v>45832.0</v>
      </c>
      <c r="E151" s="137">
        <v>1674573.58</v>
      </c>
      <c r="F151" s="137">
        <v>20377.0</v>
      </c>
      <c r="G151" s="8">
        <v>907245.0</v>
      </c>
      <c r="H151" s="109">
        <f t="shared" si="1"/>
        <v>-746951.58</v>
      </c>
    </row>
    <row r="152">
      <c r="A152" s="59">
        <v>45834.0</v>
      </c>
      <c r="B152" s="8" t="s">
        <v>690</v>
      </c>
      <c r="C152" s="8" t="s">
        <v>691</v>
      </c>
      <c r="D152" s="59">
        <v>45833.0</v>
      </c>
      <c r="E152" s="137">
        <v>1674573.58</v>
      </c>
      <c r="F152" s="137">
        <v>20377.0</v>
      </c>
      <c r="G152" s="8">
        <v>836100.0</v>
      </c>
      <c r="H152" s="109">
        <f t="shared" si="1"/>
        <v>-818096.58</v>
      </c>
    </row>
    <row r="153">
      <c r="A153" s="59">
        <v>45835.0</v>
      </c>
      <c r="B153" s="8" t="s">
        <v>690</v>
      </c>
      <c r="C153" s="8" t="s">
        <v>691</v>
      </c>
      <c r="D153" s="59">
        <v>45834.0</v>
      </c>
      <c r="E153" s="137">
        <v>1674573.58</v>
      </c>
      <c r="F153" s="137">
        <v>20377.0</v>
      </c>
      <c r="G153" s="8">
        <v>721530.0</v>
      </c>
      <c r="H153" s="109">
        <f t="shared" si="1"/>
        <v>-932666.58</v>
      </c>
    </row>
    <row r="154">
      <c r="A154" s="59">
        <v>45838.0</v>
      </c>
      <c r="B154" s="8" t="s">
        <v>690</v>
      </c>
      <c r="C154" s="8" t="s">
        <v>691</v>
      </c>
      <c r="D154" s="59">
        <v>45835.0</v>
      </c>
      <c r="E154" s="137">
        <v>1674573.58</v>
      </c>
      <c r="F154" s="137">
        <v>20377.0</v>
      </c>
      <c r="G154" s="8">
        <v>662400.0</v>
      </c>
      <c r="H154" s="109">
        <f t="shared" si="1"/>
        <v>-991796.58</v>
      </c>
    </row>
    <row r="155">
      <c r="A155" s="59">
        <v>45839.0</v>
      </c>
      <c r="B155" s="8" t="s">
        <v>690</v>
      </c>
      <c r="C155" s="8" t="s">
        <v>691</v>
      </c>
      <c r="D155" s="59">
        <v>45838.0</v>
      </c>
      <c r="E155" s="137">
        <v>1674573.58</v>
      </c>
      <c r="F155" s="137">
        <v>20377.0</v>
      </c>
      <c r="G155" s="8">
        <v>708345.0</v>
      </c>
      <c r="H155" s="109">
        <f t="shared" si="1"/>
        <v>-945851.58</v>
      </c>
    </row>
    <row r="156">
      <c r="A156" s="59">
        <v>45840.0</v>
      </c>
      <c r="B156" s="8" t="s">
        <v>690</v>
      </c>
      <c r="C156" s="8" t="s">
        <v>691</v>
      </c>
      <c r="D156" s="59">
        <v>45839.0</v>
      </c>
      <c r="E156" s="137">
        <v>1674573.58</v>
      </c>
      <c r="F156" s="137">
        <v>20377.0</v>
      </c>
      <c r="G156" s="8">
        <v>688050.0</v>
      </c>
      <c r="H156" s="109">
        <f t="shared" si="1"/>
        <v>-966146.58</v>
      </c>
    </row>
    <row r="157">
      <c r="A157" s="59">
        <v>45841.0</v>
      </c>
      <c r="B157" s="8" t="s">
        <v>690</v>
      </c>
      <c r="C157" s="8" t="s">
        <v>691</v>
      </c>
      <c r="D157" s="59">
        <v>45840.0</v>
      </c>
      <c r="E157" s="137">
        <v>1674573.58</v>
      </c>
      <c r="F157" s="137">
        <v>20377.0</v>
      </c>
      <c r="G157" s="8">
        <v>715725.0</v>
      </c>
      <c r="H157" s="109">
        <f t="shared" si="1"/>
        <v>-938471.58</v>
      </c>
    </row>
    <row r="158">
      <c r="A158" s="59">
        <v>45842.0</v>
      </c>
      <c r="B158" s="8" t="s">
        <v>690</v>
      </c>
      <c r="C158" s="8" t="s">
        <v>691</v>
      </c>
      <c r="D158" s="59">
        <v>45841.0</v>
      </c>
      <c r="E158" s="137">
        <v>1674573.58</v>
      </c>
      <c r="F158" s="137">
        <v>20377.0</v>
      </c>
      <c r="G158" s="8">
        <v>729360.0</v>
      </c>
      <c r="H158" s="109">
        <f t="shared" si="1"/>
        <v>-924836.58</v>
      </c>
    </row>
    <row r="159">
      <c r="A159" s="59">
        <v>45845.0</v>
      </c>
      <c r="B159" s="8" t="s">
        <v>690</v>
      </c>
      <c r="C159" s="8" t="s">
        <v>691</v>
      </c>
      <c r="D159" s="59">
        <v>45842.0</v>
      </c>
      <c r="E159" s="137">
        <v>1674573.58</v>
      </c>
      <c r="F159" s="137">
        <v>20377.0</v>
      </c>
      <c r="G159" s="8">
        <v>706545.0</v>
      </c>
      <c r="H159" s="109">
        <f t="shared" si="1"/>
        <v>-947651.58</v>
      </c>
    </row>
    <row r="160">
      <c r="A160" s="59">
        <v>45846.0</v>
      </c>
      <c r="B160" s="8" t="s">
        <v>690</v>
      </c>
      <c r="C160" s="8" t="s">
        <v>691</v>
      </c>
      <c r="D160" s="59">
        <v>45845.0</v>
      </c>
      <c r="E160" s="137">
        <v>1674573.58</v>
      </c>
      <c r="F160" s="137">
        <v>20377.0</v>
      </c>
      <c r="G160" s="8">
        <v>703530.0</v>
      </c>
      <c r="H160" s="109">
        <f t="shared" si="1"/>
        <v>-950666.58</v>
      </c>
    </row>
    <row r="161">
      <c r="A161" s="59">
        <v>45847.0</v>
      </c>
      <c r="B161" s="8" t="s">
        <v>690</v>
      </c>
      <c r="C161" s="8" t="s">
        <v>691</v>
      </c>
      <c r="D161" s="59">
        <v>45846.0</v>
      </c>
      <c r="E161" s="137">
        <v>1674573.58</v>
      </c>
      <c r="F161" s="137">
        <v>20377.0</v>
      </c>
      <c r="G161" s="8">
        <v>666720.0</v>
      </c>
      <c r="H161" s="109">
        <f t="shared" si="1"/>
        <v>-987476.58</v>
      </c>
    </row>
    <row r="162">
      <c r="A162" s="59">
        <v>45848.0</v>
      </c>
      <c r="B162" s="8" t="s">
        <v>690</v>
      </c>
      <c r="C162" s="8" t="s">
        <v>691</v>
      </c>
      <c r="D162" s="59">
        <v>45847.0</v>
      </c>
      <c r="E162" s="137">
        <v>1674573.58</v>
      </c>
      <c r="F162" s="137">
        <v>20377.0</v>
      </c>
      <c r="G162" s="8">
        <v>674685.0</v>
      </c>
      <c r="H162" s="109">
        <f t="shared" si="1"/>
        <v>-979511.58</v>
      </c>
    </row>
    <row r="163">
      <c r="A163" s="59">
        <v>45849.0</v>
      </c>
      <c r="B163" s="8" t="s">
        <v>690</v>
      </c>
      <c r="C163" s="8" t="s">
        <v>691</v>
      </c>
      <c r="D163" s="59">
        <v>45848.0</v>
      </c>
      <c r="E163" s="137">
        <v>1674573.58</v>
      </c>
      <c r="F163" s="137">
        <v>20377.0</v>
      </c>
      <c r="G163" s="8">
        <v>708120.0</v>
      </c>
      <c r="H163" s="109">
        <f t="shared" si="1"/>
        <v>-946076.58</v>
      </c>
    </row>
    <row r="164">
      <c r="A164" s="59">
        <v>45852.0</v>
      </c>
      <c r="B164" s="8" t="s">
        <v>690</v>
      </c>
      <c r="C164" s="8" t="s">
        <v>691</v>
      </c>
      <c r="D164" s="59">
        <v>45849.0</v>
      </c>
      <c r="E164" s="137">
        <v>1674573.58</v>
      </c>
      <c r="F164" s="137">
        <v>20377.0</v>
      </c>
      <c r="G164" s="8">
        <v>786240.0</v>
      </c>
      <c r="H164" s="109">
        <f t="shared" si="1"/>
        <v>-867956.58</v>
      </c>
    </row>
    <row r="165">
      <c r="A165" s="59">
        <v>45853.0</v>
      </c>
      <c r="B165" s="8" t="s">
        <v>690</v>
      </c>
      <c r="C165" s="8" t="s">
        <v>691</v>
      </c>
      <c r="D165" s="59">
        <v>45852.0</v>
      </c>
      <c r="E165" s="137">
        <v>1674573.58</v>
      </c>
      <c r="F165" s="137">
        <v>20377.0</v>
      </c>
      <c r="G165" s="8">
        <v>795555.0</v>
      </c>
      <c r="H165" s="109">
        <f t="shared" si="1"/>
        <v>-858641.58</v>
      </c>
    </row>
    <row r="166">
      <c r="A166" s="59">
        <v>45854.0</v>
      </c>
      <c r="B166" s="8" t="s">
        <v>690</v>
      </c>
      <c r="C166" s="8" t="s">
        <v>691</v>
      </c>
      <c r="D166" s="59">
        <v>45853.0</v>
      </c>
      <c r="E166" s="137">
        <v>1674573.58</v>
      </c>
      <c r="F166" s="137">
        <v>20377.0</v>
      </c>
      <c r="G166" s="8">
        <v>750150.0</v>
      </c>
      <c r="H166" s="109">
        <f t="shared" si="1"/>
        <v>-904046.58</v>
      </c>
    </row>
    <row r="167">
      <c r="A167" s="59">
        <v>45855.0</v>
      </c>
      <c r="B167" s="8" t="s">
        <v>690</v>
      </c>
      <c r="C167" s="8" t="s">
        <v>691</v>
      </c>
      <c r="D167" s="59">
        <v>45854.0</v>
      </c>
      <c r="E167" s="137">
        <v>1674573.58</v>
      </c>
      <c r="F167" s="137">
        <v>20377.0</v>
      </c>
      <c r="G167" s="8">
        <v>736065.0</v>
      </c>
      <c r="H167" s="109">
        <f t="shared" si="1"/>
        <v>-918131.58</v>
      </c>
    </row>
    <row r="168">
      <c r="A168" s="59">
        <v>45856.0</v>
      </c>
      <c r="B168" s="8" t="s">
        <v>690</v>
      </c>
      <c r="C168" s="8" t="s">
        <v>691</v>
      </c>
      <c r="D168" s="59">
        <v>45855.0</v>
      </c>
      <c r="E168" s="137">
        <v>1674573.58</v>
      </c>
      <c r="F168" s="137">
        <v>20377.0</v>
      </c>
      <c r="G168" s="8">
        <v>756495.0</v>
      </c>
      <c r="H168" s="109">
        <f t="shared" si="1"/>
        <v>-897701.58</v>
      </c>
    </row>
    <row r="169">
      <c r="A169" s="59">
        <v>45859.0</v>
      </c>
      <c r="B169" s="8" t="s">
        <v>690</v>
      </c>
      <c r="C169" s="8" t="s">
        <v>691</v>
      </c>
      <c r="D169" s="59">
        <v>45856.0</v>
      </c>
      <c r="E169" s="137">
        <v>1674573.58</v>
      </c>
      <c r="F169" s="137">
        <v>20377.0</v>
      </c>
      <c r="G169" s="8">
        <v>828720.0</v>
      </c>
      <c r="H169" s="109">
        <f t="shared" si="1"/>
        <v>-825476.58</v>
      </c>
    </row>
    <row r="170">
      <c r="A170" s="59">
        <v>45860.0</v>
      </c>
      <c r="B170" s="8" t="s">
        <v>690</v>
      </c>
      <c r="C170" s="8" t="s">
        <v>691</v>
      </c>
      <c r="D170" s="59">
        <v>45859.0</v>
      </c>
      <c r="E170" s="137">
        <v>1674573.58</v>
      </c>
      <c r="F170" s="137">
        <v>20377.0</v>
      </c>
      <c r="G170" s="8">
        <v>770985.0</v>
      </c>
      <c r="H170" s="109">
        <f t="shared" si="1"/>
        <v>-883211.58</v>
      </c>
    </row>
    <row r="171">
      <c r="A171" s="59">
        <v>45861.0</v>
      </c>
      <c r="B171" s="8" t="s">
        <v>690</v>
      </c>
      <c r="C171" s="8" t="s">
        <v>691</v>
      </c>
      <c r="D171" s="59">
        <v>45860.0</v>
      </c>
      <c r="E171" s="137">
        <v>1674573.58</v>
      </c>
      <c r="F171" s="137">
        <v>20377.0</v>
      </c>
      <c r="G171" s="8">
        <v>766440.0</v>
      </c>
      <c r="H171" s="109">
        <f t="shared" si="1"/>
        <v>-887756.58</v>
      </c>
    </row>
    <row r="172">
      <c r="A172" s="59">
        <v>45862.0</v>
      </c>
      <c r="B172" s="8" t="s">
        <v>690</v>
      </c>
      <c r="C172" s="8" t="s">
        <v>691</v>
      </c>
      <c r="D172" s="59">
        <v>45861.0</v>
      </c>
      <c r="E172" s="137">
        <v>1674573.58</v>
      </c>
      <c r="F172" s="137">
        <v>20377.0</v>
      </c>
      <c r="G172" s="8">
        <v>689220.0</v>
      </c>
      <c r="H172" s="109">
        <f t="shared" si="1"/>
        <v>-964976.58</v>
      </c>
    </row>
    <row r="173">
      <c r="A173" s="59">
        <v>45863.0</v>
      </c>
      <c r="B173" s="8" t="s">
        <v>690</v>
      </c>
      <c r="C173" s="8" t="s">
        <v>691</v>
      </c>
      <c r="D173" s="59">
        <v>45862.0</v>
      </c>
      <c r="E173" s="137">
        <v>1674573.58</v>
      </c>
      <c r="F173" s="137">
        <v>20377.0</v>
      </c>
      <c r="G173" s="8">
        <v>760050.0</v>
      </c>
      <c r="H173" s="109">
        <f t="shared" si="1"/>
        <v>-894146.58</v>
      </c>
    </row>
    <row r="174">
      <c r="A174" s="59">
        <v>45866.0</v>
      </c>
      <c r="B174" s="8" t="s">
        <v>690</v>
      </c>
      <c r="C174" s="8" t="s">
        <v>691</v>
      </c>
      <c r="D174" s="59">
        <v>45863.0</v>
      </c>
      <c r="E174" s="137">
        <v>1674573.58</v>
      </c>
      <c r="F174" s="137">
        <v>20377.0</v>
      </c>
      <c r="G174" s="8">
        <v>886140.0</v>
      </c>
      <c r="H174" s="109">
        <f t="shared" si="1"/>
        <v>-768056.58</v>
      </c>
    </row>
    <row r="175">
      <c r="A175" s="59">
        <v>45867.0</v>
      </c>
      <c r="B175" s="8" t="s">
        <v>690</v>
      </c>
      <c r="C175" s="8" t="s">
        <v>691</v>
      </c>
      <c r="D175" s="59">
        <v>45866.0</v>
      </c>
      <c r="E175" s="137">
        <v>1674573.58</v>
      </c>
      <c r="F175" s="137">
        <v>20377.0</v>
      </c>
      <c r="G175" s="8">
        <v>970740.0</v>
      </c>
      <c r="H175" s="109">
        <f t="shared" si="1"/>
        <v>-683456.58</v>
      </c>
    </row>
    <row r="176">
      <c r="A176" s="59">
        <v>45868.0</v>
      </c>
      <c r="B176" s="8" t="s">
        <v>690</v>
      </c>
      <c r="C176" s="8" t="s">
        <v>691</v>
      </c>
      <c r="D176" s="59">
        <v>45867.0</v>
      </c>
      <c r="E176" s="137">
        <v>1674573.58</v>
      </c>
      <c r="F176" s="137">
        <v>20377.0</v>
      </c>
      <c r="G176" s="8">
        <v>895995.0</v>
      </c>
      <c r="H176" s="109">
        <f t="shared" si="1"/>
        <v>-758201.58</v>
      </c>
    </row>
    <row r="177">
      <c r="A177" s="59">
        <v>45869.0</v>
      </c>
      <c r="B177" s="8" t="s">
        <v>690</v>
      </c>
      <c r="C177" s="8" t="s">
        <v>691</v>
      </c>
      <c r="D177" s="59">
        <v>45868.0</v>
      </c>
      <c r="E177" s="137">
        <v>1674573.58</v>
      </c>
      <c r="F177" s="137">
        <v>20377.0</v>
      </c>
      <c r="G177" s="8">
        <v>877185.0</v>
      </c>
      <c r="H177" s="109">
        <f t="shared" si="1"/>
        <v>-777011.58</v>
      </c>
    </row>
    <row r="178">
      <c r="A178" s="59">
        <v>45870.0</v>
      </c>
      <c r="B178" s="8" t="s">
        <v>690</v>
      </c>
      <c r="C178" s="8" t="s">
        <v>691</v>
      </c>
      <c r="D178" s="59">
        <v>45869.0</v>
      </c>
      <c r="E178" s="137">
        <v>1674573.58</v>
      </c>
      <c r="F178" s="137">
        <v>20377.0</v>
      </c>
      <c r="G178" s="8">
        <v>920925.0</v>
      </c>
      <c r="H178" s="109">
        <f t="shared" si="1"/>
        <v>-733271.58</v>
      </c>
    </row>
    <row r="179">
      <c r="A179" s="59">
        <v>45873.0</v>
      </c>
      <c r="B179" s="8" t="s">
        <v>690</v>
      </c>
      <c r="C179" s="8" t="s">
        <v>691</v>
      </c>
      <c r="D179" s="59">
        <v>45870.0</v>
      </c>
      <c r="E179" s="137">
        <v>1674573.58</v>
      </c>
      <c r="F179" s="137">
        <v>20377.0</v>
      </c>
      <c r="G179" s="8">
        <v>1056600.0</v>
      </c>
      <c r="H179" s="109">
        <f t="shared" si="1"/>
        <v>-597596.58</v>
      </c>
    </row>
    <row r="180">
      <c r="A180" s="59">
        <v>45874.0</v>
      </c>
      <c r="B180" s="8" t="s">
        <v>690</v>
      </c>
      <c r="C180" s="8" t="s">
        <v>691</v>
      </c>
      <c r="D180" s="59">
        <v>45873.0</v>
      </c>
      <c r="E180" s="137">
        <v>1674573.58</v>
      </c>
      <c r="F180" s="137">
        <v>20377.0</v>
      </c>
      <c r="G180" s="8">
        <v>967680.0</v>
      </c>
      <c r="H180" s="109">
        <f t="shared" si="1"/>
        <v>-686516.58</v>
      </c>
    </row>
    <row r="181">
      <c r="A181" s="59">
        <v>45875.0</v>
      </c>
      <c r="B181" s="8" t="s">
        <v>690</v>
      </c>
      <c r="C181" s="8" t="s">
        <v>691</v>
      </c>
      <c r="D181" s="59">
        <v>45874.0</v>
      </c>
      <c r="E181" s="137">
        <v>1674573.58</v>
      </c>
      <c r="F181" s="137">
        <v>20377.0</v>
      </c>
      <c r="G181" s="8">
        <v>1007820.0</v>
      </c>
      <c r="H181" s="109">
        <f t="shared" si="1"/>
        <v>-646376.58</v>
      </c>
    </row>
    <row r="182">
      <c r="A182" s="59">
        <v>45876.0</v>
      </c>
      <c r="B182" s="8" t="s">
        <v>690</v>
      </c>
      <c r="C182" s="8" t="s">
        <v>691</v>
      </c>
      <c r="D182" s="59">
        <v>45875.0</v>
      </c>
      <c r="E182" s="137">
        <v>1674573.58</v>
      </c>
      <c r="F182" s="137">
        <v>20377.0</v>
      </c>
      <c r="G182" s="8">
        <v>1062360.0</v>
      </c>
      <c r="H182" s="109">
        <f t="shared" si="1"/>
        <v>-591836.58</v>
      </c>
    </row>
    <row r="183">
      <c r="A183" s="59">
        <v>45877.0</v>
      </c>
      <c r="B183" s="8" t="s">
        <v>690</v>
      </c>
      <c r="C183" s="8" t="s">
        <v>691</v>
      </c>
      <c r="D183" s="59">
        <v>45876.0</v>
      </c>
      <c r="E183" s="137">
        <v>1674573.58</v>
      </c>
      <c r="F183" s="137">
        <v>20377.0</v>
      </c>
      <c r="G183" s="8">
        <v>1019880.0</v>
      </c>
      <c r="H183" s="109">
        <f t="shared" si="1"/>
        <v>-634316.58</v>
      </c>
    </row>
    <row r="184">
      <c r="A184" s="59">
        <v>45880.0</v>
      </c>
      <c r="B184" s="8" t="s">
        <v>690</v>
      </c>
      <c r="C184" s="8" t="s">
        <v>691</v>
      </c>
      <c r="D184" s="59">
        <v>45877.0</v>
      </c>
      <c r="E184" s="137">
        <v>1674573.58</v>
      </c>
      <c r="F184" s="137">
        <v>20377.0</v>
      </c>
      <c r="G184" s="8">
        <v>1163475.0</v>
      </c>
      <c r="H184" s="109">
        <f t="shared" si="1"/>
        <v>-490721.58</v>
      </c>
    </row>
    <row r="185">
      <c r="A185" s="59">
        <v>45881.0</v>
      </c>
      <c r="B185" s="8" t="s">
        <v>690</v>
      </c>
      <c r="C185" s="8" t="s">
        <v>691</v>
      </c>
      <c r="D185" s="59">
        <v>45880.0</v>
      </c>
      <c r="E185" s="137">
        <v>1674573.58</v>
      </c>
      <c r="F185" s="137">
        <v>20377.0</v>
      </c>
      <c r="G185" s="8">
        <v>1057410.0</v>
      </c>
      <c r="H185" s="109">
        <f t="shared" si="1"/>
        <v>-596786.58</v>
      </c>
    </row>
    <row r="186">
      <c r="A186" s="59">
        <v>45882.0</v>
      </c>
      <c r="B186" s="8" t="s">
        <v>690</v>
      </c>
      <c r="C186" s="8" t="s">
        <v>691</v>
      </c>
      <c r="D186" s="59">
        <v>45881.0</v>
      </c>
      <c r="E186" s="137">
        <v>1674573.58</v>
      </c>
      <c r="F186" s="137">
        <v>20377.0</v>
      </c>
      <c r="G186" s="8">
        <v>1097280.0</v>
      </c>
      <c r="H186" s="109">
        <f t="shared" si="1"/>
        <v>-556916.58</v>
      </c>
    </row>
    <row r="187">
      <c r="A187" s="59">
        <v>45883.0</v>
      </c>
      <c r="B187" s="8" t="s">
        <v>690</v>
      </c>
      <c r="C187" s="8" t="s">
        <v>691</v>
      </c>
      <c r="D187" s="59">
        <v>45882.0</v>
      </c>
      <c r="E187" s="137">
        <v>1674573.58</v>
      </c>
      <c r="F187" s="137">
        <v>20377.0</v>
      </c>
      <c r="G187" s="8">
        <v>1000350.0</v>
      </c>
      <c r="H187" s="109">
        <f t="shared" si="1"/>
        <v>-653846.58</v>
      </c>
    </row>
    <row r="188">
      <c r="A188" s="59">
        <v>45887.0</v>
      </c>
      <c r="B188" s="8" t="s">
        <v>690</v>
      </c>
      <c r="C188" s="8" t="s">
        <v>691</v>
      </c>
      <c r="D188" s="59">
        <v>45883.0</v>
      </c>
      <c r="E188" s="137">
        <v>1674573.58</v>
      </c>
      <c r="F188" s="137">
        <v>20377.0</v>
      </c>
      <c r="G188" s="8">
        <v>1021815.0</v>
      </c>
      <c r="H188" s="109">
        <f t="shared" si="1"/>
        <v>-632381.58</v>
      </c>
    </row>
    <row r="189">
      <c r="A189" s="59">
        <v>45888.0</v>
      </c>
      <c r="B189" s="8" t="s">
        <v>690</v>
      </c>
      <c r="C189" s="8" t="s">
        <v>691</v>
      </c>
      <c r="D189" s="59">
        <v>45887.0</v>
      </c>
      <c r="E189" s="137">
        <v>1674573.58</v>
      </c>
      <c r="F189" s="137">
        <v>20377.0</v>
      </c>
      <c r="G189" s="8">
        <v>852210.0</v>
      </c>
      <c r="H189" s="109">
        <f t="shared" si="1"/>
        <v>-801986.58</v>
      </c>
    </row>
    <row r="190">
      <c r="A190" s="59">
        <v>45889.0</v>
      </c>
      <c r="B190" s="8" t="s">
        <v>690</v>
      </c>
      <c r="C190" s="8" t="s">
        <v>691</v>
      </c>
      <c r="D190" s="59">
        <v>45888.0</v>
      </c>
      <c r="E190" s="137">
        <v>1674573.58</v>
      </c>
      <c r="F190" s="137">
        <v>20377.0</v>
      </c>
      <c r="G190" s="8">
        <v>810270.0</v>
      </c>
      <c r="H190" s="109">
        <f t="shared" si="1"/>
        <v>-843926.58</v>
      </c>
    </row>
    <row r="191">
      <c r="A191" s="59">
        <v>45890.0</v>
      </c>
      <c r="B191" s="8" t="s">
        <v>690</v>
      </c>
      <c r="C191" s="8" t="s">
        <v>691</v>
      </c>
      <c r="D191" s="59">
        <v>45889.0</v>
      </c>
      <c r="E191" s="137">
        <v>1674573.58</v>
      </c>
      <c r="F191" s="137">
        <v>20377.0</v>
      </c>
      <c r="G191" s="8">
        <v>775755.0</v>
      </c>
      <c r="H191" s="109">
        <f t="shared" si="1"/>
        <v>-878441.58</v>
      </c>
    </row>
    <row r="192">
      <c r="A192" s="59">
        <v>45891.0</v>
      </c>
      <c r="B192" s="8" t="s">
        <v>690</v>
      </c>
      <c r="C192" s="8" t="s">
        <v>691</v>
      </c>
      <c r="D192" s="59">
        <v>45890.0</v>
      </c>
      <c r="E192" s="137">
        <v>1674573.58</v>
      </c>
      <c r="F192" s="137">
        <v>20377.0</v>
      </c>
      <c r="G192" s="8">
        <v>746730.0</v>
      </c>
      <c r="H192" s="109">
        <f t="shared" si="1"/>
        <v>-907466.58</v>
      </c>
    </row>
    <row r="193">
      <c r="A193" s="59">
        <v>45894.0</v>
      </c>
      <c r="B193" s="8" t="s">
        <v>690</v>
      </c>
      <c r="C193" s="8" t="s">
        <v>691</v>
      </c>
      <c r="D193" s="59">
        <v>45891.0</v>
      </c>
      <c r="E193" s="137">
        <v>1674573.58</v>
      </c>
      <c r="F193" s="137">
        <v>20377.0</v>
      </c>
      <c r="G193" s="8">
        <v>872235.0</v>
      </c>
      <c r="H193" s="109">
        <f t="shared" si="1"/>
        <v>-781961.58</v>
      </c>
    </row>
    <row r="194">
      <c r="A194" s="59">
        <v>45895.0</v>
      </c>
      <c r="B194" s="8" t="s">
        <v>690</v>
      </c>
      <c r="C194" s="8" t="s">
        <v>691</v>
      </c>
      <c r="D194" s="59">
        <v>45894.0</v>
      </c>
      <c r="E194" s="137">
        <v>1674573.58</v>
      </c>
      <c r="F194" s="137">
        <v>20377.0</v>
      </c>
      <c r="G194" s="8">
        <v>813555.0</v>
      </c>
      <c r="H194" s="109">
        <f t="shared" si="1"/>
        <v>-840641.58</v>
      </c>
    </row>
    <row r="195">
      <c r="A195" s="59">
        <v>45897.0</v>
      </c>
      <c r="B195" s="8" t="s">
        <v>690</v>
      </c>
      <c r="C195" s="8" t="s">
        <v>691</v>
      </c>
      <c r="D195" s="59">
        <v>45895.0</v>
      </c>
      <c r="E195" s="137">
        <v>1674573.58</v>
      </c>
      <c r="F195" s="137">
        <v>20377.0</v>
      </c>
      <c r="G195" s="8">
        <v>969345.0</v>
      </c>
      <c r="H195" s="109">
        <f t="shared" si="1"/>
        <v>-684851.58</v>
      </c>
    </row>
    <row r="196">
      <c r="A196" s="59">
        <v>45898.0</v>
      </c>
      <c r="B196" s="8" t="s">
        <v>690</v>
      </c>
      <c r="C196" s="8" t="s">
        <v>691</v>
      </c>
      <c r="D196" s="59">
        <v>45897.0</v>
      </c>
      <c r="E196" s="137">
        <v>1674573.58</v>
      </c>
      <c r="F196" s="137">
        <v>20377.0</v>
      </c>
      <c r="G196" s="8">
        <v>1098360.0</v>
      </c>
      <c r="H196" s="109">
        <f t="shared" si="1"/>
        <v>-555836.58</v>
      </c>
    </row>
    <row r="197">
      <c r="A197" s="59">
        <v>45901.0</v>
      </c>
      <c r="B197" s="8" t="s">
        <v>690</v>
      </c>
      <c r="C197" s="8" t="s">
        <v>691</v>
      </c>
      <c r="D197" s="59">
        <v>45898.0</v>
      </c>
      <c r="E197" s="137">
        <v>1674573.58</v>
      </c>
      <c r="F197" s="137">
        <v>20377.0</v>
      </c>
      <c r="G197" s="8">
        <v>1153080.0</v>
      </c>
      <c r="H197" s="109">
        <f t="shared" si="1"/>
        <v>-501116.58</v>
      </c>
    </row>
    <row r="198">
      <c r="A198" s="59">
        <v>45902.0</v>
      </c>
      <c r="B198" s="8" t="s">
        <v>690</v>
      </c>
      <c r="C198" s="8" t="s">
        <v>691</v>
      </c>
      <c r="D198" s="59">
        <v>45901.0</v>
      </c>
      <c r="E198" s="137">
        <v>1674573.58</v>
      </c>
      <c r="F198" s="137">
        <v>20377.0</v>
      </c>
      <c r="G198" s="8">
        <v>1008675.0</v>
      </c>
      <c r="H198" s="109">
        <f t="shared" si="1"/>
        <v>-645521.58</v>
      </c>
    </row>
    <row r="199">
      <c r="A199" s="59">
        <v>45903.0</v>
      </c>
      <c r="B199" s="8" t="s">
        <v>690</v>
      </c>
      <c r="C199" s="8" t="s">
        <v>691</v>
      </c>
      <c r="D199" s="59">
        <v>45902.0</v>
      </c>
      <c r="E199" s="137">
        <v>1674573.58</v>
      </c>
      <c r="F199" s="137">
        <v>20377.0</v>
      </c>
      <c r="G199" s="8">
        <v>1045845.0</v>
      </c>
      <c r="H199" s="109">
        <f t="shared" si="1"/>
        <v>-608351.58</v>
      </c>
    </row>
    <row r="200">
      <c r="A200" s="59">
        <v>45904.0</v>
      </c>
      <c r="B200" s="8" t="s">
        <v>690</v>
      </c>
      <c r="C200" s="8" t="s">
        <v>691</v>
      </c>
      <c r="D200" s="59">
        <v>45903.0</v>
      </c>
      <c r="E200" s="137">
        <v>1674573.58</v>
      </c>
      <c r="F200" s="137">
        <v>20377.0</v>
      </c>
      <c r="G200" s="8">
        <v>964935.0</v>
      </c>
      <c r="H200" s="109">
        <f t="shared" si="1"/>
        <v>-689261.58</v>
      </c>
    </row>
    <row r="201">
      <c r="A201" s="59">
        <v>45909.0</v>
      </c>
      <c r="B201" s="8" t="s">
        <v>690</v>
      </c>
      <c r="C201" s="8" t="s">
        <v>691</v>
      </c>
      <c r="D201" s="59">
        <v>45904.0</v>
      </c>
      <c r="E201" s="137">
        <v>1674573.58</v>
      </c>
      <c r="F201" s="137">
        <v>20377.0</v>
      </c>
      <c r="G201" s="8">
        <v>953640.0</v>
      </c>
      <c r="H201" s="109">
        <f t="shared" si="1"/>
        <v>-700556.58</v>
      </c>
    </row>
    <row r="202">
      <c r="A202" s="59">
        <v>45909.0</v>
      </c>
      <c r="B202" s="8" t="s">
        <v>690</v>
      </c>
      <c r="C202" s="8" t="s">
        <v>691</v>
      </c>
      <c r="D202" s="59">
        <v>45905.0</v>
      </c>
      <c r="E202" s="137">
        <v>1674573.58</v>
      </c>
      <c r="F202" s="137">
        <v>20377.0</v>
      </c>
      <c r="G202" s="8">
        <v>932040.0</v>
      </c>
      <c r="H202" s="109">
        <f t="shared" si="1"/>
        <v>-722156.58</v>
      </c>
    </row>
    <row r="203">
      <c r="A203" s="59">
        <v>45909.0</v>
      </c>
      <c r="B203" s="8" t="s">
        <v>690</v>
      </c>
      <c r="C203" s="8" t="s">
        <v>691</v>
      </c>
      <c r="D203" s="59">
        <v>45908.0</v>
      </c>
      <c r="E203" s="137">
        <v>1674573.58</v>
      </c>
      <c r="F203" s="137">
        <v>20377.0</v>
      </c>
      <c r="G203" s="8">
        <v>899055.0</v>
      </c>
      <c r="H203" s="109">
        <f t="shared" si="1"/>
        <v>-755141.58</v>
      </c>
    </row>
    <row r="204">
      <c r="A204" s="59">
        <v>45910.0</v>
      </c>
      <c r="B204" s="8" t="s">
        <v>690</v>
      </c>
      <c r="C204" s="8" t="s">
        <v>691</v>
      </c>
      <c r="D204" s="59">
        <v>45909.0</v>
      </c>
      <c r="E204" s="137">
        <v>1674573.58</v>
      </c>
      <c r="F204" s="137">
        <v>20377.0</v>
      </c>
      <c r="G204" s="8">
        <v>855855.0</v>
      </c>
      <c r="H204" s="109">
        <f t="shared" si="1"/>
        <v>-798341.58</v>
      </c>
    </row>
    <row r="205">
      <c r="A205" s="59">
        <v>45911.0</v>
      </c>
      <c r="B205" s="8" t="s">
        <v>690</v>
      </c>
      <c r="C205" s="8" t="s">
        <v>691</v>
      </c>
      <c r="D205" s="59">
        <v>45910.0</v>
      </c>
      <c r="E205" s="137">
        <v>1674573.58</v>
      </c>
      <c r="F205" s="137">
        <v>20377.0</v>
      </c>
      <c r="G205" s="8">
        <v>779985.0</v>
      </c>
      <c r="H205" s="109">
        <f t="shared" si="1"/>
        <v>-874211.58</v>
      </c>
    </row>
    <row r="206">
      <c r="A206" s="59">
        <v>45912.0</v>
      </c>
      <c r="B206" s="8" t="s">
        <v>690</v>
      </c>
      <c r="C206" s="8" t="s">
        <v>691</v>
      </c>
      <c r="D206" s="59">
        <v>45911.0</v>
      </c>
      <c r="E206" s="137">
        <v>1674573.58</v>
      </c>
      <c r="F206" s="137">
        <v>20377.0</v>
      </c>
      <c r="G206" s="8">
        <v>756810.0</v>
      </c>
      <c r="H206" s="109">
        <f t="shared" si="1"/>
        <v>-897386.58</v>
      </c>
    </row>
    <row r="207">
      <c r="A207" s="59">
        <v>45915.0</v>
      </c>
      <c r="B207" s="8" t="s">
        <v>690</v>
      </c>
      <c r="C207" s="8" t="s">
        <v>691</v>
      </c>
      <c r="D207" s="59">
        <v>45912.0</v>
      </c>
      <c r="E207" s="137">
        <v>1674573.58</v>
      </c>
      <c r="F207" s="137">
        <v>20377.0</v>
      </c>
      <c r="G207" s="8">
        <v>696825.0</v>
      </c>
      <c r="H207" s="109">
        <f t="shared" si="1"/>
        <v>-957371.58</v>
      </c>
    </row>
    <row r="208">
      <c r="A208" s="59">
        <v>45916.0</v>
      </c>
      <c r="B208" s="8" t="s">
        <v>690</v>
      </c>
      <c r="C208" s="8" t="s">
        <v>691</v>
      </c>
      <c r="D208" s="59">
        <v>45915.0</v>
      </c>
      <c r="E208" s="137">
        <v>1674573.58</v>
      </c>
      <c r="F208" s="137">
        <v>20377.0</v>
      </c>
      <c r="G208" s="8">
        <v>716850.0</v>
      </c>
      <c r="H208" s="109">
        <f t="shared" si="1"/>
        <v>-937346.58</v>
      </c>
    </row>
    <row r="209">
      <c r="A209" s="59">
        <v>45917.0</v>
      </c>
      <c r="B209" s="8" t="s">
        <v>690</v>
      </c>
      <c r="C209" s="8" t="s">
        <v>691</v>
      </c>
      <c r="D209" s="59">
        <v>45916.0</v>
      </c>
      <c r="E209" s="137">
        <v>1674573.58</v>
      </c>
      <c r="F209" s="137">
        <v>20377.0</v>
      </c>
      <c r="G209" s="8">
        <v>617850.0</v>
      </c>
      <c r="H209" s="109">
        <f t="shared" si="1"/>
        <v>-1036346.58</v>
      </c>
    </row>
    <row r="210">
      <c r="A210" s="59">
        <v>45918.0</v>
      </c>
      <c r="B210" s="8" t="s">
        <v>690</v>
      </c>
      <c r="C210" s="8" t="s">
        <v>691</v>
      </c>
      <c r="D210" s="59">
        <v>45917.0</v>
      </c>
      <c r="E210" s="137">
        <v>1674573.58</v>
      </c>
      <c r="F210" s="137">
        <v>20377.0</v>
      </c>
      <c r="G210" s="8">
        <v>575370.0</v>
      </c>
      <c r="H210" s="109">
        <f t="shared" si="1"/>
        <v>-1078826.58</v>
      </c>
    </row>
    <row r="211">
      <c r="A211" s="59">
        <v>45919.0</v>
      </c>
      <c r="B211" s="8" t="s">
        <v>690</v>
      </c>
      <c r="C211" s="8" t="s">
        <v>691</v>
      </c>
      <c r="D211" s="59">
        <v>45918.0</v>
      </c>
      <c r="E211" s="137">
        <v>1674573.58</v>
      </c>
      <c r="F211" s="137">
        <v>20377.0</v>
      </c>
      <c r="G211" s="8">
        <v>525690.0</v>
      </c>
      <c r="H211" s="109">
        <f t="shared" si="1"/>
        <v>-1128506.58</v>
      </c>
    </row>
    <row r="212">
      <c r="A212" s="59">
        <v>45922.0</v>
      </c>
      <c r="B212" s="8" t="s">
        <v>690</v>
      </c>
      <c r="C212" s="8" t="s">
        <v>691</v>
      </c>
      <c r="D212" s="59">
        <v>45919.0</v>
      </c>
      <c r="E212" s="137">
        <v>1674573.58</v>
      </c>
      <c r="F212" s="137">
        <v>20377.0</v>
      </c>
      <c r="G212" s="8">
        <v>579285.0</v>
      </c>
      <c r="H212" s="109">
        <f t="shared" si="1"/>
        <v>-1074911.58</v>
      </c>
    </row>
    <row r="213">
      <c r="A213" s="59">
        <v>45923.0</v>
      </c>
      <c r="B213" s="8" t="s">
        <v>690</v>
      </c>
      <c r="C213" s="8" t="s">
        <v>691</v>
      </c>
      <c r="D213" s="59">
        <v>45922.0</v>
      </c>
      <c r="E213" s="137">
        <v>1674573.58</v>
      </c>
      <c r="F213" s="137">
        <v>20377.0</v>
      </c>
      <c r="G213" s="8">
        <v>644625.0</v>
      </c>
      <c r="H213" s="109">
        <f t="shared" si="1"/>
        <v>-1009571.58</v>
      </c>
    </row>
    <row r="214">
      <c r="A214" s="59">
        <v>45924.0</v>
      </c>
      <c r="B214" s="8" t="s">
        <v>690</v>
      </c>
      <c r="C214" s="8" t="s">
        <v>691</v>
      </c>
      <c r="D214" s="59">
        <v>45923.0</v>
      </c>
      <c r="E214" s="137">
        <v>1674573.58</v>
      </c>
      <c r="F214" s="137">
        <v>20377.0</v>
      </c>
      <c r="G214" s="8">
        <v>645120.0</v>
      </c>
      <c r="H214" s="109">
        <f t="shared" si="1"/>
        <v>-1009076.58</v>
      </c>
    </row>
    <row r="215">
      <c r="A215" s="59">
        <v>45925.0</v>
      </c>
      <c r="B215" s="8" t="s">
        <v>690</v>
      </c>
      <c r="C215" s="8" t="s">
        <v>691</v>
      </c>
      <c r="D215" s="59">
        <v>45924.0</v>
      </c>
      <c r="E215" s="137">
        <v>1674573.58</v>
      </c>
      <c r="F215" s="137">
        <v>20377.0</v>
      </c>
      <c r="G215" s="8">
        <v>713070.0</v>
      </c>
      <c r="H215" s="109">
        <f t="shared" si="1"/>
        <v>-941126.58</v>
      </c>
    </row>
    <row r="216">
      <c r="A216" s="59">
        <v>45926.0</v>
      </c>
      <c r="B216" s="8" t="s">
        <v>690</v>
      </c>
      <c r="C216" s="8" t="s">
        <v>691</v>
      </c>
      <c r="D216" s="59">
        <v>45925.0</v>
      </c>
      <c r="E216" s="137">
        <v>1674573.58</v>
      </c>
      <c r="F216" s="137">
        <v>20377.0</v>
      </c>
      <c r="G216" s="8">
        <v>791280.0</v>
      </c>
      <c r="H216" s="109">
        <f t="shared" si="1"/>
        <v>-862916.58</v>
      </c>
    </row>
    <row r="217">
      <c r="A217" s="59">
        <v>45929.0</v>
      </c>
      <c r="B217" s="8" t="s">
        <v>690</v>
      </c>
      <c r="C217" s="8" t="s">
        <v>691</v>
      </c>
      <c r="D217" s="59">
        <v>45926.0</v>
      </c>
      <c r="E217" s="137">
        <v>1674573.58</v>
      </c>
      <c r="F217" s="137">
        <v>20377.0</v>
      </c>
      <c r="G217" s="8">
        <v>972180.0</v>
      </c>
      <c r="H217" s="109">
        <f t="shared" si="1"/>
        <v>-682016.58</v>
      </c>
    </row>
    <row r="218">
      <c r="A218" s="59">
        <v>45930.0</v>
      </c>
      <c r="B218" s="8" t="s">
        <v>690</v>
      </c>
      <c r="C218" s="8" t="s">
        <v>691</v>
      </c>
      <c r="D218" s="59">
        <v>45929.0</v>
      </c>
      <c r="E218" s="137">
        <v>1674573.58</v>
      </c>
      <c r="F218" s="137">
        <v>20377.0</v>
      </c>
      <c r="G218" s="8">
        <v>967545.0</v>
      </c>
      <c r="H218" s="109">
        <f t="shared" si="1"/>
        <v>-686651.58</v>
      </c>
    </row>
    <row r="219">
      <c r="A219" s="59">
        <v>45931.0</v>
      </c>
      <c r="B219" s="8" t="s">
        <v>690</v>
      </c>
      <c r="C219" s="8" t="s">
        <v>691</v>
      </c>
      <c r="D219" s="59">
        <v>45930.0</v>
      </c>
      <c r="E219" s="137">
        <v>1674573.58</v>
      </c>
      <c r="F219" s="137">
        <v>20377.0</v>
      </c>
      <c r="G219" s="8">
        <v>980235.0</v>
      </c>
      <c r="H219" s="109">
        <f t="shared" si="1"/>
        <v>-673961.58</v>
      </c>
    </row>
    <row r="220">
      <c r="A220" s="59">
        <v>45933.0</v>
      </c>
      <c r="B220" s="8" t="s">
        <v>690</v>
      </c>
      <c r="C220" s="8" t="s">
        <v>691</v>
      </c>
      <c r="D220" s="59">
        <v>45931.0</v>
      </c>
      <c r="E220" s="137">
        <v>1674573.58</v>
      </c>
      <c r="F220" s="137">
        <v>20377.0</v>
      </c>
      <c r="G220" s="8">
        <v>850410.0</v>
      </c>
      <c r="H220" s="109">
        <f t="shared" si="1"/>
        <v>-803786.58</v>
      </c>
    </row>
    <row r="221">
      <c r="A221" s="59">
        <v>45936.0</v>
      </c>
      <c r="B221" s="8" t="s">
        <v>690</v>
      </c>
      <c r="C221" s="8" t="s">
        <v>691</v>
      </c>
      <c r="D221" s="59">
        <v>45933.0</v>
      </c>
      <c r="E221" s="137">
        <v>1674573.58</v>
      </c>
      <c r="F221" s="137">
        <v>20377.0</v>
      </c>
      <c r="G221" s="8">
        <v>812925.0</v>
      </c>
      <c r="H221" s="109">
        <f t="shared" si="1"/>
        <v>-841271.58</v>
      </c>
    </row>
    <row r="222">
      <c r="A222" s="59">
        <v>45937.0</v>
      </c>
      <c r="B222" s="8" t="s">
        <v>690</v>
      </c>
      <c r="C222" s="8" t="s">
        <v>691</v>
      </c>
      <c r="D222" s="59">
        <v>45936.0</v>
      </c>
      <c r="E222" s="137">
        <v>1674573.58</v>
      </c>
      <c r="F222" s="137">
        <v>20377.0</v>
      </c>
      <c r="G222" s="8">
        <v>695430.0</v>
      </c>
      <c r="H222" s="109">
        <f t="shared" si="1"/>
        <v>-958766.58</v>
      </c>
    </row>
    <row r="223">
      <c r="A223" s="59">
        <v>45938.0</v>
      </c>
      <c r="B223" s="8" t="s">
        <v>690</v>
      </c>
      <c r="C223" s="8" t="s">
        <v>691</v>
      </c>
      <c r="D223" s="59">
        <v>45937.0</v>
      </c>
      <c r="E223" s="137">
        <v>1674573.58</v>
      </c>
      <c r="F223" s="137">
        <v>20377.0</v>
      </c>
      <c r="G223" s="8">
        <v>666585.0</v>
      </c>
      <c r="H223" s="109">
        <f t="shared" si="1"/>
        <v>-987611.58</v>
      </c>
    </row>
    <row r="224">
      <c r="A224" s="59">
        <v>45939.0</v>
      </c>
      <c r="B224" s="8" t="s">
        <v>690</v>
      </c>
      <c r="C224" s="8" t="s">
        <v>691</v>
      </c>
      <c r="D224" s="59">
        <v>45938.0</v>
      </c>
      <c r="E224" s="137">
        <v>1674573.58</v>
      </c>
      <c r="F224" s="137">
        <v>20377.0</v>
      </c>
      <c r="G224" s="8">
        <v>735165.0</v>
      </c>
      <c r="H224" s="109">
        <f t="shared" si="1"/>
        <v>-919031.58</v>
      </c>
    </row>
    <row r="225">
      <c r="A225" s="59">
        <v>45940.0</v>
      </c>
      <c r="B225" s="8" t="s">
        <v>690</v>
      </c>
      <c r="C225" s="8" t="s">
        <v>691</v>
      </c>
      <c r="D225" s="59">
        <v>45939.0</v>
      </c>
      <c r="E225" s="137">
        <v>1674573.58</v>
      </c>
      <c r="F225" s="137">
        <v>20377.0</v>
      </c>
      <c r="G225" s="8">
        <v>643050.0</v>
      </c>
      <c r="H225" s="109">
        <f t="shared" si="1"/>
        <v>-1011146.58</v>
      </c>
    </row>
    <row r="226">
      <c r="A226" s="59">
        <v>45943.0</v>
      </c>
      <c r="B226" s="8" t="s">
        <v>690</v>
      </c>
      <c r="C226" s="8" t="s">
        <v>691</v>
      </c>
      <c r="D226" s="59">
        <v>45940.0</v>
      </c>
      <c r="E226" s="137">
        <v>1674573.58</v>
      </c>
      <c r="F226" s="137">
        <v>20377.0</v>
      </c>
      <c r="G226" s="8">
        <v>565020.0</v>
      </c>
      <c r="H226" s="109">
        <f t="shared" si="1"/>
        <v>-1089176.58</v>
      </c>
    </row>
    <row r="227">
      <c r="A227" s="59">
        <v>45944.0</v>
      </c>
      <c r="B227" s="8" t="s">
        <v>690</v>
      </c>
      <c r="C227" s="8" t="s">
        <v>691</v>
      </c>
      <c r="D227" s="59">
        <v>45943.0</v>
      </c>
      <c r="E227" s="137">
        <v>1674573.58</v>
      </c>
      <c r="F227" s="137">
        <v>20377.0</v>
      </c>
      <c r="G227" s="8">
        <v>618795.0</v>
      </c>
      <c r="H227" s="109">
        <f t="shared" si="1"/>
        <v>-1035401.58</v>
      </c>
    </row>
    <row r="228">
      <c r="A228" s="59">
        <v>45945.0</v>
      </c>
      <c r="B228" s="8" t="s">
        <v>690</v>
      </c>
      <c r="C228" s="8" t="s">
        <v>691</v>
      </c>
      <c r="D228" s="59">
        <v>45944.0</v>
      </c>
      <c r="E228" s="137">
        <v>1674573.58</v>
      </c>
      <c r="F228" s="137">
        <v>20377.0</v>
      </c>
      <c r="G228" s="8">
        <v>679680.0</v>
      </c>
      <c r="H228" s="109">
        <f t="shared" si="1"/>
        <v>-974516.58</v>
      </c>
    </row>
    <row r="229">
      <c r="A229" s="59">
        <v>45946.0</v>
      </c>
      <c r="B229" s="8" t="s">
        <v>690</v>
      </c>
      <c r="C229" s="8" t="s">
        <v>691</v>
      </c>
      <c r="D229" s="59">
        <v>45945.0</v>
      </c>
      <c r="E229" s="137">
        <v>1674573.58</v>
      </c>
      <c r="F229" s="137">
        <v>20377.0</v>
      </c>
      <c r="G229" s="8">
        <v>549810.0</v>
      </c>
      <c r="H229" s="109">
        <f t="shared" si="1"/>
        <v>-1104386.58</v>
      </c>
    </row>
    <row r="230">
      <c r="A230" s="59">
        <v>45947.0</v>
      </c>
      <c r="B230" s="8" t="s">
        <v>690</v>
      </c>
      <c r="C230" s="8" t="s">
        <v>691</v>
      </c>
      <c r="D230" s="59">
        <v>45946.0</v>
      </c>
      <c r="E230" s="137">
        <v>1674573.58</v>
      </c>
      <c r="F230" s="137">
        <v>20377.0</v>
      </c>
      <c r="G230" s="8">
        <v>454140.0</v>
      </c>
      <c r="H230" s="109">
        <f t="shared" si="1"/>
        <v>-1200056.58</v>
      </c>
    </row>
    <row r="231">
      <c r="A231" s="59">
        <v>45950.0</v>
      </c>
      <c r="B231" s="8" t="s">
        <v>690</v>
      </c>
      <c r="C231" s="8" t="s">
        <v>691</v>
      </c>
      <c r="D231" s="59">
        <v>45947.0</v>
      </c>
      <c r="E231" s="137">
        <v>1674573.58</v>
      </c>
      <c r="F231" s="137">
        <v>20377.0</v>
      </c>
      <c r="G231" s="8">
        <v>436815.0</v>
      </c>
      <c r="H231" s="109">
        <f t="shared" si="1"/>
        <v>-1217381.58</v>
      </c>
    </row>
    <row r="232">
      <c r="A232" s="59">
        <v>45951.0</v>
      </c>
      <c r="B232" s="8" t="s">
        <v>690</v>
      </c>
      <c r="C232" s="8" t="s">
        <v>691</v>
      </c>
      <c r="D232" s="59">
        <v>45950.0</v>
      </c>
      <c r="E232" s="137">
        <v>1674573.58</v>
      </c>
      <c r="F232" s="137">
        <v>20377.0</v>
      </c>
      <c r="G232" s="8">
        <v>355320.0</v>
      </c>
      <c r="H232" s="109">
        <f t="shared" si="1"/>
        <v>-1298876.58</v>
      </c>
    </row>
    <row r="233">
      <c r="A233" s="59">
        <v>45953.0</v>
      </c>
      <c r="B233" s="8" t="s">
        <v>690</v>
      </c>
      <c r="C233" s="8" t="s">
        <v>691</v>
      </c>
      <c r="D233" s="59">
        <v>45951.0</v>
      </c>
      <c r="E233" s="137">
        <v>1674573.58</v>
      </c>
      <c r="F233" s="137">
        <v>20377.0</v>
      </c>
      <c r="G233" s="8">
        <v>354105.0</v>
      </c>
      <c r="H233" s="109">
        <f t="shared" si="1"/>
        <v>-1300091.58</v>
      </c>
    </row>
    <row r="234">
      <c r="A234" s="59">
        <v>45954.0</v>
      </c>
      <c r="B234" s="8" t="s">
        <v>690</v>
      </c>
      <c r="C234" s="8" t="s">
        <v>691</v>
      </c>
      <c r="D234" s="59">
        <v>45953.0</v>
      </c>
      <c r="E234" s="137">
        <v>1674573.58</v>
      </c>
      <c r="F234" s="137">
        <v>20377.0</v>
      </c>
      <c r="G234" s="8">
        <v>327285.0</v>
      </c>
      <c r="H234" s="109">
        <f t="shared" si="1"/>
        <v>-1326911.58</v>
      </c>
    </row>
    <row r="235">
      <c r="A235" s="59">
        <v>45957.0</v>
      </c>
      <c r="B235" s="8" t="s">
        <v>690</v>
      </c>
      <c r="C235" s="8" t="s">
        <v>691</v>
      </c>
      <c r="D235" s="59">
        <v>45954.0</v>
      </c>
      <c r="E235" s="137">
        <v>1674573.58</v>
      </c>
      <c r="F235" s="137">
        <v>20377.0</v>
      </c>
      <c r="G235" s="8">
        <v>378135.0</v>
      </c>
      <c r="H235" s="109">
        <f t="shared" si="1"/>
        <v>-1276061.58</v>
      </c>
    </row>
    <row r="236">
      <c r="A236" s="59">
        <v>45958.0</v>
      </c>
      <c r="B236" s="8" t="s">
        <v>690</v>
      </c>
      <c r="C236" s="8" t="s">
        <v>691</v>
      </c>
      <c r="D236" s="59">
        <v>45957.0</v>
      </c>
      <c r="E236" s="137">
        <v>1674573.58</v>
      </c>
      <c r="F236" s="137">
        <v>20377.0</v>
      </c>
      <c r="G236" s="8">
        <v>298530.0</v>
      </c>
      <c r="H236" s="109">
        <f t="shared" si="1"/>
        <v>-1355666.58</v>
      </c>
    </row>
    <row r="237">
      <c r="A237" s="59">
        <v>45959.0</v>
      </c>
      <c r="B237" s="8" t="s">
        <v>690</v>
      </c>
      <c r="C237" s="8" t="s">
        <v>691</v>
      </c>
      <c r="D237" s="59">
        <v>45958.0</v>
      </c>
      <c r="E237" s="137">
        <v>1674573.58</v>
      </c>
      <c r="F237" s="137">
        <v>20377.0</v>
      </c>
      <c r="G237" s="8">
        <v>319590.0</v>
      </c>
      <c r="H237" s="109">
        <f t="shared" si="1"/>
        <v>-1334606.58</v>
      </c>
    </row>
    <row r="238">
      <c r="A238" s="59">
        <v>45960.0</v>
      </c>
      <c r="B238" s="8" t="s">
        <v>690</v>
      </c>
      <c r="C238" s="8" t="s">
        <v>691</v>
      </c>
      <c r="D238" s="59">
        <v>45959.0</v>
      </c>
      <c r="E238" s="137">
        <v>1674573.58</v>
      </c>
      <c r="F238" s="137">
        <v>20377.0</v>
      </c>
      <c r="G238" s="8">
        <v>268425.0</v>
      </c>
      <c r="H238" s="109">
        <f t="shared" si="1"/>
        <v>-1385771.58</v>
      </c>
    </row>
    <row r="239">
      <c r="A239" s="59">
        <v>45961.0</v>
      </c>
      <c r="B239" s="8" t="s">
        <v>690</v>
      </c>
      <c r="C239" s="8" t="s">
        <v>691</v>
      </c>
      <c r="D239" s="59">
        <v>45960.0</v>
      </c>
      <c r="E239" s="137">
        <v>1674573.58</v>
      </c>
      <c r="F239" s="137">
        <v>20377.0</v>
      </c>
      <c r="G239" s="8">
        <v>325800.0</v>
      </c>
      <c r="H239" s="109">
        <f t="shared" si="1"/>
        <v>-1328396.58</v>
      </c>
    </row>
    <row r="240">
      <c r="A240" s="59">
        <v>45964.0</v>
      </c>
      <c r="B240" s="8" t="s">
        <v>690</v>
      </c>
      <c r="C240" s="8" t="s">
        <v>691</v>
      </c>
      <c r="D240" s="59">
        <v>45961.0</v>
      </c>
      <c r="E240" s="137">
        <v>1674573.58</v>
      </c>
      <c r="F240" s="137">
        <v>20377.0</v>
      </c>
      <c r="G240" s="8">
        <v>367335.0</v>
      </c>
      <c r="H240" s="109">
        <f t="shared" si="1"/>
        <v>-1286861.58</v>
      </c>
    </row>
    <row r="241">
      <c r="A241" s="59">
        <v>45965.0</v>
      </c>
      <c r="B241" s="8" t="s">
        <v>690</v>
      </c>
      <c r="C241" s="8" t="s">
        <v>691</v>
      </c>
      <c r="D241" s="59">
        <v>45964.0</v>
      </c>
      <c r="E241" s="137">
        <v>1674573.58</v>
      </c>
      <c r="F241" s="137">
        <v>20377.0</v>
      </c>
      <c r="G241" s="8">
        <v>367245.0</v>
      </c>
      <c r="H241" s="109">
        <f t="shared" si="1"/>
        <v>-1286951.58</v>
      </c>
    </row>
    <row r="242">
      <c r="A242" s="59">
        <v>45967.0</v>
      </c>
      <c r="B242" s="8" t="s">
        <v>690</v>
      </c>
      <c r="C242" s="8" t="s">
        <v>691</v>
      </c>
      <c r="D242" s="59">
        <v>45965.0</v>
      </c>
      <c r="E242" s="137">
        <v>1674573.58</v>
      </c>
      <c r="F242" s="137">
        <v>20377.0</v>
      </c>
      <c r="G242" s="8">
        <v>439695.0</v>
      </c>
      <c r="H242" s="109">
        <f t="shared" si="1"/>
        <v>-1214501.58</v>
      </c>
    </row>
    <row r="243">
      <c r="A243" s="59">
        <v>45968.0</v>
      </c>
      <c r="B243" s="8" t="s">
        <v>692</v>
      </c>
      <c r="C243" s="8" t="s">
        <v>699</v>
      </c>
      <c r="D243" s="59">
        <v>45967.0</v>
      </c>
      <c r="E243" s="8">
        <v>1729410.52</v>
      </c>
      <c r="F243" s="137">
        <v>20377.0</v>
      </c>
      <c r="G243" s="8">
        <v>517770.0</v>
      </c>
      <c r="H243" s="109">
        <f t="shared" si="1"/>
        <v>-1191263.52</v>
      </c>
    </row>
    <row r="244">
      <c r="A244" s="59">
        <v>45971.0</v>
      </c>
      <c r="B244" s="8" t="s">
        <v>692</v>
      </c>
      <c r="C244" s="8" t="s">
        <v>699</v>
      </c>
      <c r="D244" s="59">
        <v>45968.0</v>
      </c>
      <c r="E244" s="8">
        <v>1729410.52</v>
      </c>
      <c r="F244" s="137">
        <v>20377.0</v>
      </c>
      <c r="G244" s="8">
        <v>534420.0</v>
      </c>
      <c r="H244" s="109">
        <f t="shared" si="1"/>
        <v>-1174613.52</v>
      </c>
    </row>
    <row r="245">
      <c r="A245" s="59">
        <v>45972.0</v>
      </c>
      <c r="B245" s="8" t="s">
        <v>692</v>
      </c>
      <c r="C245" s="8" t="s">
        <v>699</v>
      </c>
      <c r="D245" s="59">
        <v>45971.0</v>
      </c>
      <c r="E245" s="8">
        <v>1729410.52</v>
      </c>
      <c r="F245" s="137">
        <v>20377.0</v>
      </c>
      <c r="G245" s="8">
        <v>497565.0</v>
      </c>
      <c r="H245" s="109">
        <f t="shared" si="1"/>
        <v>-1211468.52</v>
      </c>
    </row>
    <row r="246">
      <c r="A246" s="59">
        <v>45973.0</v>
      </c>
      <c r="B246" s="8" t="s">
        <v>692</v>
      </c>
      <c r="C246" s="8" t="s">
        <v>699</v>
      </c>
      <c r="D246" s="59">
        <v>45972.0</v>
      </c>
      <c r="E246" s="8">
        <v>1729410.52</v>
      </c>
      <c r="F246" s="137">
        <v>20377.0</v>
      </c>
      <c r="G246" s="8">
        <v>465255.0</v>
      </c>
      <c r="H246" s="109">
        <f t="shared" si="1"/>
        <v>-1243778.52</v>
      </c>
    </row>
    <row r="247">
      <c r="A247" s="59">
        <v>45974.0</v>
      </c>
      <c r="B247" s="8" t="s">
        <v>692</v>
      </c>
      <c r="C247" s="8" t="s">
        <v>699</v>
      </c>
      <c r="D247" s="59">
        <v>45973.0</v>
      </c>
      <c r="E247" s="8">
        <v>1729410.52</v>
      </c>
      <c r="F247" s="137">
        <v>20377.0</v>
      </c>
      <c r="G247" s="8">
        <v>409365.0</v>
      </c>
      <c r="H247" s="109">
        <f t="shared" si="1"/>
        <v>-1299668.52</v>
      </c>
    </row>
    <row r="248">
      <c r="A248" s="59">
        <v>45975.0</v>
      </c>
      <c r="B248" s="8" t="s">
        <v>692</v>
      </c>
      <c r="C248" s="8" t="s">
        <v>699</v>
      </c>
      <c r="D248" s="59">
        <v>45974.0</v>
      </c>
      <c r="E248" s="8">
        <v>1729410.52</v>
      </c>
      <c r="F248" s="137">
        <v>20377.0</v>
      </c>
      <c r="G248" s="8">
        <v>419895.0</v>
      </c>
      <c r="H248" s="109">
        <f t="shared" si="1"/>
        <v>-1289138.52</v>
      </c>
    </row>
    <row r="249">
      <c r="A249" s="59">
        <v>45978.0</v>
      </c>
      <c r="B249" s="8" t="s">
        <v>692</v>
      </c>
      <c r="C249" s="8" t="s">
        <v>699</v>
      </c>
      <c r="D249" s="59">
        <v>45975.0</v>
      </c>
      <c r="E249" s="8">
        <v>1729410.52</v>
      </c>
      <c r="F249" s="137">
        <v>20377.0</v>
      </c>
      <c r="G249" s="8">
        <v>417780.0</v>
      </c>
      <c r="H249" s="109">
        <f t="shared" si="1"/>
        <v>-1291253.52</v>
      </c>
    </row>
    <row r="250">
      <c r="A250" s="59">
        <v>45979.0</v>
      </c>
      <c r="B250" s="8" t="s">
        <v>692</v>
      </c>
      <c r="C250" s="8" t="s">
        <v>699</v>
      </c>
      <c r="D250" s="59">
        <v>45978.0</v>
      </c>
      <c r="E250" s="8">
        <v>1729410.52</v>
      </c>
      <c r="F250" s="137">
        <v>20377.0</v>
      </c>
      <c r="G250" s="8">
        <v>385290.0</v>
      </c>
      <c r="H250" s="109">
        <f t="shared" si="1"/>
        <v>-1323743.52</v>
      </c>
    </row>
    <row r="251">
      <c r="A251" s="59">
        <v>45980.0</v>
      </c>
      <c r="B251" s="8" t="s">
        <v>692</v>
      </c>
      <c r="C251" s="8" t="s">
        <v>699</v>
      </c>
      <c r="D251" s="59">
        <v>45979.0</v>
      </c>
      <c r="E251" s="8">
        <v>1729410.52</v>
      </c>
      <c r="F251" s="137">
        <v>20377.0</v>
      </c>
      <c r="G251" s="8">
        <v>415170.0</v>
      </c>
      <c r="H251" s="109">
        <f t="shared" si="1"/>
        <v>-1293863.52</v>
      </c>
    </row>
    <row r="252">
      <c r="A252" s="59">
        <v>45981.0</v>
      </c>
      <c r="B252" s="8" t="s">
        <v>692</v>
      </c>
      <c r="C252" s="8" t="s">
        <v>699</v>
      </c>
      <c r="D252" s="59">
        <v>45980.0</v>
      </c>
      <c r="E252" s="8">
        <v>1729410.52</v>
      </c>
      <c r="F252" s="137">
        <v>20377.0</v>
      </c>
      <c r="G252" s="8">
        <v>386460.0</v>
      </c>
      <c r="H252" s="109">
        <f t="shared" si="1"/>
        <v>-1322573.52</v>
      </c>
    </row>
    <row r="253">
      <c r="A253" s="59">
        <v>45982.0</v>
      </c>
      <c r="B253" s="8" t="s">
        <v>692</v>
      </c>
      <c r="C253" s="8" t="s">
        <v>699</v>
      </c>
      <c r="D253" s="59">
        <v>45981.0</v>
      </c>
      <c r="E253" s="8">
        <v>1729410.52</v>
      </c>
      <c r="F253" s="137">
        <v>20377.0</v>
      </c>
      <c r="G253" s="8">
        <v>343665.0</v>
      </c>
      <c r="H253" s="109">
        <f t="shared" si="1"/>
        <v>-1365368.52</v>
      </c>
    </row>
    <row r="254">
      <c r="A254" s="59">
        <v>45985.0</v>
      </c>
      <c r="B254" s="8" t="s">
        <v>692</v>
      </c>
      <c r="C254" s="8" t="s">
        <v>699</v>
      </c>
      <c r="D254" s="59">
        <v>45982.0</v>
      </c>
      <c r="E254" s="8">
        <v>1729410.52</v>
      </c>
      <c r="F254" s="137">
        <v>20377.0</v>
      </c>
      <c r="G254" s="8">
        <v>385020.0</v>
      </c>
      <c r="H254" s="109">
        <f t="shared" si="1"/>
        <v>-1324013.52</v>
      </c>
    </row>
    <row r="255">
      <c r="A255" s="59">
        <v>45986.0</v>
      </c>
      <c r="B255" s="8" t="s">
        <v>692</v>
      </c>
      <c r="C255" s="8" t="s">
        <v>699</v>
      </c>
      <c r="D255" s="59">
        <v>45985.0</v>
      </c>
      <c r="E255" s="8">
        <v>1729410.52</v>
      </c>
      <c r="F255" s="137">
        <v>20377.0</v>
      </c>
      <c r="G255" s="8">
        <v>400995.0</v>
      </c>
      <c r="H255" s="109">
        <f t="shared" si="1"/>
        <v>-1308038.52</v>
      </c>
    </row>
    <row r="256">
      <c r="A256" s="59">
        <v>45987.0</v>
      </c>
      <c r="B256" s="8" t="s">
        <v>692</v>
      </c>
      <c r="C256" s="8" t="s">
        <v>699</v>
      </c>
      <c r="D256" s="59">
        <v>45986.0</v>
      </c>
      <c r="E256" s="8">
        <v>1729410.52</v>
      </c>
      <c r="F256" s="137">
        <v>20377.0</v>
      </c>
      <c r="G256" s="8">
        <v>418635.0</v>
      </c>
      <c r="H256" s="109">
        <f t="shared" si="1"/>
        <v>-1290398.52</v>
      </c>
    </row>
    <row r="257">
      <c r="A257" s="59">
        <v>45988.0</v>
      </c>
      <c r="B257" s="8" t="s">
        <v>692</v>
      </c>
      <c r="C257" s="8" t="s">
        <v>699</v>
      </c>
      <c r="D257" s="59">
        <v>45987.0</v>
      </c>
      <c r="E257" s="8">
        <v>1729410.52</v>
      </c>
      <c r="F257" s="137">
        <v>20377.0</v>
      </c>
      <c r="G257" s="8">
        <v>338355.0</v>
      </c>
      <c r="H257" s="109">
        <f t="shared" si="1"/>
        <v>-1370678.52</v>
      </c>
    </row>
    <row r="258">
      <c r="A258" s="59">
        <v>45989.0</v>
      </c>
      <c r="B258" s="8" t="s">
        <v>692</v>
      </c>
      <c r="C258" s="8" t="s">
        <v>699</v>
      </c>
      <c r="D258" s="59">
        <v>45988.0</v>
      </c>
      <c r="E258" s="8">
        <v>1729410.52</v>
      </c>
      <c r="F258" s="137">
        <v>20377.0</v>
      </c>
      <c r="G258" s="8">
        <v>322965.0</v>
      </c>
      <c r="H258" s="109">
        <f t="shared" si="1"/>
        <v>-1386068.52</v>
      </c>
    </row>
    <row r="259">
      <c r="A259" s="59">
        <v>45992.0</v>
      </c>
      <c r="B259" s="8" t="s">
        <v>692</v>
      </c>
      <c r="C259" s="8" t="s">
        <v>699</v>
      </c>
      <c r="D259" s="59">
        <v>45989.0</v>
      </c>
      <c r="E259" s="8">
        <v>1729410.52</v>
      </c>
      <c r="F259" s="137">
        <v>20377.0</v>
      </c>
      <c r="G259" s="8">
        <v>316845.0</v>
      </c>
      <c r="H259" s="109">
        <f t="shared" si="1"/>
        <v>-1392188.52</v>
      </c>
    </row>
    <row r="260">
      <c r="A260" s="59">
        <v>45993.0</v>
      </c>
      <c r="B260" s="8" t="s">
        <v>692</v>
      </c>
      <c r="C260" s="8" t="s">
        <v>699</v>
      </c>
      <c r="D260" s="59">
        <v>45992.0</v>
      </c>
      <c r="E260" s="8">
        <v>1729410.52</v>
      </c>
      <c r="F260" s="137">
        <v>20377.0</v>
      </c>
      <c r="G260" s="8">
        <v>323955.0</v>
      </c>
      <c r="H260" s="109">
        <f t="shared" si="1"/>
        <v>-1385078.52</v>
      </c>
    </row>
    <row r="261">
      <c r="A261" s="59">
        <v>45994.0</v>
      </c>
      <c r="B261" s="8" t="s">
        <v>692</v>
      </c>
      <c r="C261" s="8" t="s">
        <v>699</v>
      </c>
      <c r="D261" s="59">
        <v>45993.0</v>
      </c>
      <c r="E261" s="8">
        <v>1729410.52</v>
      </c>
      <c r="F261" s="137">
        <v>20377.0</v>
      </c>
      <c r="G261" s="8">
        <v>343350.0</v>
      </c>
      <c r="H261" s="109">
        <f t="shared" si="1"/>
        <v>-1365683.52</v>
      </c>
    </row>
    <row r="262">
      <c r="A262" s="59">
        <v>45995.0</v>
      </c>
      <c r="B262" s="8" t="s">
        <v>692</v>
      </c>
      <c r="C262" s="8" t="s">
        <v>699</v>
      </c>
      <c r="D262" s="59">
        <v>45994.0</v>
      </c>
      <c r="E262" s="8">
        <v>1729410.52</v>
      </c>
      <c r="F262" s="137">
        <v>20377.0</v>
      </c>
      <c r="G262" s="8">
        <v>355905.0</v>
      </c>
      <c r="H262" s="109">
        <f t="shared" si="1"/>
        <v>-1353128.52</v>
      </c>
    </row>
    <row r="263">
      <c r="A263" s="59">
        <v>45996.0</v>
      </c>
      <c r="B263" s="8" t="s">
        <v>692</v>
      </c>
      <c r="C263" s="8" t="s">
        <v>699</v>
      </c>
      <c r="D263" s="59">
        <v>45995.0</v>
      </c>
      <c r="E263" s="8">
        <v>1729410.52</v>
      </c>
      <c r="F263" s="137">
        <v>20377.0</v>
      </c>
      <c r="G263" s="8">
        <v>340245.0</v>
      </c>
      <c r="H263" s="109">
        <f t="shared" si="1"/>
        <v>-1368788.52</v>
      </c>
    </row>
    <row r="264">
      <c r="A264" s="59">
        <v>45999.0</v>
      </c>
      <c r="B264" s="8" t="s">
        <v>692</v>
      </c>
      <c r="C264" s="8" t="s">
        <v>699</v>
      </c>
      <c r="D264" s="59">
        <v>45996.0</v>
      </c>
      <c r="E264" s="8">
        <v>1729410.52</v>
      </c>
      <c r="F264" s="137">
        <v>20377.0</v>
      </c>
      <c r="G264" s="8">
        <v>293400.0</v>
      </c>
      <c r="H264" s="109">
        <f t="shared" si="1"/>
        <v>-1415633.52</v>
      </c>
    </row>
    <row r="265">
      <c r="A265" s="59">
        <v>46000.0</v>
      </c>
      <c r="B265" s="8" t="s">
        <v>692</v>
      </c>
      <c r="C265" s="8" t="s">
        <v>699</v>
      </c>
      <c r="D265" s="59">
        <v>45999.0</v>
      </c>
      <c r="E265" s="8">
        <v>1729410.52</v>
      </c>
      <c r="F265" s="137">
        <v>20377.0</v>
      </c>
      <c r="G265" s="8">
        <v>362250.0</v>
      </c>
      <c r="H265" s="109">
        <f t="shared" si="1"/>
        <v>-1346783.52</v>
      </c>
    </row>
    <row r="266">
      <c r="A266" s="59">
        <v>46001.0</v>
      </c>
      <c r="B266" s="8" t="s">
        <v>692</v>
      </c>
      <c r="C266" s="8" t="s">
        <v>699</v>
      </c>
      <c r="D266" s="59">
        <v>46000.0</v>
      </c>
      <c r="E266" s="8">
        <v>1729410.52</v>
      </c>
      <c r="F266" s="137">
        <v>20377.0</v>
      </c>
      <c r="G266" s="8">
        <v>380295.0</v>
      </c>
      <c r="H266" s="109">
        <f t="shared" si="1"/>
        <v>-1328738.52</v>
      </c>
    </row>
    <row r="267">
      <c r="A267" s="59">
        <v>46002.0</v>
      </c>
      <c r="B267" s="8" t="s">
        <v>692</v>
      </c>
      <c r="C267" s="8" t="s">
        <v>699</v>
      </c>
      <c r="D267" s="59">
        <v>46001.0</v>
      </c>
      <c r="E267" s="8">
        <v>1729410.52</v>
      </c>
      <c r="F267" s="137">
        <v>20377.0</v>
      </c>
      <c r="G267" s="8">
        <v>407790.0</v>
      </c>
      <c r="H267" s="109">
        <f t="shared" si="1"/>
        <v>-1301243.52</v>
      </c>
    </row>
    <row r="268">
      <c r="A268" s="59">
        <v>46003.0</v>
      </c>
      <c r="B268" s="8" t="s">
        <v>692</v>
      </c>
      <c r="C268" s="8" t="s">
        <v>699</v>
      </c>
      <c r="D268" s="59">
        <v>46002.0</v>
      </c>
      <c r="E268" s="8">
        <v>1729410.52</v>
      </c>
      <c r="F268" s="137">
        <v>20377.0</v>
      </c>
      <c r="G268" s="8">
        <v>358470.0</v>
      </c>
      <c r="H268" s="109">
        <f t="shared" si="1"/>
        <v>-1350563.52</v>
      </c>
    </row>
    <row r="269">
      <c r="A269" s="59">
        <v>46006.0</v>
      </c>
      <c r="B269" s="8" t="s">
        <v>692</v>
      </c>
      <c r="C269" s="8" t="s">
        <v>699</v>
      </c>
      <c r="D269" s="59">
        <v>46003.0</v>
      </c>
      <c r="E269" s="8">
        <v>1729410.52</v>
      </c>
      <c r="F269" s="137">
        <v>20377.0</v>
      </c>
      <c r="G269" s="8">
        <v>312615.0</v>
      </c>
      <c r="H269" s="109">
        <f t="shared" si="1"/>
        <v>-1396418.52</v>
      </c>
    </row>
    <row r="270">
      <c r="A270" s="59">
        <v>46007.0</v>
      </c>
      <c r="B270" s="8" t="s">
        <v>692</v>
      </c>
      <c r="C270" s="8" t="s">
        <v>699</v>
      </c>
      <c r="D270" s="59">
        <v>46006.0</v>
      </c>
      <c r="E270" s="8">
        <v>1729410.52</v>
      </c>
      <c r="F270" s="137">
        <v>20377.0</v>
      </c>
      <c r="G270" s="8">
        <v>316980.0</v>
      </c>
      <c r="H270" s="109">
        <f t="shared" si="1"/>
        <v>-1392053.52</v>
      </c>
    </row>
    <row r="271">
      <c r="A271" s="59">
        <v>46008.0</v>
      </c>
      <c r="B271" s="8" t="s">
        <v>692</v>
      </c>
      <c r="C271" s="8" t="s">
        <v>699</v>
      </c>
      <c r="D271" s="59">
        <v>46007.0</v>
      </c>
      <c r="E271" s="8">
        <v>1729410.52</v>
      </c>
      <c r="F271" s="137">
        <v>20377.0</v>
      </c>
      <c r="G271" s="8">
        <v>357930.0</v>
      </c>
      <c r="H271" s="109">
        <f t="shared" si="1"/>
        <v>-1351103.52</v>
      </c>
    </row>
    <row r="272">
      <c r="A272" s="59">
        <v>46009.0</v>
      </c>
      <c r="B272" s="8" t="s">
        <v>692</v>
      </c>
      <c r="C272" s="8" t="s">
        <v>699</v>
      </c>
      <c r="D272" s="59">
        <v>46008.0</v>
      </c>
      <c r="E272" s="8">
        <v>1729410.52</v>
      </c>
      <c r="F272" s="137">
        <v>20377.0</v>
      </c>
      <c r="G272" s="8">
        <v>363600.0</v>
      </c>
      <c r="H272" s="109">
        <f t="shared" si="1"/>
        <v>-1345433.52</v>
      </c>
    </row>
    <row r="273">
      <c r="A273" s="59">
        <v>46010.0</v>
      </c>
      <c r="B273" s="8" t="s">
        <v>692</v>
      </c>
      <c r="C273" s="8" t="s">
        <v>699</v>
      </c>
      <c r="D273" s="59">
        <v>46009.0</v>
      </c>
      <c r="E273" s="8">
        <v>1729410.52</v>
      </c>
      <c r="F273" s="137">
        <v>20377.0</v>
      </c>
      <c r="G273" s="8">
        <v>354465.0</v>
      </c>
      <c r="H273" s="109">
        <f t="shared" si="1"/>
        <v>-1354568.52</v>
      </c>
    </row>
    <row r="274">
      <c r="A274" s="59">
        <v>46013.0</v>
      </c>
      <c r="B274" s="8" t="s">
        <v>692</v>
      </c>
      <c r="C274" s="8" t="s">
        <v>699</v>
      </c>
      <c r="D274" s="59">
        <v>46010.0</v>
      </c>
      <c r="E274" s="8">
        <v>1729410.52</v>
      </c>
      <c r="F274" s="137">
        <v>20377.0</v>
      </c>
      <c r="G274" s="8">
        <v>311400.0</v>
      </c>
      <c r="H274" s="109">
        <f t="shared" si="1"/>
        <v>-1397633.52</v>
      </c>
    </row>
    <row r="275">
      <c r="A275" s="59">
        <v>46014.0</v>
      </c>
      <c r="B275" s="8" t="s">
        <v>692</v>
      </c>
      <c r="C275" s="8" t="s">
        <v>699</v>
      </c>
      <c r="D275" s="59">
        <v>46013.0</v>
      </c>
      <c r="E275" s="8">
        <v>1729410.52</v>
      </c>
      <c r="F275" s="137">
        <v>20377.0</v>
      </c>
      <c r="G275" s="8">
        <v>257400.0</v>
      </c>
      <c r="H275" s="109">
        <f t="shared" si="1"/>
        <v>-1451633.52</v>
      </c>
    </row>
    <row r="276">
      <c r="A276" s="59">
        <v>46015.0</v>
      </c>
      <c r="B276" s="8" t="s">
        <v>692</v>
      </c>
      <c r="C276" s="8" t="s">
        <v>699</v>
      </c>
      <c r="D276" s="59">
        <v>46014.0</v>
      </c>
      <c r="E276" s="8">
        <v>1729410.52</v>
      </c>
      <c r="F276" s="137">
        <v>20377.0</v>
      </c>
      <c r="G276" s="8">
        <v>250785.0</v>
      </c>
      <c r="H276" s="109">
        <f t="shared" si="1"/>
        <v>-1458248.52</v>
      </c>
    </row>
    <row r="277">
      <c r="A277" s="59">
        <v>46017.0</v>
      </c>
      <c r="B277" s="8" t="s">
        <v>692</v>
      </c>
      <c r="C277" s="8" t="s">
        <v>699</v>
      </c>
      <c r="D277" s="59">
        <v>46015.0</v>
      </c>
      <c r="E277" s="8">
        <v>1729410.52</v>
      </c>
      <c r="F277" s="137">
        <v>20377.0</v>
      </c>
      <c r="G277" s="8">
        <v>254250.0</v>
      </c>
      <c r="H277" s="109">
        <f t="shared" si="1"/>
        <v>-1454783.52</v>
      </c>
    </row>
    <row r="278">
      <c r="A278" s="59">
        <v>46020.0</v>
      </c>
      <c r="B278" s="8" t="s">
        <v>692</v>
      </c>
      <c r="C278" s="8" t="s">
        <v>699</v>
      </c>
      <c r="D278" s="59">
        <v>46017.0</v>
      </c>
      <c r="E278" s="8">
        <v>1729410.52</v>
      </c>
      <c r="F278" s="137">
        <v>20377.0</v>
      </c>
      <c r="G278" s="8">
        <v>281250.0</v>
      </c>
      <c r="H278" s="109">
        <f t="shared" si="1"/>
        <v>-1427783.52</v>
      </c>
    </row>
    <row r="279">
      <c r="A279" s="59">
        <v>46021.0</v>
      </c>
      <c r="B279" s="8" t="s">
        <v>692</v>
      </c>
      <c r="C279" s="8" t="s">
        <v>699</v>
      </c>
      <c r="D279" s="59">
        <v>46020.0</v>
      </c>
      <c r="E279" s="8">
        <v>1729410.52</v>
      </c>
      <c r="F279" s="137">
        <v>20377.0</v>
      </c>
      <c r="G279" s="8">
        <v>318555.0</v>
      </c>
      <c r="H279" s="109">
        <f t="shared" si="1"/>
        <v>-1390478.52</v>
      </c>
    </row>
    <row r="280">
      <c r="A280" s="59">
        <v>46022.0</v>
      </c>
      <c r="B280" s="8" t="s">
        <v>692</v>
      </c>
      <c r="C280" s="8" t="s">
        <v>699</v>
      </c>
      <c r="D280" s="59">
        <v>46021.0</v>
      </c>
      <c r="E280" s="8">
        <v>1729410.52</v>
      </c>
      <c r="F280" s="137">
        <v>20377.0</v>
      </c>
      <c r="G280" s="8">
        <v>310725.0</v>
      </c>
      <c r="H280" s="109">
        <f t="shared" si="1"/>
        <v>-1398308.52</v>
      </c>
    </row>
    <row r="281">
      <c r="A281" s="59">
        <v>46023.0</v>
      </c>
      <c r="B281" s="8" t="s">
        <v>692</v>
      </c>
      <c r="C281" s="8" t="s">
        <v>699</v>
      </c>
      <c r="D281" s="59">
        <v>46022.0</v>
      </c>
      <c r="E281" s="8">
        <v>1729410.52</v>
      </c>
      <c r="F281" s="137">
        <v>20377.0</v>
      </c>
      <c r="G281" s="8">
        <v>255240.0</v>
      </c>
      <c r="H281" s="109">
        <f t="shared" si="1"/>
        <v>-1453793.52</v>
      </c>
    </row>
    <row r="282">
      <c r="A282" s="59">
        <v>46024.0</v>
      </c>
      <c r="B282" s="8" t="s">
        <v>692</v>
      </c>
      <c r="C282" s="8" t="s">
        <v>699</v>
      </c>
      <c r="D282" s="59">
        <v>46023.0</v>
      </c>
      <c r="E282" s="8">
        <v>1729410.52</v>
      </c>
      <c r="F282" s="137">
        <v>20377.0</v>
      </c>
      <c r="G282" s="8">
        <v>249390.0</v>
      </c>
      <c r="H282" s="109">
        <f t="shared" si="1"/>
        <v>-1459643.52</v>
      </c>
    </row>
    <row r="283">
      <c r="A283" s="59">
        <v>46027.0</v>
      </c>
      <c r="B283" s="8" t="s">
        <v>692</v>
      </c>
      <c r="C283" s="8" t="s">
        <v>699</v>
      </c>
      <c r="D283" s="59">
        <v>46024.0</v>
      </c>
      <c r="E283" s="8">
        <v>1729410.52</v>
      </c>
      <c r="F283" s="137">
        <v>20377.0</v>
      </c>
      <c r="G283" s="8">
        <v>219870.0</v>
      </c>
      <c r="H283" s="109">
        <f t="shared" si="1"/>
        <v>-1489163.52</v>
      </c>
    </row>
    <row r="284">
      <c r="A284" s="59">
        <v>46028.0</v>
      </c>
      <c r="B284" s="8" t="s">
        <v>692</v>
      </c>
      <c r="C284" s="8" t="s">
        <v>699</v>
      </c>
      <c r="D284" s="59">
        <v>46027.0</v>
      </c>
      <c r="E284" s="8">
        <v>1729410.52</v>
      </c>
      <c r="F284" s="137">
        <v>20377.0</v>
      </c>
      <c r="G284" s="8">
        <v>242010.0</v>
      </c>
      <c r="H284" s="109">
        <f t="shared" si="1"/>
        <v>-1467023.52</v>
      </c>
    </row>
    <row r="285">
      <c r="A285" s="59">
        <v>46029.0</v>
      </c>
      <c r="B285" s="8" t="s">
        <v>692</v>
      </c>
      <c r="C285" s="8" t="s">
        <v>699</v>
      </c>
      <c r="D285" s="59">
        <v>46028.0</v>
      </c>
      <c r="E285" s="8">
        <v>1729410.52</v>
      </c>
      <c r="F285" s="137">
        <v>20377.0</v>
      </c>
      <c r="G285" s="8">
        <v>254790.0</v>
      </c>
      <c r="H285" s="109">
        <f t="shared" si="1"/>
        <v>-1454243.52</v>
      </c>
    </row>
    <row r="286">
      <c r="A286" s="59">
        <v>46030.0</v>
      </c>
      <c r="B286" s="8" t="s">
        <v>692</v>
      </c>
      <c r="C286" s="8" t="s">
        <v>699</v>
      </c>
      <c r="D286" s="59">
        <v>46029.0</v>
      </c>
      <c r="E286" s="8">
        <v>1729410.52</v>
      </c>
      <c r="F286" s="137">
        <v>20377.0</v>
      </c>
      <c r="G286" s="8">
        <v>259695.0</v>
      </c>
      <c r="H286" s="109">
        <f t="shared" si="1"/>
        <v>-1449338.52</v>
      </c>
    </row>
    <row r="287">
      <c r="A287" s="59">
        <v>46031.0</v>
      </c>
      <c r="B287" s="8" t="s">
        <v>692</v>
      </c>
      <c r="C287" s="8" t="s">
        <v>699</v>
      </c>
      <c r="D287" s="59">
        <v>46030.0</v>
      </c>
      <c r="E287" s="8">
        <v>1729410.52</v>
      </c>
      <c r="F287" s="137">
        <v>20377.0</v>
      </c>
      <c r="G287" s="8">
        <v>337095.0</v>
      </c>
      <c r="H287" s="109">
        <f t="shared" si="1"/>
        <v>-1371938.52</v>
      </c>
    </row>
    <row r="288">
      <c r="A288" s="59">
        <v>46034.0</v>
      </c>
      <c r="B288" s="8" t="s">
        <v>692</v>
      </c>
      <c r="C288" s="8" t="s">
        <v>699</v>
      </c>
      <c r="D288" s="59">
        <v>46031.0</v>
      </c>
      <c r="E288" s="8">
        <v>1729410.52</v>
      </c>
      <c r="F288" s="137">
        <v>20377.0</v>
      </c>
      <c r="G288" s="8">
        <v>404955.0</v>
      </c>
      <c r="H288" s="109">
        <f t="shared" si="1"/>
        <v>-1304078.52</v>
      </c>
    </row>
    <row r="289">
      <c r="A289" s="59">
        <v>46035.0</v>
      </c>
      <c r="B289" s="8" t="s">
        <v>692</v>
      </c>
      <c r="C289" s="8" t="s">
        <v>699</v>
      </c>
      <c r="D289" s="59">
        <v>46034.0</v>
      </c>
      <c r="E289" s="8">
        <v>1729410.52</v>
      </c>
      <c r="F289" s="137">
        <v>20377.0</v>
      </c>
      <c r="G289" s="8">
        <v>370080.0</v>
      </c>
      <c r="H289" s="109">
        <f t="shared" si="1"/>
        <v>-1338953.52</v>
      </c>
    </row>
    <row r="290">
      <c r="A290" s="59">
        <v>46036.0</v>
      </c>
      <c r="B290" s="8" t="s">
        <v>692</v>
      </c>
      <c r="C290" s="8" t="s">
        <v>699</v>
      </c>
      <c r="D290" s="59">
        <v>46035.0</v>
      </c>
      <c r="E290" s="8">
        <v>1729410.52</v>
      </c>
      <c r="F290" s="137">
        <v>20377.0</v>
      </c>
      <c r="G290" s="8">
        <v>393075.0</v>
      </c>
      <c r="H290" s="109">
        <f t="shared" si="1"/>
        <v>-1315958.52</v>
      </c>
    </row>
    <row r="291">
      <c r="A291" s="59">
        <v>46038.0</v>
      </c>
      <c r="B291" s="8" t="s">
        <v>692</v>
      </c>
      <c r="C291" s="8" t="s">
        <v>699</v>
      </c>
      <c r="D291" s="59">
        <v>46036.0</v>
      </c>
      <c r="E291" s="8">
        <v>1729410.52</v>
      </c>
      <c r="F291" s="137">
        <v>20377.0</v>
      </c>
      <c r="G291" s="8">
        <v>419580.0</v>
      </c>
      <c r="H291" s="109">
        <f t="shared" si="1"/>
        <v>-1289453.52</v>
      </c>
    </row>
    <row r="292">
      <c r="A292" s="59">
        <v>46041.0</v>
      </c>
      <c r="B292" s="8" t="s">
        <v>692</v>
      </c>
      <c r="C292" s="8" t="s">
        <v>699</v>
      </c>
      <c r="D292" s="59">
        <v>46038.0</v>
      </c>
      <c r="E292" s="8">
        <v>1729410.52</v>
      </c>
      <c r="F292" s="137">
        <v>20377.0</v>
      </c>
      <c r="G292" s="8">
        <v>400815.0</v>
      </c>
      <c r="H292" s="109">
        <f t="shared" si="1"/>
        <v>-1308218.52</v>
      </c>
    </row>
    <row r="293">
      <c r="A293" s="59">
        <v>46042.0</v>
      </c>
      <c r="B293" s="8" t="s">
        <v>692</v>
      </c>
      <c r="C293" s="8" t="s">
        <v>699</v>
      </c>
      <c r="D293" s="59">
        <v>46041.0</v>
      </c>
      <c r="E293" s="8">
        <v>1729410.52</v>
      </c>
      <c r="F293" s="137">
        <v>20377.0</v>
      </c>
      <c r="G293" s="8">
        <v>464130.0</v>
      </c>
      <c r="H293" s="109">
        <f t="shared" si="1"/>
        <v>-1244903.52</v>
      </c>
    </row>
    <row r="294">
      <c r="A294" s="59">
        <v>46043.0</v>
      </c>
      <c r="B294" s="8" t="s">
        <v>692</v>
      </c>
      <c r="C294" s="8" t="s">
        <v>699</v>
      </c>
      <c r="D294" s="59">
        <v>46042.0</v>
      </c>
      <c r="E294" s="8">
        <v>1729410.52</v>
      </c>
      <c r="F294" s="137">
        <v>20377.0</v>
      </c>
      <c r="G294" s="8">
        <v>650520.0</v>
      </c>
      <c r="H294" s="109">
        <f t="shared" si="1"/>
        <v>-1058513.52</v>
      </c>
    </row>
    <row r="295">
      <c r="A295" s="59">
        <v>46044.0</v>
      </c>
      <c r="B295" s="8" t="s">
        <v>692</v>
      </c>
      <c r="C295" s="8" t="s">
        <v>699</v>
      </c>
      <c r="D295" s="59">
        <v>46043.0</v>
      </c>
      <c r="E295" s="8">
        <v>1729410.52</v>
      </c>
      <c r="F295" s="137">
        <v>20377.0</v>
      </c>
      <c r="G295" s="8">
        <v>715275.0</v>
      </c>
      <c r="H295" s="109">
        <f t="shared" si="1"/>
        <v>-993758.52</v>
      </c>
    </row>
    <row r="296">
      <c r="A296" s="59">
        <v>46045.0</v>
      </c>
      <c r="B296" s="8" t="s">
        <v>692</v>
      </c>
      <c r="C296" s="8" t="s">
        <v>699</v>
      </c>
      <c r="D296" s="59">
        <v>46044.0</v>
      </c>
      <c r="E296" s="8">
        <v>1729410.52</v>
      </c>
      <c r="F296" s="137">
        <v>20377.0</v>
      </c>
      <c r="G296" s="8">
        <v>603810.0</v>
      </c>
      <c r="H296" s="109">
        <f t="shared" si="1"/>
        <v>-1105223.52</v>
      </c>
    </row>
    <row r="297">
      <c r="A297" s="59">
        <v>46049.0</v>
      </c>
      <c r="B297" s="8" t="s">
        <v>692</v>
      </c>
      <c r="C297" s="8" t="s">
        <v>699</v>
      </c>
      <c r="D297" s="59">
        <v>46045.0</v>
      </c>
      <c r="E297" s="8">
        <v>1729410.52</v>
      </c>
      <c r="F297" s="137">
        <v>20377.0</v>
      </c>
      <c r="G297" s="8">
        <v>770310.0</v>
      </c>
      <c r="H297" s="109">
        <f t="shared" si="1"/>
        <v>-938723.52</v>
      </c>
    </row>
    <row r="298">
      <c r="A298" s="59">
        <v>46050.0</v>
      </c>
      <c r="B298" s="8" t="s">
        <v>692</v>
      </c>
      <c r="C298" s="8" t="s">
        <v>699</v>
      </c>
      <c r="D298" s="59">
        <v>46049.0</v>
      </c>
      <c r="E298" s="8">
        <v>1729410.52</v>
      </c>
      <c r="F298" s="137">
        <v>20377.0</v>
      </c>
      <c r="G298" s="8">
        <v>669960.0</v>
      </c>
      <c r="H298" s="109">
        <f t="shared" si="1"/>
        <v>-1039073.52</v>
      </c>
    </row>
    <row r="299">
      <c r="A299" s="59">
        <v>46051.0</v>
      </c>
      <c r="B299" s="8" t="s">
        <v>692</v>
      </c>
      <c r="C299" s="8" t="s">
        <v>699</v>
      </c>
      <c r="D299" s="59">
        <v>46050.0</v>
      </c>
      <c r="E299" s="8">
        <v>1729410.52</v>
      </c>
      <c r="F299" s="137">
        <v>20377.0</v>
      </c>
      <c r="G299" s="8">
        <v>608670.0</v>
      </c>
      <c r="H299" s="109">
        <f t="shared" si="1"/>
        <v>-1100363.52</v>
      </c>
    </row>
    <row r="300">
      <c r="A300" s="59">
        <v>46052.0</v>
      </c>
      <c r="B300" s="8" t="s">
        <v>692</v>
      </c>
      <c r="C300" s="8" t="s">
        <v>699</v>
      </c>
      <c r="D300" s="59">
        <v>46051.0</v>
      </c>
      <c r="E300" s="8">
        <v>1729410.52</v>
      </c>
      <c r="F300" s="137">
        <v>20377.0</v>
      </c>
      <c r="G300" s="8">
        <v>559305.0</v>
      </c>
      <c r="H300" s="109">
        <f t="shared" si="1"/>
        <v>-1149728.52</v>
      </c>
    </row>
    <row r="301">
      <c r="A301" s="59">
        <v>46055.0</v>
      </c>
      <c r="B301" s="8" t="s">
        <v>692</v>
      </c>
      <c r="C301" s="8" t="s">
        <v>699</v>
      </c>
      <c r="D301" s="59">
        <v>46052.0</v>
      </c>
      <c r="E301" s="8">
        <v>1729410.52</v>
      </c>
      <c r="F301" s="137">
        <v>20377.0</v>
      </c>
      <c r="G301" s="8">
        <v>619290.0</v>
      </c>
      <c r="H301" s="109">
        <f t="shared" si="1"/>
        <v>-1089743.52</v>
      </c>
    </row>
    <row r="302">
      <c r="A302" s="59">
        <v>46055.0</v>
      </c>
      <c r="B302" s="8" t="s">
        <v>692</v>
      </c>
      <c r="C302" s="8" t="s">
        <v>699</v>
      </c>
      <c r="D302" s="59">
        <v>46054.0</v>
      </c>
      <c r="E302" s="8">
        <v>1729410.52</v>
      </c>
      <c r="F302" s="137">
        <v>20377.0</v>
      </c>
      <c r="G302" s="8">
        <v>982215.0</v>
      </c>
      <c r="H302" s="109">
        <f t="shared" si="1"/>
        <v>-726818.52</v>
      </c>
    </row>
    <row r="303">
      <c r="A303" s="59">
        <v>46056.0</v>
      </c>
      <c r="B303" s="8" t="s">
        <v>692</v>
      </c>
      <c r="C303" s="8" t="s">
        <v>699</v>
      </c>
      <c r="D303" s="59">
        <v>46055.0</v>
      </c>
      <c r="E303" s="8">
        <v>1729410.52</v>
      </c>
      <c r="F303" s="137">
        <v>20377.0</v>
      </c>
      <c r="G303" s="8">
        <v>788625.0</v>
      </c>
      <c r="H303" s="109">
        <f t="shared" si="1"/>
        <v>-920408.52</v>
      </c>
    </row>
    <row r="304">
      <c r="A304" s="59">
        <v>46057.0</v>
      </c>
      <c r="B304" s="8" t="s">
        <v>692</v>
      </c>
      <c r="C304" s="8" t="s">
        <v>699</v>
      </c>
      <c r="D304" s="59">
        <v>46056.0</v>
      </c>
      <c r="E304" s="8">
        <v>1729410.52</v>
      </c>
      <c r="F304" s="137">
        <v>20377.0</v>
      </c>
      <c r="G304" s="8">
        <v>413685.0</v>
      </c>
      <c r="H304" s="109">
        <f t="shared" si="1"/>
        <v>-1295348.52</v>
      </c>
    </row>
    <row r="305">
      <c r="A305" s="59">
        <v>46058.0</v>
      </c>
      <c r="B305" s="8" t="s">
        <v>692</v>
      </c>
      <c r="C305" s="8" t="s">
        <v>699</v>
      </c>
      <c r="D305" s="59">
        <v>46057.0</v>
      </c>
      <c r="E305" s="8">
        <v>1729410.52</v>
      </c>
      <c r="F305" s="137">
        <v>20377.0</v>
      </c>
      <c r="G305" s="8">
        <v>382455.0</v>
      </c>
      <c r="H305" s="109">
        <f t="shared" si="1"/>
        <v>-1326578.52</v>
      </c>
    </row>
    <row r="306">
      <c r="A306" s="59">
        <v>46059.0</v>
      </c>
      <c r="B306" s="8" t="s">
        <v>692</v>
      </c>
      <c r="C306" s="8" t="s">
        <v>699</v>
      </c>
      <c r="D306" s="59">
        <v>46058.0</v>
      </c>
      <c r="E306" s="8">
        <v>1729410.52</v>
      </c>
      <c r="F306" s="137">
        <v>20377.0</v>
      </c>
      <c r="G306" s="8">
        <v>428265.0</v>
      </c>
      <c r="H306" s="109">
        <f t="shared" si="1"/>
        <v>-1280768.52</v>
      </c>
    </row>
    <row r="307">
      <c r="A307" s="59">
        <v>46062.0</v>
      </c>
      <c r="B307" s="8" t="s">
        <v>692</v>
      </c>
      <c r="C307" s="8" t="s">
        <v>699</v>
      </c>
      <c r="D307" s="59">
        <v>46059.0</v>
      </c>
      <c r="E307" s="8">
        <v>1729410.52</v>
      </c>
      <c r="F307" s="137">
        <v>20377.0</v>
      </c>
      <c r="G307" s="8">
        <v>415980.0</v>
      </c>
      <c r="H307" s="109">
        <f t="shared" si="1"/>
        <v>-1293053.52</v>
      </c>
    </row>
    <row r="308">
      <c r="A308" s="59">
        <v>46063.0</v>
      </c>
      <c r="B308" s="8" t="s">
        <v>692</v>
      </c>
      <c r="C308" s="8" t="s">
        <v>699</v>
      </c>
      <c r="D308" s="59">
        <v>46062.0</v>
      </c>
      <c r="E308" s="8">
        <v>1729410.52</v>
      </c>
      <c r="F308" s="137">
        <v>20377.0</v>
      </c>
      <c r="G308" s="8">
        <v>329175.0</v>
      </c>
      <c r="H308" s="109">
        <f t="shared" si="1"/>
        <v>-1379858.52</v>
      </c>
    </row>
    <row r="309">
      <c r="A309" s="59">
        <v>46064.0</v>
      </c>
      <c r="B309" s="8" t="s">
        <v>692</v>
      </c>
      <c r="C309" s="8" t="s">
        <v>699</v>
      </c>
      <c r="D309" s="59">
        <v>46063.0</v>
      </c>
      <c r="E309" s="8">
        <v>1729410.52</v>
      </c>
      <c r="F309" s="137">
        <v>20377.0</v>
      </c>
      <c r="G309" s="8">
        <v>289530.0</v>
      </c>
      <c r="H309" s="109">
        <f t="shared" si="1"/>
        <v>-1419503.52</v>
      </c>
    </row>
    <row r="310">
      <c r="A310" s="59">
        <v>46065.0</v>
      </c>
      <c r="B310" s="8" t="s">
        <v>692</v>
      </c>
      <c r="C310" s="8" t="s">
        <v>699</v>
      </c>
      <c r="D310" s="59">
        <v>46064.0</v>
      </c>
      <c r="E310" s="8">
        <v>1729410.52</v>
      </c>
      <c r="F310" s="137">
        <v>20377.0</v>
      </c>
      <c r="G310" s="8">
        <v>274410.0</v>
      </c>
      <c r="H310" s="109">
        <f t="shared" si="1"/>
        <v>-1434623.52</v>
      </c>
    </row>
    <row r="311">
      <c r="A311" s="59">
        <v>46066.0</v>
      </c>
      <c r="B311" s="8" t="s">
        <v>692</v>
      </c>
      <c r="C311" s="8" t="s">
        <v>699</v>
      </c>
      <c r="D311" s="59">
        <v>46065.0</v>
      </c>
      <c r="E311" s="8">
        <v>1729410.52</v>
      </c>
      <c r="F311" s="137">
        <v>20377.0</v>
      </c>
      <c r="G311" s="8">
        <v>325530.0</v>
      </c>
      <c r="H311" s="109">
        <f t="shared" si="1"/>
        <v>-1383503.52</v>
      </c>
    </row>
    <row r="312">
      <c r="A312" s="59">
        <v>46069.0</v>
      </c>
      <c r="B312" s="8" t="s">
        <v>692</v>
      </c>
      <c r="C312" s="8" t="s">
        <v>699</v>
      </c>
      <c r="D312" s="59">
        <v>46066.0</v>
      </c>
      <c r="E312" s="8">
        <v>1729410.52</v>
      </c>
      <c r="F312" s="137">
        <v>20377.0</v>
      </c>
      <c r="G312" s="8">
        <v>498015.0</v>
      </c>
      <c r="H312" s="109">
        <f t="shared" si="1"/>
        <v>-1211018.52</v>
      </c>
    </row>
    <row r="313">
      <c r="A313" s="59">
        <v>46070.0</v>
      </c>
      <c r="B313" s="8" t="s">
        <v>692</v>
      </c>
      <c r="C313" s="8" t="s">
        <v>699</v>
      </c>
      <c r="D313" s="59">
        <v>46069.0</v>
      </c>
      <c r="E313" s="8">
        <v>1729410.52</v>
      </c>
      <c r="F313" s="137">
        <v>20377.0</v>
      </c>
      <c r="G313" s="8">
        <v>394335.0</v>
      </c>
      <c r="H313" s="109">
        <f t="shared" si="1"/>
        <v>-1314698.52</v>
      </c>
    </row>
    <row r="314">
      <c r="A314" s="59">
        <v>46071.0</v>
      </c>
      <c r="B314" s="8" t="s">
        <v>692</v>
      </c>
      <c r="C314" s="8" t="s">
        <v>699</v>
      </c>
      <c r="D314" s="59">
        <v>46070.0</v>
      </c>
      <c r="E314" s="8">
        <v>1729410.52</v>
      </c>
      <c r="F314" s="137">
        <v>20377.0</v>
      </c>
      <c r="G314" s="8">
        <v>377595.0</v>
      </c>
      <c r="H314" s="109">
        <f t="shared" si="1"/>
        <v>-1331438.52</v>
      </c>
    </row>
    <row r="315">
      <c r="A315" s="59">
        <v>46072.0</v>
      </c>
      <c r="B315" s="8" t="s">
        <v>692</v>
      </c>
      <c r="C315" s="8" t="s">
        <v>699</v>
      </c>
      <c r="D315" s="59">
        <v>46071.0</v>
      </c>
      <c r="E315" s="8">
        <v>1729410.52</v>
      </c>
      <c r="F315" s="137">
        <v>20377.0</v>
      </c>
      <c r="G315" s="8">
        <v>321795.0</v>
      </c>
      <c r="H315" s="109">
        <f t="shared" si="1"/>
        <v>-1387238.52</v>
      </c>
    </row>
    <row r="316">
      <c r="A316" s="59">
        <v>46073.0</v>
      </c>
      <c r="B316" s="8" t="s">
        <v>692</v>
      </c>
      <c r="C316" s="8" t="s">
        <v>699</v>
      </c>
      <c r="D316" s="59">
        <v>46072.0</v>
      </c>
      <c r="E316" s="8">
        <v>1729410.52</v>
      </c>
      <c r="F316" s="137">
        <v>20377.0</v>
      </c>
      <c r="G316" s="8">
        <v>531630.0</v>
      </c>
      <c r="H316" s="109">
        <f t="shared" si="1"/>
        <v>-1177403.52</v>
      </c>
    </row>
    <row r="317">
      <c r="A317" s="59">
        <v>46076.0</v>
      </c>
      <c r="B317" s="8" t="s">
        <v>692</v>
      </c>
      <c r="C317" s="8" t="s">
        <v>699</v>
      </c>
      <c r="D317" s="59">
        <v>46073.0</v>
      </c>
      <c r="E317" s="8">
        <v>1729410.52</v>
      </c>
      <c r="F317" s="137">
        <v>20377.0</v>
      </c>
      <c r="G317" s="8">
        <v>450900.0</v>
      </c>
      <c r="H317" s="109">
        <f t="shared" si="1"/>
        <v>-1258133.52</v>
      </c>
    </row>
    <row r="318">
      <c r="A318" s="59">
        <v>46077.0</v>
      </c>
      <c r="B318" s="8" t="s">
        <v>692</v>
      </c>
      <c r="C318" s="8" t="s">
        <v>699</v>
      </c>
      <c r="D318" s="59">
        <v>46076.0</v>
      </c>
      <c r="E318" s="8">
        <v>1729410.52</v>
      </c>
      <c r="F318" s="137">
        <v>20377.0</v>
      </c>
      <c r="G318" s="8">
        <v>388395.0</v>
      </c>
      <c r="H318" s="109">
        <f t="shared" si="1"/>
        <v>-1320638.52</v>
      </c>
    </row>
    <row r="319">
      <c r="A319" s="59">
        <v>46078.0</v>
      </c>
      <c r="B319" s="8" t="s">
        <v>692</v>
      </c>
      <c r="C319" s="8" t="s">
        <v>699</v>
      </c>
      <c r="D319" s="59">
        <v>46077.0</v>
      </c>
      <c r="E319" s="8">
        <v>1729410.52</v>
      </c>
      <c r="F319" s="137">
        <v>20377.0</v>
      </c>
      <c r="G319" s="8">
        <v>529875.0</v>
      </c>
      <c r="H319" s="109">
        <f t="shared" si="1"/>
        <v>-1179158.52</v>
      </c>
    </row>
    <row r="320">
      <c r="A320" s="59">
        <v>46079.0</v>
      </c>
      <c r="B320" s="8" t="s">
        <v>692</v>
      </c>
      <c r="C320" s="8" t="s">
        <v>699</v>
      </c>
      <c r="D320" s="59">
        <v>46078.0</v>
      </c>
      <c r="E320" s="8">
        <v>1729410.52</v>
      </c>
      <c r="F320" s="137">
        <v>20377.0</v>
      </c>
      <c r="G320" s="8">
        <v>492705.0</v>
      </c>
      <c r="H320" s="109">
        <f t="shared" si="1"/>
        <v>-1216328.52</v>
      </c>
    </row>
    <row r="321">
      <c r="A321" s="59">
        <v>46080.0</v>
      </c>
      <c r="B321" s="8" t="s">
        <v>692</v>
      </c>
      <c r="C321" s="8" t="s">
        <v>699</v>
      </c>
      <c r="D321" s="59">
        <v>46079.0</v>
      </c>
      <c r="E321" s="8">
        <v>1729410.52</v>
      </c>
      <c r="F321" s="137">
        <v>20377.0</v>
      </c>
      <c r="G321" s="8">
        <v>481410.0</v>
      </c>
      <c r="H321" s="109">
        <f t="shared" si="1"/>
        <v>-1227623.52</v>
      </c>
    </row>
    <row r="322">
      <c r="A322" s="59">
        <v>46083.0</v>
      </c>
      <c r="B322" s="8" t="s">
        <v>692</v>
      </c>
      <c r="C322" s="8" t="s">
        <v>699</v>
      </c>
      <c r="D322" s="59">
        <v>46080.0</v>
      </c>
      <c r="E322" s="8">
        <v>1729410.52</v>
      </c>
      <c r="F322" s="137">
        <v>20377.0</v>
      </c>
      <c r="G322" s="8">
        <v>685620.0</v>
      </c>
      <c r="H322" s="109">
        <f t="shared" si="1"/>
        <v>-1023413.52</v>
      </c>
    </row>
    <row r="323">
      <c r="A323" s="59">
        <v>46085.0</v>
      </c>
      <c r="B323" s="8" t="s">
        <v>692</v>
      </c>
      <c r="C323" s="8" t="s">
        <v>699</v>
      </c>
      <c r="D323" s="59">
        <v>46083.0</v>
      </c>
      <c r="E323" s="8">
        <v>1729410.52</v>
      </c>
      <c r="F323" s="137">
        <v>20377.0</v>
      </c>
      <c r="G323" s="8">
        <v>972135.0</v>
      </c>
      <c r="H323" s="109">
        <f t="shared" si="1"/>
        <v>-736898.52</v>
      </c>
    </row>
    <row r="324">
      <c r="A324" s="59">
        <v>46086.0</v>
      </c>
      <c r="B324" s="8" t="s">
        <v>692</v>
      </c>
      <c r="C324" s="8" t="s">
        <v>699</v>
      </c>
      <c r="D324" s="59">
        <v>46085.0</v>
      </c>
      <c r="E324" s="8">
        <v>1729410.52</v>
      </c>
      <c r="F324" s="137">
        <v>20377.0</v>
      </c>
      <c r="G324" s="8">
        <v>1309905.0</v>
      </c>
      <c r="H324" s="109">
        <f t="shared" si="1"/>
        <v>-399128.52</v>
      </c>
    </row>
    <row r="325">
      <c r="A325" s="59">
        <v>46087.0</v>
      </c>
      <c r="B325" s="8" t="s">
        <v>692</v>
      </c>
      <c r="C325" s="8" t="s">
        <v>699</v>
      </c>
      <c r="D325" s="59">
        <v>46086.0</v>
      </c>
      <c r="E325" s="8">
        <v>1729410.52</v>
      </c>
      <c r="F325" s="137">
        <v>20377.0</v>
      </c>
      <c r="G325" s="8">
        <v>1064025.0</v>
      </c>
      <c r="H325" s="109">
        <f t="shared" si="1"/>
        <v>-645008.52</v>
      </c>
    </row>
    <row r="326">
      <c r="A326" s="59">
        <v>46090.0</v>
      </c>
      <c r="B326" s="8" t="s">
        <v>696</v>
      </c>
      <c r="C326" s="8" t="s">
        <v>700</v>
      </c>
      <c r="D326" s="59">
        <v>46087.0</v>
      </c>
      <c r="E326" s="8">
        <v>1729410.52</v>
      </c>
      <c r="F326" s="8">
        <v>84606.09</v>
      </c>
      <c r="G326" s="8">
        <v>1206634.75</v>
      </c>
      <c r="H326" s="109">
        <f t="shared" si="1"/>
        <v>-438169.68</v>
      </c>
    </row>
    <row r="327">
      <c r="A327" s="59">
        <v>46091.0</v>
      </c>
      <c r="B327" s="8" t="s">
        <v>696</v>
      </c>
      <c r="C327" s="8" t="s">
        <v>700</v>
      </c>
      <c r="D327" s="59">
        <v>46090.0</v>
      </c>
      <c r="E327" s="8">
        <v>1729410.52</v>
      </c>
      <c r="F327" s="8">
        <v>84606.09</v>
      </c>
      <c r="G327" s="8">
        <v>1461166.0</v>
      </c>
      <c r="H327" s="109">
        <f t="shared" si="1"/>
        <v>-183638.43</v>
      </c>
    </row>
    <row r="328">
      <c r="A328" s="59">
        <v>46092.0</v>
      </c>
      <c r="B328" s="8" t="s">
        <v>696</v>
      </c>
      <c r="C328" s="8" t="s">
        <v>700</v>
      </c>
      <c r="D328" s="59">
        <v>46091.0</v>
      </c>
      <c r="E328" s="8">
        <v>1729410.52</v>
      </c>
      <c r="F328" s="8">
        <v>84606.09</v>
      </c>
      <c r="G328" s="8">
        <v>1241213.0</v>
      </c>
      <c r="H328" s="109">
        <f t="shared" si="1"/>
        <v>-403591.43</v>
      </c>
    </row>
    <row r="329">
      <c r="A329" s="59">
        <v>46093.0</v>
      </c>
      <c r="B329" s="8" t="s">
        <v>696</v>
      </c>
      <c r="C329" s="8" t="s">
        <v>700</v>
      </c>
      <c r="D329" s="59">
        <v>46092.0</v>
      </c>
      <c r="E329" s="8">
        <v>1729410.52</v>
      </c>
      <c r="F329" s="8">
        <v>84606.09</v>
      </c>
      <c r="G329" s="8">
        <v>1512220.0</v>
      </c>
      <c r="H329" s="109">
        <f t="shared" si="1"/>
        <v>-132584.43</v>
      </c>
    </row>
    <row r="330">
      <c r="A330" s="59">
        <v>46094.0</v>
      </c>
      <c r="B330" s="8" t="s">
        <v>696</v>
      </c>
      <c r="C330" s="8" t="s">
        <v>700</v>
      </c>
      <c r="D330" s="59">
        <v>46093.0</v>
      </c>
      <c r="E330" s="8">
        <v>1729410.52</v>
      </c>
      <c r="F330" s="8">
        <v>84606.09</v>
      </c>
      <c r="G330" s="8">
        <v>1611196.0</v>
      </c>
      <c r="H330" s="109">
        <f t="shared" si="1"/>
        <v>-33608.43</v>
      </c>
    </row>
    <row r="331">
      <c r="A331" s="59">
        <v>46097.0</v>
      </c>
      <c r="B331" s="8" t="s">
        <v>696</v>
      </c>
      <c r="C331" s="8" t="s">
        <v>700</v>
      </c>
      <c r="D331" s="59">
        <v>46094.0</v>
      </c>
      <c r="E331" s="8">
        <v>1729410.52</v>
      </c>
      <c r="F331" s="8">
        <v>84606.09</v>
      </c>
      <c r="G331" s="8">
        <v>1888358.0</v>
      </c>
      <c r="H331" s="109">
        <f t="shared" si="1"/>
        <v>243553.57</v>
      </c>
    </row>
    <row r="332">
      <c r="A332" s="59">
        <v>46098.0</v>
      </c>
      <c r="B332" s="8" t="s">
        <v>696</v>
      </c>
      <c r="C332" s="8" t="s">
        <v>700</v>
      </c>
      <c r="D332" s="59">
        <v>46097.0</v>
      </c>
      <c r="E332" s="8">
        <v>1729410.52</v>
      </c>
      <c r="F332" s="8">
        <v>84606.09</v>
      </c>
      <c r="G332" s="8">
        <v>1769070.0</v>
      </c>
      <c r="H332" s="109">
        <f t="shared" si="1"/>
        <v>124265.57</v>
      </c>
    </row>
    <row r="333">
      <c r="A333" s="59">
        <v>46099.0</v>
      </c>
      <c r="B333" s="8" t="s">
        <v>696</v>
      </c>
      <c r="C333" s="8" t="s">
        <v>700</v>
      </c>
      <c r="D333" s="59">
        <v>46098.0</v>
      </c>
      <c r="E333" s="8">
        <v>1729410.52</v>
      </c>
      <c r="F333" s="8">
        <v>84606.09</v>
      </c>
      <c r="G333" s="8">
        <v>1627062.0</v>
      </c>
      <c r="H333" s="109">
        <f t="shared" si="1"/>
        <v>-17742.43</v>
      </c>
    </row>
    <row r="334">
      <c r="A334" s="59">
        <v>46100.0</v>
      </c>
      <c r="B334" s="8" t="s">
        <v>696</v>
      </c>
      <c r="C334" s="8" t="s">
        <v>700</v>
      </c>
      <c r="D334" s="59">
        <v>46099.0</v>
      </c>
      <c r="E334" s="8">
        <v>1729410.52</v>
      </c>
      <c r="F334" s="8">
        <v>84606.09</v>
      </c>
      <c r="G334" s="8">
        <v>1530047.0</v>
      </c>
      <c r="H334" s="109">
        <f t="shared" si="1"/>
        <v>-114757.43</v>
      </c>
    </row>
    <row r="335">
      <c r="A335" s="59">
        <v>46101.0</v>
      </c>
      <c r="B335" s="8" t="s">
        <v>696</v>
      </c>
      <c r="C335" s="8" t="s">
        <v>700</v>
      </c>
      <c r="D335" s="59">
        <v>46100.0</v>
      </c>
      <c r="E335" s="8">
        <v>1729410.52</v>
      </c>
      <c r="F335" s="8">
        <v>84606.09</v>
      </c>
      <c r="G335" s="8">
        <v>2005597.0</v>
      </c>
      <c r="H335" s="109">
        <f t="shared" si="1"/>
        <v>360792.57</v>
      </c>
    </row>
    <row r="336">
      <c r="A336" s="59">
        <v>46104.0</v>
      </c>
      <c r="B336" s="8" t="s">
        <v>696</v>
      </c>
      <c r="C336" s="8" t="s">
        <v>700</v>
      </c>
      <c r="D336" s="59">
        <v>46101.0</v>
      </c>
      <c r="E336" s="8">
        <v>1729410.52</v>
      </c>
      <c r="F336" s="8">
        <v>84606.09</v>
      </c>
      <c r="G336" s="8">
        <v>1922300.0</v>
      </c>
      <c r="H336" s="109">
        <f t="shared" si="1"/>
        <v>277495.57</v>
      </c>
    </row>
    <row r="337">
      <c r="A337" s="59">
        <v>46105.0</v>
      </c>
      <c r="B337" s="8" t="s">
        <v>696</v>
      </c>
      <c r="C337" s="8" t="s">
        <v>700</v>
      </c>
      <c r="D337" s="59">
        <v>46104.0</v>
      </c>
      <c r="E337" s="8">
        <v>1729410.52</v>
      </c>
      <c r="F337" s="8">
        <v>84606.09</v>
      </c>
      <c r="G337" s="8">
        <v>2368781.0</v>
      </c>
      <c r="H337" s="109">
        <f t="shared" si="1"/>
        <v>723976.57</v>
      </c>
    </row>
    <row r="338">
      <c r="A338" s="59">
        <v>46106.0</v>
      </c>
      <c r="B338" s="8" t="s">
        <v>696</v>
      </c>
      <c r="C338" s="8" t="s">
        <v>700</v>
      </c>
      <c r="D338" s="59">
        <v>46105.0</v>
      </c>
      <c r="E338" s="8">
        <v>1729410.52</v>
      </c>
      <c r="F338" s="8">
        <v>84606.09</v>
      </c>
      <c r="G338" s="8">
        <v>2069397.0</v>
      </c>
      <c r="H338" s="109">
        <f t="shared" si="1"/>
        <v>424592.57</v>
      </c>
    </row>
    <row r="339">
      <c r="A339" s="59">
        <v>46108.0</v>
      </c>
      <c r="B339" s="8" t="s">
        <v>696</v>
      </c>
      <c r="C339" s="8" t="s">
        <v>700</v>
      </c>
      <c r="D339" s="59">
        <v>46106.0</v>
      </c>
      <c r="E339" s="8">
        <v>1729410.52</v>
      </c>
      <c r="F339" s="8">
        <v>84606.09</v>
      </c>
      <c r="G339" s="8">
        <v>1829979.0</v>
      </c>
      <c r="H339" s="109">
        <f t="shared" si="1"/>
        <v>185174.57</v>
      </c>
    </row>
    <row r="340">
      <c r="A340" s="59">
        <v>46111.0</v>
      </c>
      <c r="B340" s="8" t="s">
        <v>696</v>
      </c>
      <c r="C340" s="8" t="s">
        <v>700</v>
      </c>
      <c r="D340" s="59">
        <v>46108.0</v>
      </c>
      <c r="E340" s="8">
        <v>1729410.52</v>
      </c>
      <c r="F340" s="8">
        <v>84606.09</v>
      </c>
      <c r="G340" s="8">
        <v>2168156.0</v>
      </c>
      <c r="H340" s="109">
        <f t="shared" si="1"/>
        <v>523351.57</v>
      </c>
    </row>
    <row r="341">
      <c r="A341" s="59">
        <v>46113.0</v>
      </c>
      <c r="B341" s="8" t="s">
        <v>696</v>
      </c>
      <c r="C341" s="8" t="s">
        <v>700</v>
      </c>
      <c r="D341" s="59">
        <v>46111.0</v>
      </c>
      <c r="E341" s="8">
        <v>1729410.52</v>
      </c>
      <c r="F341" s="8">
        <v>286126.87</v>
      </c>
      <c r="G341" s="8">
        <v>2295104.0</v>
      </c>
      <c r="H341" s="109">
        <f t="shared" si="1"/>
        <v>851820.35</v>
      </c>
    </row>
    <row r="342">
      <c r="A342" s="59">
        <v>46114.0</v>
      </c>
      <c r="B342" s="8" t="s">
        <v>696</v>
      </c>
      <c r="C342" s="8" t="s">
        <v>700</v>
      </c>
      <c r="D342" s="59">
        <v>46113.0</v>
      </c>
      <c r="E342" s="8">
        <v>1729410.52</v>
      </c>
      <c r="F342" s="8">
        <v>286126.87</v>
      </c>
      <c r="G342" s="8">
        <v>2026352.0</v>
      </c>
      <c r="H342" s="109">
        <f t="shared" si="1"/>
        <v>583068.35</v>
      </c>
    </row>
    <row r="343">
      <c r="A343" s="59">
        <v>46118.0</v>
      </c>
      <c r="B343" s="8" t="s">
        <v>696</v>
      </c>
      <c r="C343" s="8" t="s">
        <v>700</v>
      </c>
      <c r="D343" s="59">
        <v>46114.0</v>
      </c>
      <c r="E343" s="8">
        <v>1729410.52</v>
      </c>
      <c r="F343" s="8">
        <v>286126.87</v>
      </c>
      <c r="G343" s="8">
        <v>2013466.0</v>
      </c>
      <c r="H343" s="109">
        <f t="shared" si="1"/>
        <v>570182.35</v>
      </c>
    </row>
    <row r="344">
      <c r="A344" s="59">
        <v>46119.0</v>
      </c>
      <c r="B344" s="8" t="s">
        <v>696</v>
      </c>
      <c r="C344" s="8" t="s">
        <v>700</v>
      </c>
      <c r="D344" s="59">
        <v>46118.0</v>
      </c>
      <c r="E344" s="8">
        <v>1729410.52</v>
      </c>
      <c r="F344" s="8">
        <v>286126.87</v>
      </c>
      <c r="G344" s="8">
        <v>1849113.0</v>
      </c>
      <c r="H344" s="109">
        <f t="shared" si="1"/>
        <v>405829.35</v>
      </c>
    </row>
    <row r="345">
      <c r="A345" s="59">
        <v>46120.0</v>
      </c>
      <c r="B345" s="8" t="s">
        <v>696</v>
      </c>
      <c r="C345" s="8" t="s">
        <v>700</v>
      </c>
      <c r="D345" s="59">
        <v>46119.0</v>
      </c>
      <c r="E345" s="8">
        <v>1729410.52</v>
      </c>
      <c r="F345" s="8">
        <v>286126.87</v>
      </c>
      <c r="G345" s="8">
        <v>1787513.0</v>
      </c>
      <c r="H345" s="109">
        <f t="shared" si="1"/>
        <v>344229.35</v>
      </c>
    </row>
    <row r="346">
      <c r="A346" s="59">
        <v>46121.0</v>
      </c>
      <c r="B346" s="8" t="s">
        <v>696</v>
      </c>
      <c r="C346" s="8" t="s">
        <v>700</v>
      </c>
      <c r="D346" s="59">
        <v>46120.0</v>
      </c>
      <c r="E346" s="8">
        <v>1729410.52</v>
      </c>
      <c r="F346" s="8">
        <v>286126.87</v>
      </c>
      <c r="G346" s="8">
        <v>1273203.0</v>
      </c>
      <c r="H346" s="109">
        <f t="shared" si="1"/>
        <v>-170080.65</v>
      </c>
    </row>
    <row r="347">
      <c r="A347" s="59">
        <v>46122.0</v>
      </c>
      <c r="B347" s="8" t="s">
        <v>696</v>
      </c>
      <c r="C347" s="8" t="s">
        <v>700</v>
      </c>
      <c r="D347" s="59">
        <v>46121.0</v>
      </c>
      <c r="E347" s="8">
        <v>1729410.52</v>
      </c>
      <c r="F347" s="8">
        <v>286126.87</v>
      </c>
      <c r="G347" s="8">
        <v>1366829.0</v>
      </c>
      <c r="H347" s="109">
        <f t="shared" si="1"/>
        <v>-76454.65</v>
      </c>
    </row>
    <row r="348">
      <c r="A348" s="59">
        <v>46125.0</v>
      </c>
      <c r="B348" s="8" t="s">
        <v>696</v>
      </c>
      <c r="C348" s="8" t="s">
        <v>700</v>
      </c>
      <c r="D348" s="59">
        <v>46122.0</v>
      </c>
      <c r="E348" s="8">
        <v>1729410.52</v>
      </c>
      <c r="F348" s="8">
        <v>286126.87</v>
      </c>
      <c r="G348" s="8">
        <v>1253980.0</v>
      </c>
      <c r="H348" s="109">
        <f t="shared" si="1"/>
        <v>-189303.65</v>
      </c>
    </row>
    <row r="349">
      <c r="A349" s="59">
        <v>46127.0</v>
      </c>
      <c r="B349" s="8" t="s">
        <v>696</v>
      </c>
      <c r="C349" s="8" t="s">
        <v>700</v>
      </c>
      <c r="D349" s="59">
        <v>46125.0</v>
      </c>
      <c r="E349" s="8">
        <v>1729410.52</v>
      </c>
      <c r="F349" s="8">
        <v>286126.87</v>
      </c>
      <c r="G349" s="8">
        <v>1373378.0</v>
      </c>
      <c r="H349" s="109">
        <f t="shared" si="1"/>
        <v>-69905.65</v>
      </c>
    </row>
    <row r="350">
      <c r="A350" s="59">
        <v>46128.0</v>
      </c>
      <c r="B350" s="8" t="s">
        <v>696</v>
      </c>
      <c r="C350" s="8" t="s">
        <v>700</v>
      </c>
      <c r="D350" s="59">
        <v>46127.0</v>
      </c>
      <c r="E350" s="8">
        <v>1729410.52</v>
      </c>
      <c r="F350" s="8">
        <v>286126.87</v>
      </c>
      <c r="G350" s="8">
        <v>1160523.0</v>
      </c>
      <c r="H350" s="109">
        <f t="shared" si="1"/>
        <v>-282760.65</v>
      </c>
    </row>
    <row r="351">
      <c r="A351" s="59">
        <v>46129.0</v>
      </c>
      <c r="B351" s="8" t="s">
        <v>696</v>
      </c>
      <c r="C351" s="8" t="s">
        <v>700</v>
      </c>
      <c r="D351" s="59">
        <v>46128.0</v>
      </c>
      <c r="E351" s="8">
        <v>1729410.52</v>
      </c>
      <c r="F351" s="8">
        <v>286126.87</v>
      </c>
      <c r="G351" s="8">
        <v>1167832.0</v>
      </c>
      <c r="H351" s="109">
        <f t="shared" si="1"/>
        <v>-275451.65</v>
      </c>
    </row>
    <row r="352">
      <c r="A352" s="59">
        <v>46132.0</v>
      </c>
      <c r="B352" s="8" t="s">
        <v>696</v>
      </c>
      <c r="C352" s="8" t="s">
        <v>700</v>
      </c>
      <c r="D352" s="59">
        <v>46129.0</v>
      </c>
      <c r="E352" s="8">
        <v>1729410.52</v>
      </c>
      <c r="F352" s="8">
        <v>286126.87</v>
      </c>
      <c r="G352" s="8">
        <v>1097739.0</v>
      </c>
      <c r="H352" s="109">
        <f t="shared" si="1"/>
        <v>-345544.65</v>
      </c>
    </row>
    <row r="353">
      <c r="A353" s="59">
        <v>46133.0</v>
      </c>
      <c r="B353" s="8" t="s">
        <v>696</v>
      </c>
      <c r="C353" s="8" t="s">
        <v>700</v>
      </c>
      <c r="D353" s="59">
        <v>46132.0</v>
      </c>
      <c r="E353" s="8">
        <v>1729410.52</v>
      </c>
      <c r="F353" s="8">
        <v>286126.87</v>
      </c>
      <c r="G353" s="8">
        <v>1116836.0</v>
      </c>
      <c r="H353" s="109">
        <f t="shared" si="1"/>
        <v>-326447.65</v>
      </c>
    </row>
    <row r="354">
      <c r="A354" s="59">
        <v>46134.0</v>
      </c>
      <c r="B354" s="8" t="s">
        <v>696</v>
      </c>
      <c r="C354" s="8" t="s">
        <v>700</v>
      </c>
      <c r="D354" s="59">
        <v>46133.0</v>
      </c>
      <c r="E354" s="8">
        <v>1729410.52</v>
      </c>
      <c r="F354" s="8">
        <v>286126.87</v>
      </c>
      <c r="G354" s="8">
        <v>991438.0</v>
      </c>
      <c r="H354" s="109">
        <f t="shared" si="1"/>
        <v>-451845.65</v>
      </c>
    </row>
    <row r="355">
      <c r="A355" s="59">
        <v>46135.0</v>
      </c>
      <c r="B355" s="8" t="s">
        <v>696</v>
      </c>
      <c r="C355" s="8" t="s">
        <v>700</v>
      </c>
      <c r="D355" s="59">
        <v>46134.0</v>
      </c>
      <c r="E355" s="8">
        <v>1729410.52</v>
      </c>
      <c r="F355" s="8">
        <v>286126.87</v>
      </c>
      <c r="G355" s="8">
        <v>1080036.0</v>
      </c>
      <c r="H355" s="109">
        <f t="shared" si="1"/>
        <v>-363247.65</v>
      </c>
    </row>
    <row r="356">
      <c r="A356" s="59">
        <v>46136.0</v>
      </c>
      <c r="B356" s="8" t="s">
        <v>696</v>
      </c>
      <c r="C356" s="8" t="s">
        <v>700</v>
      </c>
      <c r="D356" s="59">
        <v>46135.0</v>
      </c>
      <c r="E356" s="8">
        <v>1729410.52</v>
      </c>
      <c r="F356" s="8">
        <v>286126.87</v>
      </c>
      <c r="G356" s="8">
        <v>1193224.0</v>
      </c>
      <c r="H356" s="109">
        <f t="shared" si="1"/>
        <v>-250059.65</v>
      </c>
    </row>
    <row r="357">
      <c r="A357" s="59">
        <v>46139.0</v>
      </c>
      <c r="B357" s="8" t="s">
        <v>696</v>
      </c>
      <c r="C357" s="8" t="s">
        <v>700</v>
      </c>
      <c r="D357" s="59">
        <v>46136.0</v>
      </c>
      <c r="E357" s="8">
        <v>1729410.52</v>
      </c>
      <c r="F357" s="8">
        <v>286126.87</v>
      </c>
      <c r="G357" s="8">
        <v>1323101.0</v>
      </c>
      <c r="H357" s="109">
        <f t="shared" si="1"/>
        <v>-120182.65</v>
      </c>
    </row>
    <row r="358">
      <c r="A358" s="59">
        <v>46140.0</v>
      </c>
      <c r="B358" s="8" t="s">
        <v>696</v>
      </c>
      <c r="C358" s="8" t="s">
        <v>700</v>
      </c>
      <c r="D358" s="59">
        <v>46139.0</v>
      </c>
      <c r="E358" s="8">
        <v>1729410.52</v>
      </c>
      <c r="F358" s="8">
        <v>286126.87</v>
      </c>
      <c r="G358" s="8">
        <v>1228123.0</v>
      </c>
      <c r="H358" s="109">
        <f t="shared" si="1"/>
        <v>-215160.65</v>
      </c>
    </row>
    <row r="359">
      <c r="A359" s="59">
        <v>46141.0</v>
      </c>
      <c r="B359" s="8" t="s">
        <v>696</v>
      </c>
      <c r="C359" s="8" t="s">
        <v>700</v>
      </c>
      <c r="D359" s="59">
        <v>46140.0</v>
      </c>
      <c r="E359" s="8">
        <v>1729410.52</v>
      </c>
      <c r="F359" s="8">
        <v>286126.87</v>
      </c>
      <c r="G359" s="8">
        <v>1303285.0</v>
      </c>
      <c r="H359" s="109">
        <f t="shared" si="1"/>
        <v>-139998.65</v>
      </c>
    </row>
    <row r="360">
      <c r="A360" s="59">
        <v>46142.0</v>
      </c>
      <c r="B360" s="8" t="s">
        <v>696</v>
      </c>
      <c r="C360" s="8" t="s">
        <v>700</v>
      </c>
      <c r="D360" s="59">
        <v>46141.0</v>
      </c>
      <c r="E360" s="8">
        <v>1729410.52</v>
      </c>
      <c r="F360" s="8">
        <v>286126.87</v>
      </c>
      <c r="G360" s="8">
        <v>1204632.0</v>
      </c>
      <c r="H360" s="109">
        <f t="shared" si="1"/>
        <v>-238651.65</v>
      </c>
    </row>
    <row r="361">
      <c r="A361" s="59">
        <v>46146.0</v>
      </c>
      <c r="B361" s="8" t="s">
        <v>696</v>
      </c>
      <c r="C361" s="8" t="s">
        <v>700</v>
      </c>
      <c r="D361" s="59">
        <v>46142.0</v>
      </c>
      <c r="E361" s="8">
        <v>1729410.52</v>
      </c>
      <c r="F361" s="8">
        <v>286126.87</v>
      </c>
      <c r="G361" s="8">
        <v>1310214.0</v>
      </c>
      <c r="H361" s="109">
        <f t="shared" si="1"/>
        <v>-133069.65</v>
      </c>
    </row>
    <row r="362">
      <c r="A362" s="59">
        <v>46147.0</v>
      </c>
      <c r="B362" s="8" t="s">
        <v>696</v>
      </c>
      <c r="C362" s="8" t="s">
        <v>700</v>
      </c>
      <c r="D362" s="59">
        <v>46146.0</v>
      </c>
      <c r="E362" s="8">
        <v>1729410.52</v>
      </c>
      <c r="F362" s="8">
        <v>286126.87</v>
      </c>
      <c r="G362" s="8">
        <v>1244135.0</v>
      </c>
      <c r="H362" s="109">
        <f t="shared" si="1"/>
        <v>-199148.65</v>
      </c>
    </row>
    <row r="363">
      <c r="A363" s="59">
        <v>46148.0</v>
      </c>
      <c r="B363" s="8" t="s">
        <v>696</v>
      </c>
      <c r="C363" s="8" t="s">
        <v>700</v>
      </c>
      <c r="D363" s="59">
        <v>46147.0</v>
      </c>
      <c r="E363" s="8">
        <v>1729410.52</v>
      </c>
      <c r="F363" s="8">
        <v>286126.87</v>
      </c>
      <c r="G363" s="8">
        <v>1298976.0</v>
      </c>
      <c r="H363" s="109">
        <f t="shared" si="1"/>
        <v>-144307.65</v>
      </c>
    </row>
    <row r="364">
      <c r="A364" s="59">
        <v>46149.0</v>
      </c>
      <c r="B364" s="8" t="s">
        <v>696</v>
      </c>
      <c r="C364" s="8" t="s">
        <v>700</v>
      </c>
      <c r="D364" s="59">
        <v>46148.0</v>
      </c>
      <c r="E364" s="8">
        <v>1729410.52</v>
      </c>
      <c r="F364" s="8">
        <v>286126.87</v>
      </c>
      <c r="G364" s="8">
        <v>1112611.0</v>
      </c>
      <c r="H364" s="109">
        <f t="shared" si="1"/>
        <v>-330672.65</v>
      </c>
    </row>
    <row r="365">
      <c r="A365" s="59">
        <v>46150.0</v>
      </c>
      <c r="B365" s="8" t="s">
        <v>696</v>
      </c>
      <c r="C365" s="8" t="s">
        <v>700</v>
      </c>
      <c r="D365" s="59">
        <v>46149.0</v>
      </c>
      <c r="E365" s="8">
        <v>1729410.52</v>
      </c>
      <c r="F365" s="8">
        <v>286126.87</v>
      </c>
      <c r="G365" s="8">
        <v>1126342.0</v>
      </c>
      <c r="H365" s="109">
        <f t="shared" si="1"/>
        <v>-316941.65</v>
      </c>
    </row>
    <row r="366">
      <c r="A366" s="59">
        <v>46153.0</v>
      </c>
      <c r="B366" s="8" t="s">
        <v>696</v>
      </c>
      <c r="C366" s="8" t="s">
        <v>700</v>
      </c>
      <c r="D366" s="59">
        <v>46150.0</v>
      </c>
      <c r="E366" s="8">
        <v>1729410.52</v>
      </c>
      <c r="F366" s="8">
        <v>286126.87</v>
      </c>
      <c r="G366" s="8">
        <v>1201252.0</v>
      </c>
      <c r="H366" s="109">
        <f t="shared" si="1"/>
        <v>-242031.65</v>
      </c>
    </row>
    <row r="367">
      <c r="A367" s="59">
        <v>46154.0</v>
      </c>
      <c r="B367" s="8" t="s">
        <v>696</v>
      </c>
      <c r="C367" s="8" t="s">
        <v>700</v>
      </c>
      <c r="D367" s="59">
        <v>46153.0</v>
      </c>
      <c r="E367" s="8">
        <v>1729410.52</v>
      </c>
      <c r="F367" s="8">
        <v>286126.87</v>
      </c>
      <c r="G367" s="8">
        <v>1391250.0</v>
      </c>
      <c r="H367" s="109">
        <f t="shared" si="1"/>
        <v>-52033.65</v>
      </c>
    </row>
    <row r="368">
      <c r="A368" s="59">
        <v>46155.0</v>
      </c>
      <c r="B368" s="8" t="s">
        <v>696</v>
      </c>
      <c r="C368" s="8" t="s">
        <v>700</v>
      </c>
      <c r="D368" s="59">
        <v>46154.0</v>
      </c>
      <c r="E368" s="8">
        <v>1729410.52</v>
      </c>
      <c r="F368" s="8">
        <v>286126.87</v>
      </c>
      <c r="G368" s="8">
        <v>1626920.0</v>
      </c>
      <c r="H368" s="109">
        <f t="shared" si="1"/>
        <v>183636.35</v>
      </c>
    </row>
    <row r="369">
      <c r="A369" s="59">
        <v>46156.0</v>
      </c>
      <c r="B369" s="8" t="s">
        <v>696</v>
      </c>
      <c r="C369" s="8" t="s">
        <v>700</v>
      </c>
      <c r="D369" s="59">
        <v>46155.0</v>
      </c>
      <c r="E369" s="8">
        <v>1729410.52</v>
      </c>
      <c r="F369" s="8">
        <v>286126.87</v>
      </c>
      <c r="G369" s="8">
        <v>1627385.0</v>
      </c>
      <c r="H369" s="109">
        <f t="shared" si="1"/>
        <v>184101.35</v>
      </c>
    </row>
    <row r="370">
      <c r="A370" s="59">
        <v>46157.0</v>
      </c>
      <c r="B370" s="8" t="s">
        <v>696</v>
      </c>
      <c r="C370" s="8" t="s">
        <v>700</v>
      </c>
      <c r="D370" s="59">
        <v>46156.0</v>
      </c>
      <c r="E370" s="8">
        <v>1729410.52</v>
      </c>
      <c r="F370" s="8">
        <v>286126.87</v>
      </c>
      <c r="G370" s="8">
        <v>1495185.0</v>
      </c>
      <c r="H370" s="109">
        <f t="shared" si="1"/>
        <v>51901.35</v>
      </c>
    </row>
    <row r="371">
      <c r="A371" s="59">
        <v>46160.0</v>
      </c>
      <c r="B371" s="8" t="s">
        <v>696</v>
      </c>
      <c r="C371" s="8" t="s">
        <v>700</v>
      </c>
      <c r="D371" s="59">
        <v>46157.0</v>
      </c>
      <c r="E371" s="8">
        <v>1729410.52</v>
      </c>
      <c r="F371" s="8">
        <v>286126.87</v>
      </c>
      <c r="G371" s="8">
        <v>1536801.0</v>
      </c>
      <c r="H371" s="109">
        <f t="shared" si="1"/>
        <v>93517.35</v>
      </c>
    </row>
    <row r="372">
      <c r="A372" s="59">
        <v>46161.0</v>
      </c>
      <c r="B372" s="8" t="s">
        <v>696</v>
      </c>
      <c r="C372" s="8" t="s">
        <v>700</v>
      </c>
      <c r="D372" s="59">
        <v>46160.0</v>
      </c>
      <c r="E372" s="8">
        <v>1729410.52</v>
      </c>
      <c r="F372" s="8">
        <v>286126.87</v>
      </c>
      <c r="G372" s="8">
        <v>1550575.0</v>
      </c>
      <c r="H372" s="109">
        <f t="shared" si="1"/>
        <v>107291.35</v>
      </c>
    </row>
    <row r="373">
      <c r="A373" s="59">
        <v>46162.0</v>
      </c>
      <c r="B373" s="8" t="s">
        <v>696</v>
      </c>
      <c r="C373" s="8" t="s">
        <v>700</v>
      </c>
      <c r="D373" s="59">
        <v>46161.0</v>
      </c>
      <c r="E373" s="8">
        <v>1729410.52</v>
      </c>
      <c r="F373" s="8">
        <v>286126.87</v>
      </c>
      <c r="G373" s="8">
        <v>1561222.0</v>
      </c>
      <c r="H373" s="109">
        <f t="shared" si="1"/>
        <v>117938.35</v>
      </c>
    </row>
    <row r="374">
      <c r="A374" s="59">
        <v>46163.0</v>
      </c>
      <c r="B374" s="8" t="s">
        <v>696</v>
      </c>
      <c r="C374" s="8" t="s">
        <v>700</v>
      </c>
      <c r="D374" s="59">
        <v>46162.0</v>
      </c>
      <c r="E374" s="8">
        <v>1729410.52</v>
      </c>
      <c r="F374" s="8">
        <v>286126.87</v>
      </c>
      <c r="G374" s="8">
        <v>1531351.0</v>
      </c>
      <c r="H374" s="109">
        <f t="shared" si="1"/>
        <v>88067.35</v>
      </c>
    </row>
    <row r="375">
      <c r="A375" s="59">
        <v>46164.0</v>
      </c>
      <c r="B375" s="8" t="s">
        <v>696</v>
      </c>
      <c r="C375" s="8" t="s">
        <v>700</v>
      </c>
      <c r="D375" s="59">
        <v>46163.0</v>
      </c>
      <c r="E375" s="8">
        <v>1729410.52</v>
      </c>
      <c r="F375" s="8">
        <v>286126.87</v>
      </c>
      <c r="G375" s="8">
        <v>1535956.0</v>
      </c>
      <c r="H375" s="109">
        <f t="shared" si="1"/>
        <v>92672.35</v>
      </c>
    </row>
    <row r="376">
      <c r="A376" s="59">
        <v>46167.0</v>
      </c>
      <c r="B376" s="8" t="s">
        <v>696</v>
      </c>
      <c r="C376" s="8" t="s">
        <v>700</v>
      </c>
      <c r="D376" s="59">
        <v>46164.0</v>
      </c>
      <c r="E376" s="8">
        <v>1729410.52</v>
      </c>
      <c r="F376" s="8">
        <v>286126.87</v>
      </c>
      <c r="G376" s="8">
        <v>1470891.0</v>
      </c>
      <c r="H376" s="109">
        <f t="shared" si="1"/>
        <v>27607.35</v>
      </c>
    </row>
    <row r="377">
      <c r="A377" s="59">
        <v>46168.0</v>
      </c>
      <c r="B377" s="8" t="s">
        <v>696</v>
      </c>
      <c r="C377" s="8" t="s">
        <v>700</v>
      </c>
      <c r="D377" s="59">
        <v>46167.0</v>
      </c>
      <c r="E377" s="8">
        <v>1729410.52</v>
      </c>
      <c r="F377" s="8">
        <v>286126.87</v>
      </c>
      <c r="G377" s="8">
        <v>1288118.0</v>
      </c>
      <c r="H377" s="109">
        <f t="shared" si="1"/>
        <v>-155165.65</v>
      </c>
    </row>
    <row r="378">
      <c r="A378" s="59">
        <v>46169.0</v>
      </c>
      <c r="B378" s="8" t="s">
        <v>696</v>
      </c>
      <c r="C378" s="8" t="s">
        <v>700</v>
      </c>
      <c r="D378" s="59">
        <v>46168.0</v>
      </c>
      <c r="E378" s="8">
        <v>1729410.52</v>
      </c>
      <c r="F378" s="8">
        <v>286126.87</v>
      </c>
      <c r="G378" s="8">
        <v>1342747.0</v>
      </c>
      <c r="H378" s="109">
        <f t="shared" si="1"/>
        <v>-100536.65</v>
      </c>
    </row>
    <row r="379">
      <c r="A379" s="59">
        <v>46171.0</v>
      </c>
      <c r="B379" s="8" t="s">
        <v>696</v>
      </c>
      <c r="C379" s="8" t="s">
        <v>700</v>
      </c>
      <c r="D379" s="59">
        <v>46169.0</v>
      </c>
      <c r="E379" s="8">
        <v>1729410.52</v>
      </c>
      <c r="F379" s="8">
        <v>286126.87</v>
      </c>
      <c r="G379" s="8">
        <v>1339409.0</v>
      </c>
      <c r="H379" s="109">
        <f t="shared" si="1"/>
        <v>-103874.65</v>
      </c>
    </row>
    <row r="380">
      <c r="A380" s="59">
        <v>46174.0</v>
      </c>
      <c r="B380" s="8" t="s">
        <v>696</v>
      </c>
      <c r="C380" s="8" t="s">
        <v>700</v>
      </c>
      <c r="D380" s="59">
        <v>46171.0</v>
      </c>
      <c r="E380" s="8">
        <v>1729410.52</v>
      </c>
      <c r="F380" s="8">
        <v>286126.87</v>
      </c>
      <c r="G380" s="8">
        <v>1481623.0</v>
      </c>
      <c r="H380" s="109">
        <f t="shared" si="1"/>
        <v>38339.35</v>
      </c>
    </row>
    <row r="381">
      <c r="A381" s="59">
        <v>46175.0</v>
      </c>
      <c r="B381" s="8" t="s">
        <v>696</v>
      </c>
      <c r="C381" s="8" t="s">
        <v>700</v>
      </c>
      <c r="D381" s="59">
        <v>46174.0</v>
      </c>
      <c r="E381" s="8">
        <v>1729410.52</v>
      </c>
      <c r="F381" s="8">
        <v>286126.87</v>
      </c>
      <c r="G381" s="8">
        <v>1646398.0</v>
      </c>
      <c r="H381" s="109">
        <f t="shared" si="1"/>
        <v>203114.35</v>
      </c>
    </row>
    <row r="382">
      <c r="A382" s="59">
        <v>46176.0</v>
      </c>
      <c r="B382" s="8" t="s">
        <v>696</v>
      </c>
      <c r="C382" s="8" t="s">
        <v>700</v>
      </c>
      <c r="D382" s="59">
        <v>46175.0</v>
      </c>
      <c r="E382" s="8">
        <v>1729410.52</v>
      </c>
      <c r="F382" s="8">
        <v>286126.87</v>
      </c>
      <c r="G382" s="8">
        <v>1547659.0</v>
      </c>
      <c r="H382" s="109">
        <f t="shared" si="1"/>
        <v>104375.35</v>
      </c>
    </row>
    <row r="383">
      <c r="A383" s="59">
        <v>46177.0</v>
      </c>
      <c r="B383" s="8" t="s">
        <v>696</v>
      </c>
      <c r="C383" s="8" t="s">
        <v>700</v>
      </c>
      <c r="D383" s="59">
        <v>46176.0</v>
      </c>
      <c r="E383" s="8">
        <v>1729410.52</v>
      </c>
      <c r="F383" s="8">
        <v>286126.87</v>
      </c>
      <c r="G383" s="8">
        <v>1578967.0</v>
      </c>
      <c r="H383" s="109">
        <f t="shared" si="1"/>
        <v>135683.35</v>
      </c>
    </row>
    <row r="384">
      <c r="A384" s="59">
        <v>46178.0</v>
      </c>
      <c r="B384" s="8" t="s">
        <v>696</v>
      </c>
      <c r="C384" s="8" t="s">
        <v>700</v>
      </c>
      <c r="D384" s="59">
        <v>46177.0</v>
      </c>
      <c r="E384" s="8">
        <v>1729410.52</v>
      </c>
      <c r="F384" s="8">
        <v>286126.87</v>
      </c>
      <c r="G384" s="8">
        <v>1608204.0</v>
      </c>
      <c r="H384" s="109">
        <f t="shared" si="1"/>
        <v>164920.35</v>
      </c>
    </row>
    <row r="385">
      <c r="A385" s="59">
        <v>46181.0</v>
      </c>
      <c r="B385" s="8" t="s">
        <v>696</v>
      </c>
      <c r="C385" s="8" t="s">
        <v>700</v>
      </c>
      <c r="D385" s="59">
        <v>46178.0</v>
      </c>
      <c r="E385" s="8">
        <v>1729410.52</v>
      </c>
      <c r="F385" s="8">
        <v>286126.87</v>
      </c>
      <c r="G385" s="8">
        <v>1632835.0</v>
      </c>
      <c r="H385" s="109">
        <f t="shared" si="1"/>
        <v>189551.35</v>
      </c>
    </row>
    <row r="386">
      <c r="A386" s="59">
        <v>46182.0</v>
      </c>
      <c r="B386" s="8" t="s">
        <v>696</v>
      </c>
      <c r="C386" s="8" t="s">
        <v>700</v>
      </c>
      <c r="D386" s="59">
        <v>46181.0</v>
      </c>
      <c r="E386" s="8">
        <v>1729410.52</v>
      </c>
      <c r="F386" s="8">
        <v>286126.87</v>
      </c>
      <c r="G386" s="8">
        <v>1814933.0</v>
      </c>
      <c r="H386" s="109">
        <f t="shared" si="1"/>
        <v>371649.35</v>
      </c>
    </row>
    <row r="387">
      <c r="A387" s="59">
        <v>46183.0</v>
      </c>
      <c r="B387" s="8" t="s">
        <v>696</v>
      </c>
      <c r="C387" s="8" t="s">
        <v>700</v>
      </c>
      <c r="D387" s="59">
        <v>46182.0</v>
      </c>
      <c r="E387" s="8">
        <v>1729410.52</v>
      </c>
      <c r="F387" s="8">
        <v>286126.87</v>
      </c>
      <c r="G387" s="8">
        <v>1700942.0</v>
      </c>
      <c r="H387" s="109">
        <f t="shared" si="1"/>
        <v>257658.35</v>
      </c>
    </row>
    <row r="388">
      <c r="A388" s="59">
        <v>46184.0</v>
      </c>
      <c r="B388" s="8" t="s">
        <v>696</v>
      </c>
      <c r="C388" s="8" t="s">
        <v>700</v>
      </c>
      <c r="D388" s="59">
        <v>46183.0</v>
      </c>
      <c r="E388" s="8">
        <v>1729410.52</v>
      </c>
      <c r="F388" s="8">
        <v>286126.87</v>
      </c>
      <c r="G388" s="8">
        <v>1786625.0</v>
      </c>
      <c r="H388" s="109">
        <f t="shared" si="1"/>
        <v>343341.35</v>
      </c>
    </row>
    <row r="389">
      <c r="A389" s="59">
        <v>46185.0</v>
      </c>
      <c r="B389" s="8" t="s">
        <v>696</v>
      </c>
      <c r="C389" s="8" t="s">
        <v>700</v>
      </c>
      <c r="D389" s="59">
        <v>46184.0</v>
      </c>
      <c r="E389" s="8">
        <v>1729410.52</v>
      </c>
      <c r="F389" s="8">
        <v>286126.87</v>
      </c>
      <c r="G389" s="8">
        <v>1815271.0</v>
      </c>
      <c r="H389" s="109">
        <f t="shared" si="1"/>
        <v>371987.35</v>
      </c>
    </row>
    <row r="390">
      <c r="A390" s="59">
        <v>46188.0</v>
      </c>
      <c r="B390" s="8" t="s">
        <v>696</v>
      </c>
      <c r="C390" s="8" t="s">
        <v>700</v>
      </c>
      <c r="D390" s="59">
        <v>46185.0</v>
      </c>
      <c r="E390" s="8">
        <v>1729410.52</v>
      </c>
      <c r="F390" s="8">
        <v>286126.87</v>
      </c>
      <c r="G390" s="8">
        <v>1514789.0</v>
      </c>
      <c r="H390" s="109">
        <f t="shared" si="1"/>
        <v>71505.35</v>
      </c>
    </row>
    <row r="391">
      <c r="A391" s="59">
        <v>46189.0</v>
      </c>
      <c r="B391" s="8" t="s">
        <v>696</v>
      </c>
      <c r="C391" s="8" t="s">
        <v>700</v>
      </c>
      <c r="D391" s="59">
        <v>46188.0</v>
      </c>
      <c r="E391" s="8">
        <v>1729410.52</v>
      </c>
      <c r="F391" s="8">
        <v>286126.87</v>
      </c>
      <c r="G391" s="8">
        <v>1352971.0</v>
      </c>
      <c r="H391" s="109">
        <f t="shared" si="1"/>
        <v>-90312.65</v>
      </c>
    </row>
    <row r="392">
      <c r="A392" s="59">
        <v>46190.0</v>
      </c>
      <c r="B392" s="8" t="s">
        <v>696</v>
      </c>
      <c r="C392" s="8" t="s">
        <v>700</v>
      </c>
      <c r="D392" s="59">
        <v>46189.0</v>
      </c>
      <c r="E392" s="8">
        <v>1729410.52</v>
      </c>
      <c r="F392" s="8">
        <v>286126.87</v>
      </c>
      <c r="G392" s="8">
        <v>1297497.0</v>
      </c>
      <c r="H392" s="109">
        <f t="shared" si="1"/>
        <v>-145786.65</v>
      </c>
    </row>
    <row r="393">
      <c r="A393" s="59">
        <v>46191.0</v>
      </c>
      <c r="B393" s="8" t="s">
        <v>696</v>
      </c>
      <c r="C393" s="8" t="s">
        <v>700</v>
      </c>
      <c r="D393" s="59">
        <v>46190.0</v>
      </c>
      <c r="E393" s="8">
        <v>1729410.52</v>
      </c>
      <c r="F393" s="8">
        <v>286126.87</v>
      </c>
      <c r="G393" s="8">
        <v>1251149.0</v>
      </c>
      <c r="H393" s="109">
        <f t="shared" si="1"/>
        <v>-192134.65</v>
      </c>
    </row>
    <row r="394">
      <c r="A394" s="59">
        <v>46192.0</v>
      </c>
      <c r="B394" s="8" t="s">
        <v>696</v>
      </c>
      <c r="C394" s="8" t="s">
        <v>700</v>
      </c>
      <c r="D394" s="59">
        <v>46191.0</v>
      </c>
      <c r="E394" s="8">
        <v>1729410.52</v>
      </c>
      <c r="F394" s="8">
        <v>286126.87</v>
      </c>
      <c r="G394" s="8">
        <v>1170620.0</v>
      </c>
      <c r="H394" s="109">
        <f t="shared" si="1"/>
        <v>-272663.65</v>
      </c>
    </row>
    <row r="395">
      <c r="A395" s="59">
        <v>46195.0</v>
      </c>
      <c r="B395" s="8" t="s">
        <v>696</v>
      </c>
      <c r="C395" s="8" t="s">
        <v>700</v>
      </c>
      <c r="D395" s="59">
        <v>46192.0</v>
      </c>
      <c r="E395" s="8">
        <v>1729410.52</v>
      </c>
      <c r="F395" s="8">
        <v>286126.87</v>
      </c>
      <c r="G395" s="8">
        <v>1239657.0</v>
      </c>
      <c r="H395" s="109">
        <f t="shared" si="1"/>
        <v>-203626.65</v>
      </c>
    </row>
    <row r="396">
      <c r="A396" s="59">
        <v>46196.0</v>
      </c>
      <c r="B396" s="8" t="s">
        <v>696</v>
      </c>
      <c r="C396" s="8" t="s">
        <v>700</v>
      </c>
      <c r="D396" s="59">
        <v>46195.0</v>
      </c>
      <c r="E396" s="8">
        <v>1729410.52</v>
      </c>
      <c r="F396" s="8">
        <v>286126.87</v>
      </c>
      <c r="G396" s="8">
        <v>1196520.0</v>
      </c>
      <c r="H396" s="109">
        <f t="shared" si="1"/>
        <v>-246763.65</v>
      </c>
    </row>
    <row r="397">
      <c r="A397" s="59">
        <v>46197.0</v>
      </c>
      <c r="B397" s="8" t="s">
        <v>696</v>
      </c>
      <c r="C397" s="8" t="s">
        <v>700</v>
      </c>
      <c r="D397" s="59">
        <v>46196.0</v>
      </c>
      <c r="E397" s="8">
        <v>1729410.52</v>
      </c>
      <c r="F397" s="8">
        <v>286126.87</v>
      </c>
      <c r="G397" s="8">
        <v>1371646.0</v>
      </c>
      <c r="H397" s="109">
        <f t="shared" si="1"/>
        <v>-71637.65</v>
      </c>
    </row>
    <row r="398">
      <c r="A398" s="59">
        <v>46198.0</v>
      </c>
      <c r="B398" s="8" t="s">
        <v>696</v>
      </c>
      <c r="C398" s="8" t="s">
        <v>700</v>
      </c>
      <c r="D398" s="59">
        <v>46197.0</v>
      </c>
      <c r="E398" s="8">
        <v>1729410.52</v>
      </c>
      <c r="F398" s="8">
        <v>286126.87</v>
      </c>
      <c r="G398" s="8">
        <v>1246037.0</v>
      </c>
      <c r="H398" s="109">
        <f t="shared" si="1"/>
        <v>-197246.65</v>
      </c>
    </row>
    <row r="399">
      <c r="A399" s="59">
        <v>46202.0</v>
      </c>
      <c r="B399" s="8" t="s">
        <v>696</v>
      </c>
      <c r="C399" s="8" t="s">
        <v>700</v>
      </c>
      <c r="D399" s="59">
        <v>46198.0</v>
      </c>
      <c r="E399" s="8">
        <v>1729410.52</v>
      </c>
      <c r="F399" s="8">
        <v>286126.87</v>
      </c>
      <c r="G399" s="8">
        <v>1218743.0</v>
      </c>
      <c r="H399" s="109">
        <f t="shared" si="1"/>
        <v>-224540.65</v>
      </c>
    </row>
    <row r="400">
      <c r="A400" s="59">
        <v>46203.0</v>
      </c>
      <c r="B400" s="8" t="s">
        <v>696</v>
      </c>
      <c r="C400" s="8" t="s">
        <v>700</v>
      </c>
      <c r="D400" s="59">
        <v>46202.0</v>
      </c>
      <c r="E400" s="8">
        <v>1729410.52</v>
      </c>
      <c r="F400" s="8">
        <v>286126.87</v>
      </c>
      <c r="G400" s="8">
        <v>1285540.0</v>
      </c>
      <c r="H400" s="109">
        <f t="shared" si="1"/>
        <v>-157743.65</v>
      </c>
    </row>
    <row r="401">
      <c r="A401" s="59">
        <v>46204.0</v>
      </c>
      <c r="B401" s="8" t="s">
        <v>696</v>
      </c>
      <c r="C401" s="8" t="s">
        <v>700</v>
      </c>
      <c r="D401" s="59">
        <v>46203.0</v>
      </c>
      <c r="E401" s="8">
        <v>1729410.52</v>
      </c>
      <c r="F401" s="8">
        <v>286126.87</v>
      </c>
      <c r="G401" s="8">
        <v>1284315.0</v>
      </c>
      <c r="H401" s="109">
        <f t="shared" si="1"/>
        <v>-158968.65</v>
      </c>
    </row>
    <row r="402">
      <c r="A402" s="59">
        <v>46205.0</v>
      </c>
      <c r="B402" s="8" t="s">
        <v>696</v>
      </c>
      <c r="C402" s="8" t="s">
        <v>700</v>
      </c>
      <c r="D402" s="59">
        <v>46204.0</v>
      </c>
      <c r="E402" s="8">
        <v>1729410.52</v>
      </c>
      <c r="F402" s="8">
        <v>286126.87</v>
      </c>
      <c r="G402" s="8">
        <v>1271133.0</v>
      </c>
      <c r="H402" s="109">
        <f t="shared" si="1"/>
        <v>-172150.65</v>
      </c>
    </row>
    <row r="403">
      <c r="A403" s="59">
        <v>46206.0</v>
      </c>
      <c r="B403" s="8" t="s">
        <v>696</v>
      </c>
      <c r="C403" s="8" t="s">
        <v>700</v>
      </c>
      <c r="D403" s="59">
        <v>46205.0</v>
      </c>
      <c r="E403" s="8">
        <v>1729410.52</v>
      </c>
      <c r="F403" s="8">
        <v>286126.87</v>
      </c>
      <c r="G403" s="8">
        <v>1173493.0</v>
      </c>
      <c r="H403" s="109">
        <f t="shared" si="1"/>
        <v>-269790.65</v>
      </c>
    </row>
    <row r="404">
      <c r="A404" s="59">
        <v>46209.0</v>
      </c>
      <c r="B404" s="8" t="s">
        <v>696</v>
      </c>
      <c r="C404" s="8" t="s">
        <v>700</v>
      </c>
      <c r="D404" s="59">
        <v>46206.0</v>
      </c>
      <c r="E404" s="8">
        <v>1729410.52</v>
      </c>
      <c r="F404" s="8">
        <v>286126.87</v>
      </c>
      <c r="G404" s="8">
        <v>1107921.0</v>
      </c>
      <c r="H404" s="109">
        <f t="shared" si="1"/>
        <v>-335362.65</v>
      </c>
    </row>
    <row r="405">
      <c r="A405" s="59">
        <v>46210.0</v>
      </c>
      <c r="B405" s="8" t="s">
        <v>696</v>
      </c>
      <c r="C405" s="8" t="s">
        <v>700</v>
      </c>
      <c r="D405" s="59">
        <v>46209.0</v>
      </c>
      <c r="E405" s="8">
        <v>1729410.52</v>
      </c>
      <c r="F405" s="8">
        <v>286126.87</v>
      </c>
      <c r="G405" s="8">
        <v>1032463.0</v>
      </c>
      <c r="H405" s="109">
        <f t="shared" si="1"/>
        <v>-410820.65</v>
      </c>
    </row>
    <row r="406">
      <c r="A406" s="59">
        <v>46211.0</v>
      </c>
      <c r="B406" s="8" t="s">
        <v>696</v>
      </c>
      <c r="C406" s="8" t="s">
        <v>700</v>
      </c>
      <c r="D406" s="59">
        <v>46210.0</v>
      </c>
      <c r="E406" s="8">
        <v>1729410.52</v>
      </c>
      <c r="F406" s="8">
        <v>286126.87</v>
      </c>
      <c r="G406" s="8">
        <v>1052067.0</v>
      </c>
      <c r="H406" s="109">
        <f t="shared" si="1"/>
        <v>-391216.65</v>
      </c>
    </row>
    <row r="407">
      <c r="A407" s="59">
        <v>46212.0</v>
      </c>
      <c r="B407" s="8" t="s">
        <v>696</v>
      </c>
      <c r="C407" s="8" t="s">
        <v>700</v>
      </c>
      <c r="D407" s="59">
        <v>46211.0</v>
      </c>
      <c r="E407" s="8">
        <v>1729410.52</v>
      </c>
      <c r="F407" s="8">
        <v>286126.87</v>
      </c>
      <c r="G407" s="8">
        <v>1370970.0</v>
      </c>
      <c r="H407" s="109">
        <f t="shared" si="1"/>
        <v>-72313.65</v>
      </c>
    </row>
    <row r="408">
      <c r="A408" s="59">
        <v>46213.0</v>
      </c>
      <c r="B408" s="8" t="s">
        <v>696</v>
      </c>
      <c r="C408" s="8" t="s">
        <v>700</v>
      </c>
      <c r="D408" s="59">
        <v>46212.0</v>
      </c>
      <c r="E408" s="8">
        <v>1729410.52</v>
      </c>
      <c r="F408" s="8">
        <v>286126.87</v>
      </c>
      <c r="G408" s="8">
        <v>1324368.0</v>
      </c>
      <c r="H408" s="109">
        <f t="shared" si="1"/>
        <v>-118915.65</v>
      </c>
    </row>
    <row r="409">
      <c r="A409" s="59">
        <v>46216.0</v>
      </c>
      <c r="B409" s="8" t="s">
        <v>696</v>
      </c>
      <c r="C409" s="8" t="s">
        <v>700</v>
      </c>
      <c r="D409" s="59">
        <v>46213.0</v>
      </c>
      <c r="E409" s="8">
        <v>1729410.52</v>
      </c>
      <c r="F409" s="8">
        <v>286126.87</v>
      </c>
      <c r="G409" s="8">
        <v>1168212.0</v>
      </c>
      <c r="H409" s="109">
        <f t="shared" si="1"/>
        <v>-275071.65</v>
      </c>
    </row>
    <row r="410">
      <c r="A410" s="59">
        <v>46217.0</v>
      </c>
      <c r="B410" s="8" t="s">
        <v>696</v>
      </c>
      <c r="C410" s="8" t="s">
        <v>700</v>
      </c>
      <c r="D410" s="59">
        <v>46216.0</v>
      </c>
      <c r="E410" s="8">
        <v>1729410.52</v>
      </c>
      <c r="F410" s="8">
        <v>286126.87</v>
      </c>
      <c r="G410" s="8">
        <v>1169142.0</v>
      </c>
      <c r="H410" s="109">
        <f t="shared" si="1"/>
        <v>-274141.65</v>
      </c>
    </row>
    <row r="411">
      <c r="A411" s="59">
        <v>46218.0</v>
      </c>
      <c r="B411" s="8" t="s">
        <v>696</v>
      </c>
      <c r="C411" s="8" t="s">
        <v>700</v>
      </c>
      <c r="D411" s="59">
        <v>46217.0</v>
      </c>
      <c r="E411" s="8">
        <v>1729410.52</v>
      </c>
      <c r="F411" s="8">
        <v>286126.87</v>
      </c>
      <c r="G411" s="8">
        <v>1305187.0</v>
      </c>
      <c r="H411" s="109">
        <f t="shared" si="1"/>
        <v>-138096.65</v>
      </c>
    </row>
    <row r="412">
      <c r="A412" s="59">
        <v>46219.0</v>
      </c>
      <c r="B412" s="8" t="s">
        <v>696</v>
      </c>
      <c r="C412" s="8" t="s">
        <v>700</v>
      </c>
      <c r="D412" s="59">
        <v>46218.0</v>
      </c>
      <c r="E412" s="8">
        <v>1729410.52</v>
      </c>
      <c r="F412" s="8">
        <v>286126.87</v>
      </c>
      <c r="G412" s="8">
        <v>1270668.0</v>
      </c>
      <c r="H412" s="109">
        <f t="shared" si="1"/>
        <v>-172615.65</v>
      </c>
    </row>
    <row r="413">
      <c r="A413" s="59">
        <v>46220.0</v>
      </c>
      <c r="B413" s="8" t="s">
        <v>696</v>
      </c>
      <c r="C413" s="8" t="s">
        <v>700</v>
      </c>
      <c r="D413" s="59">
        <v>46219.0</v>
      </c>
      <c r="E413" s="8">
        <v>1729410.52</v>
      </c>
      <c r="F413" s="8">
        <v>286126.87</v>
      </c>
      <c r="G413" s="8">
        <v>1246332.0</v>
      </c>
      <c r="H413" s="109">
        <f t="shared" si="1"/>
        <v>-196951.65</v>
      </c>
    </row>
    <row r="414">
      <c r="A414" s="59">
        <v>46223.0</v>
      </c>
      <c r="B414" s="8" t="s">
        <v>696</v>
      </c>
      <c r="C414" s="8" t="s">
        <v>700</v>
      </c>
      <c r="D414" s="59">
        <v>46220.0</v>
      </c>
      <c r="E414" s="8">
        <v>1729410.52</v>
      </c>
      <c r="F414" s="8">
        <v>286126.87</v>
      </c>
      <c r="G414" s="8">
        <v>1127906.0</v>
      </c>
      <c r="H414" s="109">
        <f t="shared" si="1"/>
        <v>-315377.65</v>
      </c>
    </row>
    <row r="415">
      <c r="A415" s="59">
        <v>46224.0</v>
      </c>
      <c r="B415" s="8" t="s">
        <v>696</v>
      </c>
      <c r="C415" s="8" t="s">
        <v>700</v>
      </c>
      <c r="D415" s="59">
        <v>46223.0</v>
      </c>
      <c r="E415" s="8">
        <v>1729410.52</v>
      </c>
      <c r="F415" s="8">
        <v>286126.87</v>
      </c>
      <c r="G415" s="8">
        <v>1160692.0</v>
      </c>
      <c r="H415" s="109">
        <f t="shared" si="1"/>
        <v>-282591.65</v>
      </c>
    </row>
    <row r="416">
      <c r="A416" s="59">
        <v>46225.0</v>
      </c>
      <c r="B416" s="8" t="s">
        <v>696</v>
      </c>
      <c r="C416" s="8" t="s">
        <v>700</v>
      </c>
      <c r="D416" s="59">
        <v>46224.0</v>
      </c>
      <c r="E416" s="8">
        <v>1729410.52</v>
      </c>
      <c r="F416" s="8">
        <v>286126.87</v>
      </c>
      <c r="G416" s="8">
        <v>1202139.0</v>
      </c>
      <c r="H416" s="109">
        <f t="shared" si="1"/>
        <v>-241144.65</v>
      </c>
    </row>
    <row r="417">
      <c r="A417" s="59">
        <v>46226.0</v>
      </c>
      <c r="B417" s="8" t="s">
        <v>696</v>
      </c>
      <c r="C417" s="8" t="s">
        <v>700</v>
      </c>
      <c r="D417" s="59">
        <v>46225.0</v>
      </c>
      <c r="E417" s="8">
        <v>1729410.52</v>
      </c>
      <c r="F417" s="8">
        <v>286126.87</v>
      </c>
      <c r="G417" s="8">
        <v>1317946.0</v>
      </c>
      <c r="H417" s="109">
        <f t="shared" si="1"/>
        <v>-125337.65</v>
      </c>
    </row>
    <row r="418">
      <c r="A418" s="59">
        <v>46227.0</v>
      </c>
      <c r="B418" s="8" t="s">
        <v>696</v>
      </c>
      <c r="C418" s="8" t="s">
        <v>700</v>
      </c>
      <c r="D418" s="59">
        <v>46226.0</v>
      </c>
      <c r="E418" s="8">
        <v>1729410.52</v>
      </c>
      <c r="F418" s="8">
        <v>286126.87</v>
      </c>
      <c r="G418" s="8">
        <v>1399996.0</v>
      </c>
      <c r="H418" s="109">
        <f t="shared" si="1"/>
        <v>-43287.65</v>
      </c>
    </row>
    <row r="419">
      <c r="A419" s="59">
        <v>46230.0</v>
      </c>
      <c r="B419" s="8" t="s">
        <v>696</v>
      </c>
      <c r="C419" s="8" t="s">
        <v>700</v>
      </c>
      <c r="D419" s="59">
        <v>46227.0</v>
      </c>
      <c r="E419" s="8">
        <v>1729410.52</v>
      </c>
      <c r="F419" s="8">
        <v>286126.87</v>
      </c>
      <c r="G419" s="8">
        <v>1450231.0</v>
      </c>
      <c r="H419" s="109">
        <f t="shared" si="1"/>
        <v>6947.35</v>
      </c>
    </row>
    <row r="420">
      <c r="A420" s="59">
        <v>46231.0</v>
      </c>
      <c r="B420" s="8" t="s">
        <v>696</v>
      </c>
      <c r="C420" s="8" t="s">
        <v>700</v>
      </c>
      <c r="D420" s="59">
        <v>46230.0</v>
      </c>
      <c r="E420" s="8">
        <v>1729410.52</v>
      </c>
      <c r="F420" s="8">
        <v>286126.87</v>
      </c>
      <c r="G420" s="8">
        <v>1290653.0</v>
      </c>
      <c r="H420" s="109">
        <f t="shared" si="1"/>
        <v>-152630.65</v>
      </c>
    </row>
    <row r="421">
      <c r="A421" s="59">
        <v>46232.0</v>
      </c>
      <c r="B421" s="8" t="s">
        <v>696</v>
      </c>
      <c r="C421" s="8" t="s">
        <v>700</v>
      </c>
      <c r="D421" s="59">
        <v>46231.0</v>
      </c>
      <c r="E421" s="8">
        <v>1729410.52</v>
      </c>
      <c r="F421" s="8">
        <v>286126.87</v>
      </c>
      <c r="G421" s="8">
        <v>1296061.0</v>
      </c>
      <c r="H421" s="109">
        <f t="shared" si="1"/>
        <v>-147222.65</v>
      </c>
    </row>
    <row r="422">
      <c r="A422" s="59">
        <v>46233.0</v>
      </c>
      <c r="B422" s="8" t="s">
        <v>696</v>
      </c>
      <c r="C422" s="8" t="s">
        <v>700</v>
      </c>
      <c r="D422" s="59">
        <v>46232.0</v>
      </c>
      <c r="E422" s="8">
        <v>1729410.52</v>
      </c>
      <c r="F422" s="8">
        <v>286126.87</v>
      </c>
      <c r="G422" s="8">
        <v>1173578.0</v>
      </c>
      <c r="H422" s="109">
        <f t="shared" si="1"/>
        <v>-269705.65</v>
      </c>
    </row>
    <row r="423">
      <c r="A423" s="59">
        <v>46234.0</v>
      </c>
      <c r="B423" s="8" t="s">
        <v>696</v>
      </c>
      <c r="C423" s="8" t="s">
        <v>700</v>
      </c>
      <c r="D423" s="59">
        <v>46233.0</v>
      </c>
      <c r="E423" s="8">
        <v>1729410.52</v>
      </c>
      <c r="F423" s="8">
        <v>286126.87</v>
      </c>
      <c r="G423" s="8">
        <v>1144721.0</v>
      </c>
      <c r="H423" s="109">
        <f t="shared" si="1"/>
        <v>-298562.65</v>
      </c>
    </row>
    <row r="424">
      <c r="A424" s="59">
        <v>46237.0</v>
      </c>
      <c r="B424" s="8" t="s">
        <v>696</v>
      </c>
      <c r="C424" s="8" t="s">
        <v>700</v>
      </c>
      <c r="D424" s="59">
        <v>46234.0</v>
      </c>
      <c r="E424" s="8">
        <v>1729410.52</v>
      </c>
      <c r="F424" s="8">
        <v>286126.87</v>
      </c>
      <c r="G424" s="8">
        <v>1087261.0</v>
      </c>
      <c r="H424" s="109">
        <f t="shared" si="1"/>
        <v>-356022.65</v>
      </c>
    </row>
    <row r="425">
      <c r="A425" s="59">
        <v>46238.0</v>
      </c>
      <c r="B425" s="8" t="s">
        <v>696</v>
      </c>
      <c r="C425" s="8" t="s">
        <v>700</v>
      </c>
      <c r="D425" s="59">
        <v>46237.0</v>
      </c>
      <c r="E425" s="8">
        <v>1729410.52</v>
      </c>
      <c r="F425" s="8">
        <v>286126.87</v>
      </c>
      <c r="G425" s="8">
        <v>964947.0</v>
      </c>
      <c r="H425" s="109">
        <f t="shared" si="1"/>
        <v>-478336.65</v>
      </c>
    </row>
    <row r="426">
      <c r="A426" s="59">
        <v>46239.0</v>
      </c>
      <c r="B426" s="8" t="s">
        <v>696</v>
      </c>
      <c r="C426" s="8" t="s">
        <v>700</v>
      </c>
      <c r="D426" s="59">
        <v>46238.0</v>
      </c>
      <c r="E426" s="8">
        <v>1729410.52</v>
      </c>
      <c r="F426" s="8">
        <v>286126.87</v>
      </c>
      <c r="G426" s="8">
        <v>990255.0</v>
      </c>
      <c r="H426" s="109">
        <f t="shared" si="1"/>
        <v>-453028.65</v>
      </c>
    </row>
    <row r="427">
      <c r="A427" s="59">
        <v>46240.0</v>
      </c>
      <c r="B427" s="8" t="s">
        <v>696</v>
      </c>
      <c r="C427" s="8" t="s">
        <v>700</v>
      </c>
      <c r="D427" s="59">
        <v>46239.0</v>
      </c>
      <c r="E427" s="8">
        <v>1729410.52</v>
      </c>
      <c r="F427" s="8">
        <v>286126.87</v>
      </c>
      <c r="G427" s="8">
        <v>934189.0</v>
      </c>
      <c r="H427" s="109">
        <f t="shared" si="1"/>
        <v>-509094.65</v>
      </c>
    </row>
    <row r="428">
      <c r="A428" s="59">
        <v>46241.0</v>
      </c>
      <c r="B428" s="8" t="s">
        <v>696</v>
      </c>
      <c r="C428" s="8" t="s">
        <v>700</v>
      </c>
      <c r="D428" s="59">
        <v>46240.0</v>
      </c>
      <c r="E428" s="8">
        <v>1729410.52</v>
      </c>
      <c r="F428" s="8">
        <v>286126.87</v>
      </c>
      <c r="G428" s="8">
        <v>891770.0</v>
      </c>
      <c r="H428" s="109">
        <f t="shared" si="1"/>
        <v>-551513.65</v>
      </c>
    </row>
    <row r="429">
      <c r="A429" s="59">
        <v>46244.0</v>
      </c>
      <c r="B429" s="8" t="s">
        <v>696</v>
      </c>
      <c r="C429" s="8" t="s">
        <v>700</v>
      </c>
      <c r="D429" s="59">
        <v>46241.0</v>
      </c>
      <c r="E429" s="8">
        <v>1729410.52</v>
      </c>
      <c r="F429" s="8">
        <v>286126.87</v>
      </c>
      <c r="G429" s="8">
        <v>933936.0</v>
      </c>
      <c r="H429" s="109">
        <f t="shared" si="1"/>
        <v>-509347.65</v>
      </c>
    </row>
    <row r="430">
      <c r="A430" s="59">
        <v>46245.0</v>
      </c>
      <c r="B430" s="8" t="s">
        <v>696</v>
      </c>
      <c r="C430" s="8" t="s">
        <v>700</v>
      </c>
      <c r="D430" s="59">
        <v>46244.0</v>
      </c>
      <c r="E430" s="8">
        <v>1729410.52</v>
      </c>
      <c r="F430" s="8">
        <v>286126.87</v>
      </c>
      <c r="G430" s="8">
        <v>929331.0</v>
      </c>
      <c r="H430" s="109">
        <f t="shared" si="1"/>
        <v>-513952.65</v>
      </c>
    </row>
    <row r="431">
      <c r="A431" s="59">
        <v>46246.0</v>
      </c>
      <c r="B431" s="8" t="s">
        <v>696</v>
      </c>
      <c r="C431" s="8" t="s">
        <v>700</v>
      </c>
      <c r="D431" s="59">
        <v>46245.0</v>
      </c>
      <c r="E431" s="8">
        <v>1729410.52</v>
      </c>
      <c r="F431" s="8">
        <v>286126.87</v>
      </c>
      <c r="G431" s="8">
        <v>984213.0</v>
      </c>
      <c r="H431" s="109">
        <f t="shared" si="1"/>
        <v>-459070.65</v>
      </c>
    </row>
    <row r="432">
      <c r="A432" s="59">
        <v>46247.0</v>
      </c>
      <c r="B432" s="8" t="s">
        <v>696</v>
      </c>
      <c r="C432" s="8" t="s">
        <v>700</v>
      </c>
      <c r="D432" s="59">
        <v>46246.0</v>
      </c>
      <c r="E432" s="8">
        <v>1729410.52</v>
      </c>
      <c r="F432" s="8">
        <v>286126.87</v>
      </c>
      <c r="G432" s="8">
        <v>1019915.0</v>
      </c>
      <c r="H432" s="109">
        <f t="shared" si="1"/>
        <v>-423368.65</v>
      </c>
    </row>
    <row r="433">
      <c r="A433" s="59">
        <v>46248.0</v>
      </c>
      <c r="B433" s="8" t="s">
        <v>696</v>
      </c>
      <c r="C433" s="8" t="s">
        <v>700</v>
      </c>
      <c r="D433" s="59">
        <v>46247.0</v>
      </c>
      <c r="E433" s="8">
        <v>1729410.52</v>
      </c>
      <c r="F433" s="8">
        <v>286126.87</v>
      </c>
      <c r="G433" s="8">
        <v>1009479.0</v>
      </c>
      <c r="H433" s="109">
        <f t="shared" si="1"/>
        <v>-433804.65</v>
      </c>
    </row>
    <row r="434">
      <c r="A434" s="59">
        <v>46251.0</v>
      </c>
      <c r="B434" s="8" t="s">
        <v>696</v>
      </c>
      <c r="C434" s="8" t="s">
        <v>700</v>
      </c>
      <c r="D434" s="59">
        <v>46248.0</v>
      </c>
      <c r="E434" s="8">
        <v>1729410.52</v>
      </c>
      <c r="F434" s="8">
        <v>286126.87</v>
      </c>
      <c r="G434" s="8">
        <v>1019408.0</v>
      </c>
      <c r="H434" s="109">
        <f t="shared" si="1"/>
        <v>-423875.65</v>
      </c>
    </row>
    <row r="435">
      <c r="A435" s="59">
        <v>46252.0</v>
      </c>
      <c r="B435" s="8" t="s">
        <v>696</v>
      </c>
      <c r="C435" s="8" t="s">
        <v>700</v>
      </c>
      <c r="D435" s="59">
        <v>46251.0</v>
      </c>
      <c r="E435" s="8">
        <v>1729410.52</v>
      </c>
      <c r="F435" s="8">
        <v>286126.87</v>
      </c>
      <c r="G435" s="8">
        <v>1039941.0</v>
      </c>
      <c r="H435" s="109">
        <f t="shared" si="1"/>
        <v>-403342.65</v>
      </c>
    </row>
    <row r="436">
      <c r="A436" s="59">
        <v>46253.0</v>
      </c>
      <c r="B436" s="8" t="s">
        <v>696</v>
      </c>
      <c r="C436" s="8" t="s">
        <v>700</v>
      </c>
      <c r="D436" s="59">
        <v>46252.0</v>
      </c>
      <c r="E436" s="8">
        <v>1729410.52</v>
      </c>
      <c r="F436" s="8">
        <v>286126.87</v>
      </c>
      <c r="G436" s="8">
        <v>1147383.0</v>
      </c>
      <c r="H436" s="109">
        <f t="shared" si="1"/>
        <v>-295900.65</v>
      </c>
    </row>
    <row r="437">
      <c r="A437" s="59">
        <v>46254.0</v>
      </c>
      <c r="B437" s="8" t="s">
        <v>696</v>
      </c>
      <c r="C437" s="8" t="s">
        <v>700</v>
      </c>
      <c r="D437" s="59">
        <v>46253.0</v>
      </c>
      <c r="E437" s="8">
        <v>1729410.52</v>
      </c>
      <c r="F437" s="8">
        <v>286126.87</v>
      </c>
      <c r="G437" s="8">
        <v>1215870.0</v>
      </c>
      <c r="H437" s="109">
        <f t="shared" si="1"/>
        <v>-227413.65</v>
      </c>
    </row>
    <row r="438">
      <c r="A438" s="59">
        <v>46255.0</v>
      </c>
      <c r="B438" s="8" t="s">
        <v>696</v>
      </c>
      <c r="C438" s="8" t="s">
        <v>700</v>
      </c>
      <c r="D438" s="59">
        <v>46254.0</v>
      </c>
      <c r="E438" s="8">
        <v>1729410.52</v>
      </c>
      <c r="F438" s="8">
        <v>286126.87</v>
      </c>
      <c r="G438" s="8">
        <v>1108513.0</v>
      </c>
      <c r="H438" s="109">
        <f t="shared" si="1"/>
        <v>-334770.65</v>
      </c>
    </row>
    <row r="439">
      <c r="A439" s="59">
        <v>46258.0</v>
      </c>
      <c r="B439" s="8" t="s">
        <v>696</v>
      </c>
      <c r="C439" s="8" t="s">
        <v>700</v>
      </c>
      <c r="D439" s="59">
        <v>46255.0</v>
      </c>
      <c r="E439" s="8">
        <v>1729410.52</v>
      </c>
      <c r="F439" s="8">
        <v>286126.87</v>
      </c>
      <c r="G439" s="8">
        <v>1114259.0</v>
      </c>
      <c r="H439" s="109">
        <f t="shared" si="1"/>
        <v>-329024.65</v>
      </c>
    </row>
    <row r="440">
      <c r="A440" s="59">
        <v>46259.0</v>
      </c>
      <c r="B440" s="8" t="s">
        <v>696</v>
      </c>
      <c r="C440" s="8" t="s">
        <v>700</v>
      </c>
      <c r="D440" s="59">
        <v>46258.0</v>
      </c>
      <c r="E440" s="8">
        <v>1729410.52</v>
      </c>
      <c r="F440" s="8">
        <v>286126.87</v>
      </c>
      <c r="G440" s="8">
        <v>1159213.0</v>
      </c>
      <c r="H440" s="109">
        <f t="shared" si="1"/>
        <v>-284070.65</v>
      </c>
    </row>
    <row r="441">
      <c r="A441" s="59">
        <v>46260.0</v>
      </c>
      <c r="B441" s="8" t="s">
        <v>696</v>
      </c>
      <c r="C441" s="8" t="s">
        <v>700</v>
      </c>
      <c r="D441" s="59">
        <v>46259.0</v>
      </c>
      <c r="E441" s="8">
        <v>1729410.52</v>
      </c>
      <c r="F441" s="8">
        <v>286126.87</v>
      </c>
      <c r="G441" s="8">
        <v>1061615.0</v>
      </c>
      <c r="H441" s="109">
        <f t="shared" si="1"/>
        <v>-381668.65</v>
      </c>
    </row>
    <row r="442">
      <c r="A442" s="59">
        <v>46261.0</v>
      </c>
      <c r="B442" s="8" t="s">
        <v>696</v>
      </c>
      <c r="C442" s="8" t="s">
        <v>700</v>
      </c>
      <c r="D442" s="59">
        <v>46260.0</v>
      </c>
      <c r="E442" s="8">
        <v>1729410.52</v>
      </c>
      <c r="F442" s="8">
        <v>286126.87</v>
      </c>
      <c r="G442" s="8">
        <v>1079107.0</v>
      </c>
      <c r="H442" s="109">
        <f t="shared" si="1"/>
        <v>-364176.65</v>
      </c>
    </row>
    <row r="443">
      <c r="A443" s="59">
        <v>46262.0</v>
      </c>
      <c r="B443" s="8" t="s">
        <v>696</v>
      </c>
      <c r="C443" s="8" t="s">
        <v>700</v>
      </c>
      <c r="D443" s="59">
        <v>46261.0</v>
      </c>
      <c r="E443" s="8">
        <v>1729410.52</v>
      </c>
      <c r="F443" s="8">
        <v>286126.87</v>
      </c>
      <c r="G443" s="8">
        <v>1183000.0</v>
      </c>
      <c r="H443" s="109">
        <f t="shared" si="1"/>
        <v>-260283.65</v>
      </c>
    </row>
    <row r="444">
      <c r="A444" s="59">
        <v>46265.0</v>
      </c>
      <c r="B444" s="8" t="s">
        <v>696</v>
      </c>
      <c r="C444" s="8" t="s">
        <v>700</v>
      </c>
      <c r="D444" s="59">
        <v>46262.0</v>
      </c>
      <c r="E444" s="8">
        <v>1729410.52</v>
      </c>
      <c r="F444" s="8">
        <v>286126.87</v>
      </c>
      <c r="G444" s="8">
        <v>1150763.0</v>
      </c>
      <c r="H444" s="109">
        <f t="shared" si="1"/>
        <v>-292520.65</v>
      </c>
    </row>
    <row r="445">
      <c r="A445" s="59">
        <v>46266.0</v>
      </c>
      <c r="B445" s="8" t="s">
        <v>696</v>
      </c>
      <c r="C445" s="8" t="s">
        <v>700</v>
      </c>
      <c r="D445" s="59">
        <v>46265.0</v>
      </c>
      <c r="E445" s="8">
        <v>1729410.52</v>
      </c>
      <c r="F445" s="8">
        <v>286126.87</v>
      </c>
      <c r="G445" s="8">
        <v>1206406.0</v>
      </c>
      <c r="H445" s="109">
        <f t="shared" si="1"/>
        <v>-236877.65</v>
      </c>
    </row>
    <row r="446">
      <c r="A446" s="59">
        <v>46267.0</v>
      </c>
      <c r="B446" s="8" t="s">
        <v>696</v>
      </c>
      <c r="C446" s="8" t="s">
        <v>700</v>
      </c>
      <c r="D446" s="59">
        <v>46266.0</v>
      </c>
      <c r="E446" s="8">
        <v>1729410.52</v>
      </c>
      <c r="F446" s="8">
        <v>286126.87</v>
      </c>
      <c r="G446" s="8">
        <v>1328086.0</v>
      </c>
      <c r="H446" s="109">
        <f t="shared" si="1"/>
        <v>-115197.65</v>
      </c>
    </row>
    <row r="447">
      <c r="A447" s="59">
        <v>46268.0</v>
      </c>
      <c r="B447" s="8" t="s">
        <v>696</v>
      </c>
      <c r="C447" s="8" t="s">
        <v>700</v>
      </c>
      <c r="D447" s="59">
        <v>46267.0</v>
      </c>
      <c r="E447" s="8">
        <v>1729410.52</v>
      </c>
      <c r="F447" s="8">
        <v>286126.87</v>
      </c>
      <c r="G447" s="8">
        <v>1392602.0</v>
      </c>
      <c r="H447" s="109">
        <f t="shared" si="1"/>
        <v>-50681.65</v>
      </c>
    </row>
    <row r="448">
      <c r="A448" s="59">
        <v>46269.0</v>
      </c>
      <c r="B448" s="8" t="s">
        <v>696</v>
      </c>
      <c r="C448" s="8" t="s">
        <v>700</v>
      </c>
      <c r="D448" s="59">
        <v>46268.0</v>
      </c>
      <c r="E448" s="8">
        <v>1729410.52</v>
      </c>
      <c r="F448" s="8">
        <v>286126.87</v>
      </c>
      <c r="G448" s="8">
        <v>1387236.0</v>
      </c>
      <c r="H448" s="109">
        <f t="shared" si="1"/>
        <v>-56047.65</v>
      </c>
    </row>
    <row r="449">
      <c r="A449" s="59">
        <v>46272.0</v>
      </c>
      <c r="B449" s="8" t="s">
        <v>696</v>
      </c>
      <c r="C449" s="8" t="s">
        <v>700</v>
      </c>
      <c r="D449" s="59">
        <v>46269.0</v>
      </c>
      <c r="E449" s="8">
        <v>1729410.52</v>
      </c>
      <c r="F449" s="8">
        <v>286126.87</v>
      </c>
      <c r="G449" s="8">
        <v>1352084.0</v>
      </c>
      <c r="H449" s="109">
        <f t="shared" si="1"/>
        <v>-91199.65</v>
      </c>
    </row>
    <row r="450">
      <c r="A450" s="59">
        <v>46273.0</v>
      </c>
      <c r="B450" s="8" t="s">
        <v>696</v>
      </c>
      <c r="C450" s="8" t="s">
        <v>700</v>
      </c>
      <c r="D450" s="59">
        <v>46272.0</v>
      </c>
      <c r="E450" s="8">
        <v>1729410.52</v>
      </c>
      <c r="F450" s="8">
        <v>286126.87</v>
      </c>
      <c r="G450" s="8">
        <v>1486566.0</v>
      </c>
      <c r="H450" s="109">
        <f t="shared" si="1"/>
        <v>43282.35</v>
      </c>
    </row>
    <row r="451">
      <c r="A451" s="59">
        <v>46274.0</v>
      </c>
      <c r="B451" s="8" t="s">
        <v>696</v>
      </c>
      <c r="C451" s="8" t="s">
        <v>700</v>
      </c>
      <c r="D451" s="59">
        <v>46273.0</v>
      </c>
      <c r="E451" s="8">
        <v>1729410.52</v>
      </c>
      <c r="F451" s="8">
        <v>286126.87</v>
      </c>
      <c r="G451" s="8">
        <v>1583572.0</v>
      </c>
      <c r="H451" s="109">
        <f t="shared" si="1"/>
        <v>140288.35</v>
      </c>
    </row>
    <row r="452">
      <c r="A452" s="59">
        <v>46275.0</v>
      </c>
      <c r="B452" s="8" t="s">
        <v>696</v>
      </c>
      <c r="C452" s="8" t="s">
        <v>700</v>
      </c>
      <c r="D452" s="59">
        <v>46274.0</v>
      </c>
      <c r="E452" s="8">
        <v>1729410.52</v>
      </c>
      <c r="F452" s="8">
        <v>286126.87</v>
      </c>
      <c r="G452" s="8">
        <v>1739855.0</v>
      </c>
      <c r="H452" s="109">
        <f t="shared" si="1"/>
        <v>296571.35</v>
      </c>
    </row>
    <row r="453">
      <c r="A453" s="59">
        <v>46276.0</v>
      </c>
      <c r="B453" s="8" t="s">
        <v>696</v>
      </c>
      <c r="C453" s="8" t="s">
        <v>700</v>
      </c>
      <c r="D453" s="59">
        <v>46275.0</v>
      </c>
      <c r="E453" s="8">
        <v>1729410.52</v>
      </c>
      <c r="F453" s="8">
        <v>286126.87</v>
      </c>
      <c r="G453" s="8">
        <v>1800652.0</v>
      </c>
      <c r="H453" s="109">
        <f t="shared" si="1"/>
        <v>357368.35</v>
      </c>
    </row>
    <row r="454">
      <c r="A454" s="59">
        <v>46280.0</v>
      </c>
      <c r="B454" s="8" t="s">
        <v>696</v>
      </c>
      <c r="C454" s="8" t="s">
        <v>700</v>
      </c>
      <c r="D454" s="59">
        <v>46276.0</v>
      </c>
      <c r="E454" s="8">
        <v>1729410.52</v>
      </c>
      <c r="F454" s="8">
        <v>286126.87</v>
      </c>
      <c r="G454" s="8">
        <v>1791315.0</v>
      </c>
      <c r="H454" s="109">
        <f t="shared" si="1"/>
        <v>348031.35</v>
      </c>
    </row>
    <row r="455">
      <c r="A455" s="59">
        <v>46281.0</v>
      </c>
      <c r="B455" s="8" t="s">
        <v>696</v>
      </c>
      <c r="C455" s="8" t="s">
        <v>700</v>
      </c>
      <c r="D455" s="59">
        <v>46280.0</v>
      </c>
      <c r="E455" s="8">
        <v>1729410.52</v>
      </c>
      <c r="F455" s="8">
        <v>286126.87</v>
      </c>
      <c r="G455" s="8">
        <v>1994876.0</v>
      </c>
      <c r="H455" s="109">
        <f t="shared" si="1"/>
        <v>551592.35</v>
      </c>
    </row>
    <row r="456">
      <c r="A456" s="59">
        <v>46282.0</v>
      </c>
      <c r="B456" s="8" t="s">
        <v>696</v>
      </c>
      <c r="C456" s="8" t="s">
        <v>700</v>
      </c>
      <c r="D456" s="59">
        <v>46281.0</v>
      </c>
      <c r="E456" s="8">
        <v>1729410.52</v>
      </c>
      <c r="F456" s="8">
        <v>286126.87</v>
      </c>
      <c r="G456" s="8">
        <v>1960991.0</v>
      </c>
      <c r="H456" s="109">
        <f t="shared" si="1"/>
        <v>517707.35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2" max="2" width="33.0"/>
    <col customWidth="1" min="3" max="3" width="22.71"/>
  </cols>
  <sheetData>
    <row r="1">
      <c r="A1" s="153" t="s">
        <v>665</v>
      </c>
      <c r="B1" s="153" t="s">
        <v>666</v>
      </c>
      <c r="C1" s="153" t="s">
        <v>667</v>
      </c>
      <c r="D1" s="153" t="s">
        <v>668</v>
      </c>
      <c r="E1" s="153" t="s">
        <v>669</v>
      </c>
      <c r="F1" s="153" t="s">
        <v>670</v>
      </c>
      <c r="G1" s="153" t="s">
        <v>671</v>
      </c>
      <c r="H1" s="153" t="s">
        <v>672</v>
      </c>
      <c r="I1" s="8" t="s">
        <v>685</v>
      </c>
      <c r="J1" s="8">
        <v>845.0</v>
      </c>
    </row>
    <row r="2">
      <c r="A2" s="59">
        <v>45660.0</v>
      </c>
      <c r="B2" s="8" t="s">
        <v>686</v>
      </c>
      <c r="C2" s="8" t="s">
        <v>687</v>
      </c>
      <c r="D2" s="59">
        <v>45659.0</v>
      </c>
      <c r="E2" s="8">
        <v>1211624.65</v>
      </c>
      <c r="F2" s="8">
        <v>0.0</v>
      </c>
      <c r="G2" s="8">
        <v>1214280.0</v>
      </c>
      <c r="H2" s="8">
        <f t="shared" ref="H2:H424" si="1">F2-E2+G2</f>
        <v>2655.35</v>
      </c>
    </row>
    <row r="3">
      <c r="A3" s="59">
        <v>45663.0</v>
      </c>
      <c r="B3" s="8" t="s">
        <v>686</v>
      </c>
      <c r="C3" s="8" t="s">
        <v>687</v>
      </c>
      <c r="D3" s="59">
        <v>45660.0</v>
      </c>
      <c r="E3" s="8">
        <v>1211624.65</v>
      </c>
      <c r="F3" s="8">
        <v>0.0</v>
      </c>
      <c r="G3" s="8">
        <v>1275345.0</v>
      </c>
      <c r="H3" s="8">
        <f t="shared" si="1"/>
        <v>63720.35</v>
      </c>
    </row>
    <row r="4">
      <c r="A4" s="59">
        <v>45664.0</v>
      </c>
      <c r="B4" s="8" t="s">
        <v>686</v>
      </c>
      <c r="C4" s="8" t="s">
        <v>687</v>
      </c>
      <c r="D4" s="59">
        <v>45663.0</v>
      </c>
      <c r="E4" s="8">
        <v>1211624.65</v>
      </c>
      <c r="F4" s="8">
        <v>0.0</v>
      </c>
      <c r="G4" s="8">
        <v>1476090.0</v>
      </c>
      <c r="H4" s="8">
        <f t="shared" si="1"/>
        <v>264465.35</v>
      </c>
    </row>
    <row r="5">
      <c r="A5" s="59">
        <v>45665.0</v>
      </c>
      <c r="B5" s="8" t="s">
        <v>686</v>
      </c>
      <c r="C5" s="8" t="s">
        <v>687</v>
      </c>
      <c r="D5" s="59">
        <v>45664.0</v>
      </c>
      <c r="E5" s="8">
        <v>1211624.65</v>
      </c>
      <c r="F5" s="8">
        <v>0.0</v>
      </c>
      <c r="G5" s="8">
        <v>1476900.0</v>
      </c>
      <c r="H5" s="8">
        <f t="shared" si="1"/>
        <v>265275.35</v>
      </c>
    </row>
    <row r="6">
      <c r="A6" s="59">
        <v>45666.0</v>
      </c>
      <c r="B6" s="8" t="s">
        <v>686</v>
      </c>
      <c r="C6" s="8" t="s">
        <v>687</v>
      </c>
      <c r="D6" s="59">
        <v>45665.0</v>
      </c>
      <c r="E6" s="8">
        <v>1211624.65</v>
      </c>
      <c r="F6" s="8">
        <v>0.0</v>
      </c>
      <c r="G6" s="8">
        <v>1451655.0</v>
      </c>
      <c r="H6" s="8">
        <f t="shared" si="1"/>
        <v>240030.35</v>
      </c>
    </row>
    <row r="7">
      <c r="A7" s="59">
        <v>45667.0</v>
      </c>
      <c r="B7" s="8" t="s">
        <v>686</v>
      </c>
      <c r="C7" s="8" t="s">
        <v>687</v>
      </c>
      <c r="D7" s="59">
        <v>45666.0</v>
      </c>
      <c r="E7" s="8">
        <v>1211624.65</v>
      </c>
      <c r="F7" s="8">
        <v>0.0</v>
      </c>
      <c r="G7" s="8">
        <v>1515600.0</v>
      </c>
      <c r="H7" s="8">
        <f t="shared" si="1"/>
        <v>303975.35</v>
      </c>
    </row>
    <row r="8">
      <c r="A8" s="59">
        <v>45670.0</v>
      </c>
      <c r="B8" s="8" t="s">
        <v>686</v>
      </c>
      <c r="C8" s="8" t="s">
        <v>687</v>
      </c>
      <c r="D8" s="59">
        <v>45667.0</v>
      </c>
      <c r="E8" s="8">
        <v>1211624.65</v>
      </c>
      <c r="F8" s="8">
        <v>0.0</v>
      </c>
      <c r="G8" s="8">
        <v>1581390.0</v>
      </c>
      <c r="H8" s="8">
        <f t="shared" si="1"/>
        <v>369765.35</v>
      </c>
    </row>
    <row r="9">
      <c r="A9" s="59">
        <v>45671.0</v>
      </c>
      <c r="B9" s="8" t="s">
        <v>686</v>
      </c>
      <c r="C9" s="8" t="s">
        <v>687</v>
      </c>
      <c r="D9" s="59">
        <v>45670.0</v>
      </c>
      <c r="E9" s="8">
        <v>1211624.65</v>
      </c>
      <c r="F9" s="8">
        <v>0.0</v>
      </c>
      <c r="G9" s="8">
        <v>1736235.0</v>
      </c>
      <c r="H9" s="8">
        <f t="shared" si="1"/>
        <v>524610.35</v>
      </c>
    </row>
    <row r="10">
      <c r="A10" s="59">
        <v>45672.0</v>
      </c>
      <c r="B10" s="8" t="s">
        <v>686</v>
      </c>
      <c r="C10" s="8" t="s">
        <v>687</v>
      </c>
      <c r="D10" s="59">
        <v>45671.0</v>
      </c>
      <c r="E10" s="8">
        <v>1211624.65</v>
      </c>
      <c r="F10" s="8">
        <v>0.0</v>
      </c>
      <c r="G10" s="8">
        <v>1764270.0</v>
      </c>
      <c r="H10" s="8">
        <f t="shared" si="1"/>
        <v>552645.35</v>
      </c>
    </row>
    <row r="11">
      <c r="A11" s="59">
        <v>45673.0</v>
      </c>
      <c r="B11" s="8" t="s">
        <v>686</v>
      </c>
      <c r="C11" s="8" t="s">
        <v>687</v>
      </c>
      <c r="D11" s="59">
        <v>45672.0</v>
      </c>
      <c r="E11" s="8">
        <v>1211624.65</v>
      </c>
      <c r="F11" s="8">
        <v>0.0</v>
      </c>
      <c r="G11" s="8">
        <v>1704105.0</v>
      </c>
      <c r="H11" s="8">
        <f t="shared" si="1"/>
        <v>492480.35</v>
      </c>
    </row>
    <row r="12">
      <c r="A12" s="59">
        <v>45674.0</v>
      </c>
      <c r="B12" s="8" t="s">
        <v>686</v>
      </c>
      <c r="C12" s="8" t="s">
        <v>687</v>
      </c>
      <c r="D12" s="59">
        <v>45673.0</v>
      </c>
      <c r="E12" s="8">
        <v>1211624.65</v>
      </c>
      <c r="F12" s="8">
        <v>0.0</v>
      </c>
      <c r="G12" s="8">
        <v>1628190.0</v>
      </c>
      <c r="H12" s="8">
        <f t="shared" si="1"/>
        <v>416565.35</v>
      </c>
    </row>
    <row r="13">
      <c r="A13" s="59">
        <v>45677.0</v>
      </c>
      <c r="B13" s="8" t="s">
        <v>686</v>
      </c>
      <c r="C13" s="8" t="s">
        <v>687</v>
      </c>
      <c r="D13" s="59">
        <v>45674.0</v>
      </c>
      <c r="E13" s="8">
        <v>1211624.65</v>
      </c>
      <c r="F13" s="8">
        <v>0.0</v>
      </c>
      <c r="G13" s="8">
        <v>1680795.0</v>
      </c>
      <c r="H13" s="8">
        <f t="shared" si="1"/>
        <v>469170.35</v>
      </c>
    </row>
    <row r="14">
      <c r="A14" s="59">
        <v>45678.0</v>
      </c>
      <c r="B14" s="8" t="s">
        <v>686</v>
      </c>
      <c r="C14" s="8" t="s">
        <v>687</v>
      </c>
      <c r="D14" s="59">
        <v>45677.0</v>
      </c>
      <c r="E14" s="8">
        <v>1211624.65</v>
      </c>
      <c r="F14" s="8">
        <v>0.0</v>
      </c>
      <c r="G14" s="8">
        <v>1633455.0</v>
      </c>
      <c r="H14" s="8">
        <f t="shared" si="1"/>
        <v>421830.35</v>
      </c>
    </row>
    <row r="15">
      <c r="A15" s="59">
        <v>45679.0</v>
      </c>
      <c r="B15" s="8" t="s">
        <v>686</v>
      </c>
      <c r="C15" s="8" t="s">
        <v>687</v>
      </c>
      <c r="D15" s="59">
        <v>45678.0</v>
      </c>
      <c r="E15" s="8">
        <v>1211624.65</v>
      </c>
      <c r="F15" s="8">
        <v>0.0</v>
      </c>
      <c r="G15" s="8">
        <v>1797345.0</v>
      </c>
      <c r="H15" s="8">
        <f t="shared" si="1"/>
        <v>585720.35</v>
      </c>
    </row>
    <row r="16">
      <c r="A16" s="59">
        <v>45680.0</v>
      </c>
      <c r="B16" s="8" t="s">
        <v>686</v>
      </c>
      <c r="C16" s="8" t="s">
        <v>687</v>
      </c>
      <c r="D16" s="59">
        <v>45679.0</v>
      </c>
      <c r="E16" s="8">
        <v>1211624.65</v>
      </c>
      <c r="F16" s="8">
        <v>0.0</v>
      </c>
      <c r="G16" s="8">
        <v>1765800.0</v>
      </c>
      <c r="H16" s="8">
        <f t="shared" si="1"/>
        <v>554175.35</v>
      </c>
    </row>
    <row r="17">
      <c r="A17" s="59">
        <v>45681.0</v>
      </c>
      <c r="B17" s="8" t="s">
        <v>686</v>
      </c>
      <c r="C17" s="8" t="s">
        <v>687</v>
      </c>
      <c r="D17" s="59">
        <v>45680.0</v>
      </c>
      <c r="E17" s="8">
        <v>1211624.65</v>
      </c>
      <c r="F17" s="8">
        <v>0.0</v>
      </c>
      <c r="G17" s="8">
        <v>1719000.0</v>
      </c>
      <c r="H17" s="8">
        <f t="shared" si="1"/>
        <v>507375.35</v>
      </c>
    </row>
    <row r="18">
      <c r="A18" s="59">
        <v>45684.0</v>
      </c>
      <c r="B18" s="8" t="s">
        <v>686</v>
      </c>
      <c r="C18" s="8" t="s">
        <v>687</v>
      </c>
      <c r="D18" s="59">
        <v>45681.0</v>
      </c>
      <c r="E18" s="8">
        <v>1211624.65</v>
      </c>
      <c r="F18" s="8">
        <v>0.0</v>
      </c>
      <c r="G18" s="8">
        <v>1794330.0</v>
      </c>
      <c r="H18" s="8">
        <f t="shared" si="1"/>
        <v>582705.35</v>
      </c>
    </row>
    <row r="19">
      <c r="A19" s="59">
        <v>45685.0</v>
      </c>
      <c r="B19" s="8" t="s">
        <v>686</v>
      </c>
      <c r="C19" s="8" t="s">
        <v>687</v>
      </c>
      <c r="D19" s="59">
        <v>45684.0</v>
      </c>
      <c r="E19" s="8">
        <v>1211624.65</v>
      </c>
      <c r="F19" s="8">
        <v>0.0</v>
      </c>
      <c r="G19" s="8">
        <v>1966770.0</v>
      </c>
      <c r="H19" s="8">
        <f t="shared" si="1"/>
        <v>755145.35</v>
      </c>
    </row>
    <row r="20">
      <c r="A20" s="59">
        <v>45686.0</v>
      </c>
      <c r="B20" s="8" t="s">
        <v>686</v>
      </c>
      <c r="C20" s="8" t="s">
        <v>687</v>
      </c>
      <c r="D20" s="59">
        <v>45685.0</v>
      </c>
      <c r="E20" s="8">
        <v>1211624.65</v>
      </c>
      <c r="F20" s="8">
        <v>0.0</v>
      </c>
      <c r="G20" s="8">
        <v>1884870.0</v>
      </c>
      <c r="H20" s="8">
        <f t="shared" si="1"/>
        <v>673245.35</v>
      </c>
    </row>
    <row r="21">
      <c r="A21" s="59">
        <v>45687.0</v>
      </c>
      <c r="B21" s="8" t="s">
        <v>686</v>
      </c>
      <c r="C21" s="8" t="s">
        <v>687</v>
      </c>
      <c r="D21" s="59">
        <v>45686.0</v>
      </c>
      <c r="E21" s="8">
        <v>1211624.65</v>
      </c>
      <c r="F21" s="8">
        <v>0.0</v>
      </c>
      <c r="G21" s="8">
        <v>1763865.0</v>
      </c>
      <c r="H21" s="8">
        <f t="shared" si="1"/>
        <v>552240.35</v>
      </c>
    </row>
    <row r="22">
      <c r="A22" s="59">
        <v>45688.0</v>
      </c>
      <c r="B22" s="8" t="s">
        <v>686</v>
      </c>
      <c r="C22" s="8" t="s">
        <v>687</v>
      </c>
      <c r="D22" s="59">
        <v>45687.0</v>
      </c>
      <c r="E22" s="8">
        <v>1211624.65</v>
      </c>
      <c r="F22" s="8">
        <v>0.0</v>
      </c>
      <c r="G22" s="8">
        <v>1658925.0</v>
      </c>
      <c r="H22" s="8">
        <f t="shared" si="1"/>
        <v>447300.35</v>
      </c>
    </row>
    <row r="23">
      <c r="A23" s="59">
        <v>45689.0</v>
      </c>
      <c r="B23" s="8" t="s">
        <v>686</v>
      </c>
      <c r="C23" s="8" t="s">
        <v>687</v>
      </c>
      <c r="D23" s="59">
        <v>45688.0</v>
      </c>
      <c r="E23" s="8">
        <v>1211624.65</v>
      </c>
      <c r="F23" s="8">
        <v>0.0</v>
      </c>
      <c r="G23" s="8">
        <v>1539450.0</v>
      </c>
      <c r="H23" s="8">
        <f t="shared" si="1"/>
        <v>327825.35</v>
      </c>
    </row>
    <row r="24">
      <c r="A24" s="59">
        <v>45691.0</v>
      </c>
      <c r="B24" s="8" t="s">
        <v>686</v>
      </c>
      <c r="C24" s="8" t="s">
        <v>687</v>
      </c>
      <c r="D24" s="59">
        <v>45689.0</v>
      </c>
      <c r="E24" s="8">
        <v>1211624.65</v>
      </c>
      <c r="F24" s="8">
        <v>0.0</v>
      </c>
      <c r="G24" s="8">
        <v>1548495.0</v>
      </c>
      <c r="H24" s="8">
        <f t="shared" si="1"/>
        <v>336870.35</v>
      </c>
    </row>
    <row r="25">
      <c r="A25" s="59">
        <v>45692.0</v>
      </c>
      <c r="B25" s="8" t="s">
        <v>686</v>
      </c>
      <c r="C25" s="8" t="s">
        <v>687</v>
      </c>
      <c r="D25" s="59">
        <v>45691.0</v>
      </c>
      <c r="E25" s="8">
        <v>1211624.65</v>
      </c>
      <c r="F25" s="8">
        <v>0.0</v>
      </c>
      <c r="G25" s="8">
        <v>1610370.0</v>
      </c>
      <c r="H25" s="8">
        <f t="shared" si="1"/>
        <v>398745.35</v>
      </c>
    </row>
    <row r="26">
      <c r="A26" s="59">
        <v>45693.0</v>
      </c>
      <c r="B26" s="8" t="s">
        <v>686</v>
      </c>
      <c r="C26" s="8" t="s">
        <v>687</v>
      </c>
      <c r="D26" s="59">
        <v>45692.0</v>
      </c>
      <c r="E26" s="8">
        <v>1211624.65</v>
      </c>
      <c r="F26" s="8">
        <v>0.0</v>
      </c>
      <c r="G26" s="8">
        <v>1451610.0</v>
      </c>
      <c r="H26" s="8">
        <f t="shared" si="1"/>
        <v>239985.35</v>
      </c>
    </row>
    <row r="27">
      <c r="A27" s="59">
        <v>45694.0</v>
      </c>
      <c r="B27" s="8" t="s">
        <v>686</v>
      </c>
      <c r="C27" s="8" t="s">
        <v>687</v>
      </c>
      <c r="D27" s="59">
        <v>45693.0</v>
      </c>
      <c r="E27" s="8">
        <v>1211624.65</v>
      </c>
      <c r="F27" s="8">
        <v>0.0</v>
      </c>
      <c r="G27" s="8">
        <v>1442700.0</v>
      </c>
      <c r="H27" s="8">
        <f t="shared" si="1"/>
        <v>231075.35</v>
      </c>
    </row>
    <row r="28">
      <c r="A28" s="59">
        <v>45695.0</v>
      </c>
      <c r="B28" s="8" t="s">
        <v>686</v>
      </c>
      <c r="C28" s="8" t="s">
        <v>687</v>
      </c>
      <c r="D28" s="59">
        <v>45694.0</v>
      </c>
      <c r="E28" s="8">
        <v>1211624.65</v>
      </c>
      <c r="F28" s="8">
        <v>0.0</v>
      </c>
      <c r="G28" s="8">
        <v>1498545.0</v>
      </c>
      <c r="H28" s="8">
        <f t="shared" si="1"/>
        <v>286920.35</v>
      </c>
    </row>
    <row r="29">
      <c r="A29" s="59">
        <v>45698.0</v>
      </c>
      <c r="B29" s="8" t="s">
        <v>686</v>
      </c>
      <c r="C29" s="8" t="s">
        <v>687</v>
      </c>
      <c r="D29" s="59">
        <v>45695.0</v>
      </c>
      <c r="E29" s="8">
        <v>1211624.65</v>
      </c>
      <c r="F29" s="8">
        <v>0.0</v>
      </c>
      <c r="G29" s="8">
        <v>1598445.0</v>
      </c>
      <c r="H29" s="8">
        <f t="shared" si="1"/>
        <v>386820.35</v>
      </c>
    </row>
    <row r="30">
      <c r="A30" s="59">
        <v>45699.0</v>
      </c>
      <c r="B30" s="8" t="s">
        <v>686</v>
      </c>
      <c r="C30" s="8" t="s">
        <v>687</v>
      </c>
      <c r="D30" s="59">
        <v>45698.0</v>
      </c>
      <c r="E30" s="8">
        <v>1211624.65</v>
      </c>
      <c r="F30" s="8">
        <v>0.0</v>
      </c>
      <c r="G30" s="8">
        <v>1642050.0</v>
      </c>
      <c r="H30" s="8">
        <f t="shared" si="1"/>
        <v>430425.35</v>
      </c>
    </row>
    <row r="31">
      <c r="A31" s="59">
        <v>45699.0</v>
      </c>
      <c r="B31" s="8" t="s">
        <v>686</v>
      </c>
      <c r="C31" s="8" t="s">
        <v>687</v>
      </c>
      <c r="D31" s="59">
        <v>45699.0</v>
      </c>
      <c r="E31" s="8">
        <v>1211624.65</v>
      </c>
      <c r="F31" s="8">
        <v>0.0</v>
      </c>
      <c r="G31" s="8">
        <v>1816560.0</v>
      </c>
      <c r="H31" s="8">
        <f t="shared" si="1"/>
        <v>604935.35</v>
      </c>
    </row>
    <row r="32">
      <c r="A32" s="59">
        <v>45701.0</v>
      </c>
      <c r="B32" s="8" t="s">
        <v>686</v>
      </c>
      <c r="C32" s="8" t="s">
        <v>687</v>
      </c>
      <c r="D32" s="59">
        <v>45700.0</v>
      </c>
      <c r="E32" s="8">
        <v>1211624.65</v>
      </c>
      <c r="F32" s="8">
        <v>0.0</v>
      </c>
      <c r="G32" s="8">
        <v>1814850.0</v>
      </c>
      <c r="H32" s="8">
        <f t="shared" si="1"/>
        <v>603225.35</v>
      </c>
    </row>
    <row r="33">
      <c r="A33" s="59">
        <v>45702.0</v>
      </c>
      <c r="B33" s="8" t="s">
        <v>686</v>
      </c>
      <c r="C33" s="8" t="s">
        <v>687</v>
      </c>
      <c r="D33" s="59">
        <v>45701.0</v>
      </c>
      <c r="E33" s="8">
        <v>1211624.65</v>
      </c>
      <c r="F33" s="8">
        <v>0.0</v>
      </c>
      <c r="G33" s="8">
        <v>1805535.0</v>
      </c>
      <c r="H33" s="8">
        <f t="shared" si="1"/>
        <v>593910.35</v>
      </c>
    </row>
    <row r="34">
      <c r="A34" s="59">
        <v>45705.0</v>
      </c>
      <c r="B34" s="8" t="s">
        <v>686</v>
      </c>
      <c r="C34" s="8" t="s">
        <v>687</v>
      </c>
      <c r="D34" s="59">
        <v>45702.0</v>
      </c>
      <c r="E34" s="8">
        <v>1211624.65</v>
      </c>
      <c r="F34" s="8">
        <v>0.0</v>
      </c>
      <c r="G34" s="8">
        <v>1850175.0</v>
      </c>
      <c r="H34" s="8">
        <f t="shared" si="1"/>
        <v>638550.35</v>
      </c>
    </row>
    <row r="35">
      <c r="A35" s="59">
        <v>45706.0</v>
      </c>
      <c r="B35" s="8" t="s">
        <v>686</v>
      </c>
      <c r="C35" s="8" t="s">
        <v>687</v>
      </c>
      <c r="D35" s="59">
        <v>45705.0</v>
      </c>
      <c r="E35" s="8">
        <v>1211624.65</v>
      </c>
      <c r="F35" s="8">
        <v>0.0</v>
      </c>
      <c r="G35" s="8">
        <v>1829565.0</v>
      </c>
      <c r="H35" s="8">
        <f t="shared" si="1"/>
        <v>617940.35</v>
      </c>
    </row>
    <row r="36">
      <c r="A36" s="59">
        <v>45707.0</v>
      </c>
      <c r="B36" s="8" t="s">
        <v>686</v>
      </c>
      <c r="C36" s="8" t="s">
        <v>687</v>
      </c>
      <c r="D36" s="59">
        <v>45706.0</v>
      </c>
      <c r="E36" s="8">
        <v>1211624.65</v>
      </c>
      <c r="F36" s="8">
        <v>0.0</v>
      </c>
      <c r="G36" s="8">
        <v>1885410.0</v>
      </c>
      <c r="H36" s="8">
        <f t="shared" si="1"/>
        <v>673785.35</v>
      </c>
    </row>
    <row r="37">
      <c r="A37" s="59">
        <v>45708.0</v>
      </c>
      <c r="B37" s="8" t="s">
        <v>686</v>
      </c>
      <c r="C37" s="8" t="s">
        <v>687</v>
      </c>
      <c r="D37" s="59">
        <v>45707.0</v>
      </c>
      <c r="E37" s="8">
        <v>1211624.65</v>
      </c>
      <c r="F37" s="8">
        <v>0.0</v>
      </c>
      <c r="G37" s="8">
        <v>1854585.0</v>
      </c>
      <c r="H37" s="8">
        <f t="shared" si="1"/>
        <v>642960.35</v>
      </c>
    </row>
    <row r="38">
      <c r="A38" s="59">
        <v>45709.0</v>
      </c>
      <c r="B38" s="8" t="s">
        <v>686</v>
      </c>
      <c r="C38" s="8" t="s">
        <v>687</v>
      </c>
      <c r="D38" s="59">
        <v>45708.0</v>
      </c>
      <c r="E38" s="8">
        <v>1211624.65</v>
      </c>
      <c r="F38" s="8">
        <v>0.0</v>
      </c>
      <c r="G38" s="8">
        <v>1867320.0</v>
      </c>
      <c r="H38" s="8">
        <f t="shared" si="1"/>
        <v>655695.35</v>
      </c>
    </row>
    <row r="39">
      <c r="A39" s="59">
        <v>45712.0</v>
      </c>
      <c r="B39" s="8" t="s">
        <v>686</v>
      </c>
      <c r="C39" s="8" t="s">
        <v>687</v>
      </c>
      <c r="D39" s="59">
        <v>45709.0</v>
      </c>
      <c r="E39" s="8">
        <v>1211624.65</v>
      </c>
      <c r="F39" s="8">
        <v>0.0</v>
      </c>
      <c r="G39" s="8">
        <v>1946070.0</v>
      </c>
      <c r="H39" s="8">
        <f t="shared" si="1"/>
        <v>734445.35</v>
      </c>
    </row>
    <row r="40">
      <c r="A40" s="59">
        <v>45713.0</v>
      </c>
      <c r="B40" s="8" t="s">
        <v>686</v>
      </c>
      <c r="C40" s="8" t="s">
        <v>687</v>
      </c>
      <c r="D40" s="59">
        <v>45712.0</v>
      </c>
      <c r="E40" s="8">
        <v>1211624.65</v>
      </c>
      <c r="F40" s="8">
        <v>0.0</v>
      </c>
      <c r="G40" s="8">
        <v>2070450.0</v>
      </c>
      <c r="H40" s="8">
        <f t="shared" si="1"/>
        <v>858825.35</v>
      </c>
    </row>
    <row r="41">
      <c r="A41" s="59">
        <v>45715.0</v>
      </c>
      <c r="B41" s="8" t="s">
        <v>686</v>
      </c>
      <c r="C41" s="8" t="s">
        <v>687</v>
      </c>
      <c r="D41" s="59">
        <v>45713.0</v>
      </c>
      <c r="E41" s="8">
        <v>1211624.65</v>
      </c>
      <c r="F41" s="8">
        <v>0.0</v>
      </c>
      <c r="G41" s="8">
        <v>2080980.0</v>
      </c>
      <c r="H41" s="8">
        <f t="shared" si="1"/>
        <v>869355.35</v>
      </c>
    </row>
    <row r="42">
      <c r="A42" s="59">
        <v>45716.0</v>
      </c>
      <c r="B42" s="8" t="s">
        <v>686</v>
      </c>
      <c r="C42" s="8" t="s">
        <v>687</v>
      </c>
      <c r="D42" s="59">
        <v>45715.0</v>
      </c>
      <c r="E42" s="8">
        <v>1211624.65</v>
      </c>
      <c r="F42" s="8">
        <v>0.0</v>
      </c>
      <c r="G42" s="8">
        <v>2082825.0</v>
      </c>
      <c r="H42" s="8">
        <f t="shared" si="1"/>
        <v>871200.35</v>
      </c>
    </row>
    <row r="43">
      <c r="A43" s="59">
        <v>45719.0</v>
      </c>
      <c r="B43" s="8" t="s">
        <v>686</v>
      </c>
      <c r="C43" s="8" t="s">
        <v>687</v>
      </c>
      <c r="D43" s="59">
        <v>45716.0</v>
      </c>
      <c r="E43" s="8">
        <v>1211624.65</v>
      </c>
      <c r="F43" s="8">
        <v>0.0</v>
      </c>
      <c r="G43" s="8">
        <v>2360070.0</v>
      </c>
      <c r="H43" s="8">
        <f t="shared" si="1"/>
        <v>1148445.35</v>
      </c>
    </row>
    <row r="44">
      <c r="A44" s="59">
        <v>45720.0</v>
      </c>
      <c r="B44" s="8" t="s">
        <v>686</v>
      </c>
      <c r="C44" s="8" t="s">
        <v>687</v>
      </c>
      <c r="D44" s="59">
        <v>45719.0</v>
      </c>
      <c r="E44" s="8">
        <v>1211624.65</v>
      </c>
      <c r="F44" s="8">
        <v>0.0</v>
      </c>
      <c r="G44" s="8">
        <v>2337255.0</v>
      </c>
      <c r="H44" s="8">
        <f t="shared" si="1"/>
        <v>1125630.35</v>
      </c>
    </row>
    <row r="45">
      <c r="A45" s="59">
        <v>45721.0</v>
      </c>
      <c r="B45" s="8" t="s">
        <v>686</v>
      </c>
      <c r="C45" s="8" t="s">
        <v>687</v>
      </c>
      <c r="D45" s="59">
        <v>45720.0</v>
      </c>
      <c r="E45" s="8">
        <v>1211624.65</v>
      </c>
      <c r="F45" s="8">
        <v>0.0</v>
      </c>
      <c r="G45" s="8">
        <v>2381895.0</v>
      </c>
      <c r="H45" s="8">
        <f t="shared" si="1"/>
        <v>1170270.35</v>
      </c>
    </row>
    <row r="46">
      <c r="A46" s="59">
        <v>45722.0</v>
      </c>
      <c r="B46" s="8" t="s">
        <v>686</v>
      </c>
      <c r="C46" s="8" t="s">
        <v>687</v>
      </c>
      <c r="D46" s="59">
        <v>45721.0</v>
      </c>
      <c r="E46" s="8">
        <v>1211624.65</v>
      </c>
      <c r="F46" s="8">
        <v>0.0</v>
      </c>
      <c r="G46" s="8">
        <v>2204730.0</v>
      </c>
      <c r="H46" s="8">
        <f t="shared" si="1"/>
        <v>993105.35</v>
      </c>
    </row>
    <row r="47">
      <c r="A47" s="59">
        <v>45723.0</v>
      </c>
      <c r="B47" s="8" t="s">
        <v>686</v>
      </c>
      <c r="C47" s="8" t="s">
        <v>687</v>
      </c>
      <c r="D47" s="59">
        <v>45722.0</v>
      </c>
      <c r="E47" s="8">
        <v>1211624.65</v>
      </c>
      <c r="F47" s="8">
        <v>0.0</v>
      </c>
      <c r="G47" s="8">
        <v>2103615.0</v>
      </c>
      <c r="H47" s="8">
        <f t="shared" si="1"/>
        <v>891990.35</v>
      </c>
    </row>
    <row r="48">
      <c r="A48" s="59">
        <v>45726.0</v>
      </c>
      <c r="B48" s="8" t="s">
        <v>686</v>
      </c>
      <c r="C48" s="8" t="s">
        <v>687</v>
      </c>
      <c r="D48" s="59">
        <v>45723.0</v>
      </c>
      <c r="E48" s="8">
        <v>1211624.65</v>
      </c>
      <c r="F48" s="8">
        <v>0.0</v>
      </c>
      <c r="G48" s="8">
        <v>2075850.0</v>
      </c>
      <c r="H48" s="8">
        <f t="shared" si="1"/>
        <v>864225.35</v>
      </c>
    </row>
    <row r="49">
      <c r="A49" s="59">
        <v>45727.0</v>
      </c>
      <c r="B49" s="8" t="s">
        <v>686</v>
      </c>
      <c r="C49" s="8" t="s">
        <v>687</v>
      </c>
      <c r="D49" s="59">
        <v>45726.0</v>
      </c>
      <c r="E49" s="8">
        <v>1211624.65</v>
      </c>
      <c r="F49" s="8">
        <v>0.0</v>
      </c>
      <c r="G49" s="8">
        <v>2152980.0</v>
      </c>
      <c r="H49" s="8">
        <f t="shared" si="1"/>
        <v>941355.35</v>
      </c>
    </row>
    <row r="50">
      <c r="A50" s="59">
        <v>45728.0</v>
      </c>
      <c r="B50" s="8" t="s">
        <v>686</v>
      </c>
      <c r="C50" s="8" t="s">
        <v>687</v>
      </c>
      <c r="D50" s="59">
        <v>45727.0</v>
      </c>
      <c r="E50" s="8">
        <v>1211624.65</v>
      </c>
      <c r="F50" s="8">
        <v>0.0</v>
      </c>
      <c r="G50" s="8">
        <v>2129130.0</v>
      </c>
      <c r="H50" s="8">
        <f t="shared" si="1"/>
        <v>917505.35</v>
      </c>
    </row>
    <row r="51">
      <c r="A51" s="59">
        <v>45729.0</v>
      </c>
      <c r="B51" s="8" t="s">
        <v>686</v>
      </c>
      <c r="C51" s="8" t="s">
        <v>687</v>
      </c>
      <c r="D51" s="59">
        <v>45728.0</v>
      </c>
      <c r="E51" s="8">
        <v>1211624.65</v>
      </c>
      <c r="F51" s="8">
        <v>0.0</v>
      </c>
      <c r="G51" s="8">
        <v>2162520.0</v>
      </c>
      <c r="H51" s="8">
        <f t="shared" si="1"/>
        <v>950895.35</v>
      </c>
    </row>
    <row r="52">
      <c r="A52" s="59">
        <v>45733.0</v>
      </c>
      <c r="B52" s="8" t="s">
        <v>686</v>
      </c>
      <c r="C52" s="8" t="s">
        <v>687</v>
      </c>
      <c r="D52" s="59">
        <v>45729.0</v>
      </c>
      <c r="E52" s="8">
        <v>1211624.65</v>
      </c>
      <c r="F52" s="8">
        <v>0.0</v>
      </c>
      <c r="G52" s="8">
        <v>2207880.0</v>
      </c>
      <c r="H52" s="8">
        <f t="shared" si="1"/>
        <v>996255.35</v>
      </c>
    </row>
    <row r="53">
      <c r="A53" s="59">
        <v>45734.0</v>
      </c>
      <c r="B53" s="8" t="s">
        <v>686</v>
      </c>
      <c r="C53" s="8" t="s">
        <v>687</v>
      </c>
      <c r="D53" s="59">
        <v>45733.0</v>
      </c>
      <c r="E53" s="8">
        <v>1211624.65</v>
      </c>
      <c r="F53" s="8">
        <v>0.0</v>
      </c>
      <c r="G53" s="8">
        <v>2104650.0</v>
      </c>
      <c r="H53" s="8">
        <f t="shared" si="1"/>
        <v>893025.35</v>
      </c>
    </row>
    <row r="54">
      <c r="A54" s="59">
        <v>45735.0</v>
      </c>
      <c r="B54" s="8" t="s">
        <v>686</v>
      </c>
      <c r="C54" s="8" t="s">
        <v>687</v>
      </c>
      <c r="D54" s="59">
        <v>45734.0</v>
      </c>
      <c r="E54" s="8">
        <v>1211624.65</v>
      </c>
      <c r="F54" s="8">
        <v>0.0</v>
      </c>
      <c r="G54" s="8">
        <v>1902600.0</v>
      </c>
      <c r="H54" s="8">
        <f t="shared" si="1"/>
        <v>690975.35</v>
      </c>
    </row>
    <row r="55">
      <c r="A55" s="59">
        <v>45736.0</v>
      </c>
      <c r="B55" s="8" t="s">
        <v>686</v>
      </c>
      <c r="C55" s="8" t="s">
        <v>687</v>
      </c>
      <c r="D55" s="59">
        <v>45735.0</v>
      </c>
      <c r="E55" s="8">
        <v>1211624.65</v>
      </c>
      <c r="F55" s="8">
        <v>0.0</v>
      </c>
      <c r="G55" s="8">
        <v>1850085.0</v>
      </c>
      <c r="H55" s="8">
        <f t="shared" si="1"/>
        <v>638460.35</v>
      </c>
    </row>
    <row r="56">
      <c r="A56" s="59">
        <v>45737.0</v>
      </c>
      <c r="B56" s="8" t="s">
        <v>686</v>
      </c>
      <c r="C56" s="8" t="s">
        <v>687</v>
      </c>
      <c r="D56" s="59">
        <v>45736.0</v>
      </c>
      <c r="E56" s="8">
        <v>1211624.65</v>
      </c>
      <c r="F56" s="8">
        <v>0.0</v>
      </c>
      <c r="G56" s="8">
        <v>1700190.0</v>
      </c>
      <c r="H56" s="8">
        <f t="shared" si="1"/>
        <v>488565.35</v>
      </c>
    </row>
    <row r="57">
      <c r="A57" s="59">
        <v>45740.0</v>
      </c>
      <c r="B57" s="8" t="s">
        <v>686</v>
      </c>
      <c r="C57" s="8" t="s">
        <v>687</v>
      </c>
      <c r="D57" s="59">
        <v>45737.0</v>
      </c>
      <c r="E57" s="8">
        <v>1211624.65</v>
      </c>
      <c r="F57" s="8">
        <v>0.0</v>
      </c>
      <c r="G57" s="8">
        <v>1556595.0</v>
      </c>
      <c r="H57" s="8">
        <f t="shared" si="1"/>
        <v>344970.35</v>
      </c>
    </row>
    <row r="58">
      <c r="A58" s="59">
        <v>45741.0</v>
      </c>
      <c r="B58" s="8" t="s">
        <v>686</v>
      </c>
      <c r="C58" s="8" t="s">
        <v>687</v>
      </c>
      <c r="D58" s="59">
        <v>45740.0</v>
      </c>
      <c r="E58" s="8">
        <v>1211624.65</v>
      </c>
      <c r="F58" s="8">
        <v>0.0</v>
      </c>
      <c r="G58" s="8">
        <v>1395765.0</v>
      </c>
      <c r="H58" s="8">
        <f t="shared" si="1"/>
        <v>184140.35</v>
      </c>
    </row>
    <row r="59">
      <c r="A59" s="59">
        <v>45742.0</v>
      </c>
      <c r="B59" s="8" t="s">
        <v>686</v>
      </c>
      <c r="C59" s="8" t="s">
        <v>687</v>
      </c>
      <c r="D59" s="59">
        <v>45741.0</v>
      </c>
      <c r="E59" s="8">
        <v>1211624.65</v>
      </c>
      <c r="F59" s="8">
        <v>0.0</v>
      </c>
      <c r="G59" s="8">
        <v>1408770.0</v>
      </c>
      <c r="H59" s="8">
        <f t="shared" si="1"/>
        <v>197145.35</v>
      </c>
    </row>
    <row r="60">
      <c r="A60" s="59">
        <v>45743.0</v>
      </c>
      <c r="B60" s="8" t="s">
        <v>686</v>
      </c>
      <c r="C60" s="8" t="s">
        <v>687</v>
      </c>
      <c r="D60" s="59">
        <v>45742.0</v>
      </c>
      <c r="E60" s="8">
        <v>1211624.65</v>
      </c>
      <c r="F60" s="8">
        <v>0.0</v>
      </c>
      <c r="G60" s="8">
        <v>1499535.0</v>
      </c>
      <c r="H60" s="8">
        <f t="shared" si="1"/>
        <v>287910.35</v>
      </c>
    </row>
    <row r="61">
      <c r="A61" s="59">
        <v>45744.0</v>
      </c>
      <c r="B61" s="8" t="s">
        <v>686</v>
      </c>
      <c r="C61" s="8" t="s">
        <v>687</v>
      </c>
      <c r="D61" s="59">
        <v>45743.0</v>
      </c>
      <c r="E61" s="8">
        <v>1211624.65</v>
      </c>
      <c r="F61" s="8">
        <v>0.0</v>
      </c>
      <c r="G61" s="8">
        <v>1454715.0</v>
      </c>
      <c r="H61" s="8">
        <f t="shared" si="1"/>
        <v>243090.35</v>
      </c>
    </row>
    <row r="62">
      <c r="A62" s="59">
        <v>45748.0</v>
      </c>
      <c r="B62" s="8" t="s">
        <v>686</v>
      </c>
      <c r="C62" s="8" t="s">
        <v>687</v>
      </c>
      <c r="D62" s="59">
        <v>45744.0</v>
      </c>
      <c r="E62" s="8">
        <v>1211624.65</v>
      </c>
      <c r="F62" s="8">
        <v>0.0</v>
      </c>
      <c r="G62" s="8">
        <v>1565865.0</v>
      </c>
      <c r="H62" s="8">
        <f t="shared" si="1"/>
        <v>354240.35</v>
      </c>
    </row>
    <row r="63">
      <c r="A63" s="59">
        <v>45749.0</v>
      </c>
      <c r="B63" s="8" t="s">
        <v>686</v>
      </c>
      <c r="C63" s="8" t="s">
        <v>687</v>
      </c>
      <c r="D63" s="59">
        <v>45748.0</v>
      </c>
      <c r="E63" s="8">
        <v>1211624.65</v>
      </c>
      <c r="F63" s="8">
        <v>0.0</v>
      </c>
      <c r="G63" s="8">
        <v>1739655.0</v>
      </c>
      <c r="H63" s="8">
        <f t="shared" si="1"/>
        <v>528030.35</v>
      </c>
    </row>
    <row r="64">
      <c r="A64" s="59">
        <v>45750.0</v>
      </c>
      <c r="B64" s="8" t="s">
        <v>686</v>
      </c>
      <c r="C64" s="8" t="s">
        <v>687</v>
      </c>
      <c r="D64" s="59">
        <v>45749.0</v>
      </c>
      <c r="E64" s="8">
        <v>1211624.65</v>
      </c>
      <c r="F64" s="8">
        <v>0.0</v>
      </c>
      <c r="G64" s="8">
        <v>1684710.0</v>
      </c>
      <c r="H64" s="8">
        <f t="shared" si="1"/>
        <v>473085.35</v>
      </c>
    </row>
    <row r="65">
      <c r="A65" s="59">
        <v>45751.0</v>
      </c>
      <c r="B65" s="8" t="s">
        <v>686</v>
      </c>
      <c r="C65" s="8" t="s">
        <v>687</v>
      </c>
      <c r="D65" s="59">
        <v>45750.0</v>
      </c>
      <c r="E65" s="8">
        <v>1211624.65</v>
      </c>
      <c r="F65" s="8">
        <v>0.0</v>
      </c>
      <c r="G65" s="8">
        <v>1738215.0</v>
      </c>
      <c r="H65" s="8">
        <f t="shared" si="1"/>
        <v>526590.35</v>
      </c>
    </row>
    <row r="66">
      <c r="A66" s="59">
        <v>45754.0</v>
      </c>
      <c r="B66" s="8" t="s">
        <v>686</v>
      </c>
      <c r="C66" s="8" t="s">
        <v>687</v>
      </c>
      <c r="D66" s="59">
        <v>45751.0</v>
      </c>
      <c r="E66" s="8">
        <v>1211624.65</v>
      </c>
      <c r="F66" s="8">
        <v>0.0</v>
      </c>
      <c r="G66" s="8">
        <v>2002185.0</v>
      </c>
      <c r="H66" s="8">
        <f t="shared" si="1"/>
        <v>790560.35</v>
      </c>
    </row>
    <row r="67">
      <c r="A67" s="59">
        <v>45755.0</v>
      </c>
      <c r="B67" s="8" t="s">
        <v>686</v>
      </c>
      <c r="C67" s="8" t="s">
        <v>687</v>
      </c>
      <c r="D67" s="59">
        <v>45754.0</v>
      </c>
      <c r="E67" s="8">
        <v>1211624.65</v>
      </c>
      <c r="F67" s="8">
        <v>0.0</v>
      </c>
      <c r="G67" s="8">
        <v>2543445.0</v>
      </c>
      <c r="H67" s="8">
        <f t="shared" si="1"/>
        <v>1331820.35</v>
      </c>
    </row>
    <row r="68">
      <c r="A68" s="59">
        <v>45756.0</v>
      </c>
      <c r="B68" s="8" t="s">
        <v>686</v>
      </c>
      <c r="C68" s="8" t="s">
        <v>687</v>
      </c>
      <c r="D68" s="59">
        <v>45755.0</v>
      </c>
      <c r="E68" s="8">
        <v>1211624.65</v>
      </c>
      <c r="F68" s="8">
        <v>0.0</v>
      </c>
      <c r="G68" s="8">
        <v>2264130.0</v>
      </c>
      <c r="H68" s="8">
        <f t="shared" si="1"/>
        <v>1052505.35</v>
      </c>
    </row>
    <row r="69">
      <c r="A69" s="59">
        <v>45758.0</v>
      </c>
      <c r="B69" s="8" t="s">
        <v>686</v>
      </c>
      <c r="C69" s="8" t="s">
        <v>687</v>
      </c>
      <c r="D69" s="59">
        <v>45756.0</v>
      </c>
      <c r="E69" s="8">
        <v>1211624.65</v>
      </c>
      <c r="F69" s="8">
        <v>0.0</v>
      </c>
      <c r="G69" s="8">
        <v>2412810.0</v>
      </c>
      <c r="H69" s="8">
        <f t="shared" si="1"/>
        <v>1201185.35</v>
      </c>
    </row>
    <row r="70">
      <c r="A70" s="59">
        <v>45762.0</v>
      </c>
      <c r="B70" s="8" t="s">
        <v>686</v>
      </c>
      <c r="C70" s="8" t="s">
        <v>687</v>
      </c>
      <c r="D70" s="59">
        <v>45758.0</v>
      </c>
      <c r="E70" s="8">
        <v>1211624.65</v>
      </c>
      <c r="F70" s="8">
        <v>0.0</v>
      </c>
      <c r="G70" s="8">
        <v>2119185.0</v>
      </c>
      <c r="H70" s="8">
        <f t="shared" si="1"/>
        <v>907560.35</v>
      </c>
    </row>
    <row r="71">
      <c r="A71" s="59">
        <v>45763.0</v>
      </c>
      <c r="B71" s="8" t="s">
        <v>686</v>
      </c>
      <c r="C71" s="8" t="s">
        <v>687</v>
      </c>
      <c r="D71" s="59">
        <v>45762.0</v>
      </c>
      <c r="E71" s="8">
        <v>1211624.65</v>
      </c>
      <c r="F71" s="8">
        <v>0.0</v>
      </c>
      <c r="G71" s="8">
        <v>1775115.0</v>
      </c>
      <c r="H71" s="8">
        <f t="shared" si="1"/>
        <v>563490.35</v>
      </c>
    </row>
    <row r="72">
      <c r="A72" s="59">
        <v>45764.0</v>
      </c>
      <c r="B72" s="8" t="s">
        <v>686</v>
      </c>
      <c r="C72" s="8" t="s">
        <v>687</v>
      </c>
      <c r="D72" s="59">
        <v>45763.0</v>
      </c>
      <c r="E72" s="8">
        <v>1211624.65</v>
      </c>
      <c r="F72" s="8">
        <v>0.0</v>
      </c>
      <c r="G72" s="8">
        <v>1726335.0</v>
      </c>
      <c r="H72" s="8">
        <f t="shared" si="1"/>
        <v>514710.35</v>
      </c>
    </row>
    <row r="73">
      <c r="A73" s="59">
        <v>45768.0</v>
      </c>
      <c r="B73" s="8" t="s">
        <v>686</v>
      </c>
      <c r="C73" s="8" t="s">
        <v>687</v>
      </c>
      <c r="D73" s="59">
        <v>45764.0</v>
      </c>
      <c r="E73" s="8">
        <v>1211624.65</v>
      </c>
      <c r="F73" s="8">
        <v>0.0</v>
      </c>
      <c r="G73" s="8">
        <v>1512450.0</v>
      </c>
      <c r="H73" s="8">
        <f t="shared" si="1"/>
        <v>300825.35</v>
      </c>
    </row>
    <row r="74">
      <c r="A74" s="59">
        <v>45769.0</v>
      </c>
      <c r="B74" s="8" t="s">
        <v>686</v>
      </c>
      <c r="C74" s="8" t="s">
        <v>687</v>
      </c>
      <c r="D74" s="59">
        <v>45768.0</v>
      </c>
      <c r="E74" s="8">
        <v>1211624.65</v>
      </c>
      <c r="F74" s="8">
        <v>0.0</v>
      </c>
      <c r="G74" s="8">
        <v>1359540.0</v>
      </c>
      <c r="H74" s="8">
        <f t="shared" si="1"/>
        <v>147915.35</v>
      </c>
    </row>
    <row r="75">
      <c r="A75" s="59">
        <v>45770.0</v>
      </c>
      <c r="B75" s="8" t="s">
        <v>686</v>
      </c>
      <c r="C75" s="8" t="s">
        <v>687</v>
      </c>
      <c r="D75" s="59">
        <v>45769.0</v>
      </c>
      <c r="E75" s="8">
        <v>1211624.65</v>
      </c>
      <c r="F75" s="8">
        <v>0.0</v>
      </c>
      <c r="G75" s="8">
        <v>1341360.0</v>
      </c>
      <c r="H75" s="8">
        <f t="shared" si="1"/>
        <v>129735.35</v>
      </c>
    </row>
    <row r="76">
      <c r="A76" s="59">
        <v>45771.0</v>
      </c>
      <c r="B76" s="8" t="s">
        <v>686</v>
      </c>
      <c r="C76" s="8" t="s">
        <v>687</v>
      </c>
      <c r="D76" s="59">
        <v>45770.0</v>
      </c>
      <c r="E76" s="8">
        <v>1211624.65</v>
      </c>
      <c r="F76" s="8">
        <v>0.0</v>
      </c>
      <c r="G76" s="8">
        <v>1250055.0</v>
      </c>
      <c r="H76" s="8">
        <f t="shared" si="1"/>
        <v>38430.35</v>
      </c>
    </row>
    <row r="77">
      <c r="A77" s="59">
        <v>45772.0</v>
      </c>
      <c r="B77" s="8" t="s">
        <v>686</v>
      </c>
      <c r="C77" s="8" t="s">
        <v>687</v>
      </c>
      <c r="D77" s="59">
        <v>45771.0</v>
      </c>
      <c r="E77" s="8">
        <v>1211624.65</v>
      </c>
      <c r="F77" s="8">
        <v>0.0</v>
      </c>
      <c r="G77" s="8">
        <v>1276110.0</v>
      </c>
      <c r="H77" s="8">
        <f t="shared" si="1"/>
        <v>64485.35</v>
      </c>
    </row>
    <row r="78">
      <c r="A78" s="59">
        <v>45775.0</v>
      </c>
      <c r="B78" s="8" t="s">
        <v>686</v>
      </c>
      <c r="C78" s="8" t="s">
        <v>687</v>
      </c>
      <c r="D78" s="59">
        <v>45772.0</v>
      </c>
      <c r="E78" s="8">
        <v>1211624.65</v>
      </c>
      <c r="F78" s="8">
        <v>0.0</v>
      </c>
      <c r="G78" s="8">
        <v>1407645.0</v>
      </c>
      <c r="H78" s="8">
        <f t="shared" si="1"/>
        <v>196020.35</v>
      </c>
    </row>
    <row r="79">
      <c r="A79" s="59">
        <v>45776.0</v>
      </c>
      <c r="B79" s="8" t="s">
        <v>686</v>
      </c>
      <c r="C79" s="8" t="s">
        <v>687</v>
      </c>
      <c r="D79" s="59">
        <v>45775.0</v>
      </c>
      <c r="E79" s="8">
        <v>1211624.65</v>
      </c>
      <c r="F79" s="8">
        <v>0.0</v>
      </c>
      <c r="G79" s="8">
        <v>1242360.0</v>
      </c>
      <c r="H79" s="8">
        <f t="shared" si="1"/>
        <v>30735.35</v>
      </c>
    </row>
    <row r="80">
      <c r="A80" s="59">
        <v>45777.0</v>
      </c>
      <c r="B80" s="8" t="s">
        <v>686</v>
      </c>
      <c r="C80" s="8" t="s">
        <v>687</v>
      </c>
      <c r="D80" s="59">
        <v>45776.0</v>
      </c>
      <c r="E80" s="8">
        <v>1211624.65</v>
      </c>
      <c r="F80" s="8">
        <v>0.0</v>
      </c>
      <c r="G80" s="8">
        <v>1224135.0</v>
      </c>
      <c r="H80" s="8">
        <f t="shared" si="1"/>
        <v>12510.35</v>
      </c>
    </row>
    <row r="81">
      <c r="A81" s="59">
        <v>45779.0</v>
      </c>
      <c r="B81" s="8" t="s">
        <v>686</v>
      </c>
      <c r="C81" s="8" t="s">
        <v>687</v>
      </c>
      <c r="D81" s="59">
        <v>45777.0</v>
      </c>
      <c r="E81" s="8">
        <v>1211624.65</v>
      </c>
      <c r="F81" s="8">
        <v>0.0</v>
      </c>
      <c r="G81" s="8">
        <v>1253205.0</v>
      </c>
      <c r="H81" s="8">
        <f t="shared" si="1"/>
        <v>41580.35</v>
      </c>
    </row>
    <row r="82">
      <c r="A82" s="59">
        <v>45782.0</v>
      </c>
      <c r="B82" s="8" t="s">
        <v>686</v>
      </c>
      <c r="C82" s="8" t="s">
        <v>687</v>
      </c>
      <c r="D82" s="59">
        <v>45779.0</v>
      </c>
      <c r="E82" s="8">
        <v>1211624.65</v>
      </c>
      <c r="F82" s="8">
        <v>0.0</v>
      </c>
      <c r="G82" s="8">
        <v>1256355.0</v>
      </c>
      <c r="H82" s="8">
        <f t="shared" si="1"/>
        <v>44730.35</v>
      </c>
    </row>
    <row r="83">
      <c r="A83" s="59">
        <v>45783.0</v>
      </c>
      <c r="B83" s="8" t="s">
        <v>686</v>
      </c>
      <c r="C83" s="8" t="s">
        <v>687</v>
      </c>
      <c r="D83" s="59">
        <v>45782.0</v>
      </c>
      <c r="E83" s="8">
        <v>1211624.65</v>
      </c>
      <c r="F83" s="8">
        <v>0.0</v>
      </c>
      <c r="G83" s="8">
        <v>1183005.0</v>
      </c>
      <c r="H83" s="8">
        <f t="shared" si="1"/>
        <v>-28619.65</v>
      </c>
    </row>
    <row r="84">
      <c r="A84" s="59">
        <v>45784.0</v>
      </c>
      <c r="B84" s="8" t="s">
        <v>686</v>
      </c>
      <c r="C84" s="8" t="s">
        <v>687</v>
      </c>
      <c r="D84" s="59">
        <v>45783.0</v>
      </c>
      <c r="E84" s="8">
        <v>1211624.65</v>
      </c>
      <c r="F84" s="8">
        <v>0.0</v>
      </c>
      <c r="G84" s="8">
        <v>1268370.0</v>
      </c>
      <c r="H84" s="8">
        <f t="shared" si="1"/>
        <v>56745.35</v>
      </c>
    </row>
    <row r="85">
      <c r="A85" s="59">
        <v>45785.0</v>
      </c>
      <c r="B85" s="8" t="s">
        <v>686</v>
      </c>
      <c r="C85" s="8" t="s">
        <v>687</v>
      </c>
      <c r="D85" s="59">
        <v>45784.0</v>
      </c>
      <c r="E85" s="8">
        <v>1211624.65</v>
      </c>
      <c r="F85" s="8">
        <v>0.0</v>
      </c>
      <c r="G85" s="8">
        <v>1228320.0</v>
      </c>
      <c r="H85" s="8">
        <f t="shared" si="1"/>
        <v>16695.35</v>
      </c>
    </row>
    <row r="86">
      <c r="A86" s="59">
        <v>45786.0</v>
      </c>
      <c r="B86" s="8" t="s">
        <v>686</v>
      </c>
      <c r="C86" s="8" t="s">
        <v>687</v>
      </c>
      <c r="D86" s="59">
        <v>45785.0</v>
      </c>
      <c r="E86" s="8">
        <v>1211624.65</v>
      </c>
      <c r="F86" s="8">
        <v>0.0</v>
      </c>
      <c r="G86" s="8">
        <v>1353150.0</v>
      </c>
      <c r="H86" s="8">
        <f t="shared" si="1"/>
        <v>141525.35</v>
      </c>
    </row>
    <row r="87">
      <c r="A87" s="59">
        <v>45789.0</v>
      </c>
      <c r="B87" s="8" t="s">
        <v>686</v>
      </c>
      <c r="C87" s="8" t="s">
        <v>687</v>
      </c>
      <c r="D87" s="59">
        <v>45786.0</v>
      </c>
      <c r="E87" s="8">
        <v>1211624.65</v>
      </c>
      <c r="F87" s="8">
        <v>0.0</v>
      </c>
      <c r="G87" s="8">
        <v>1435500.0</v>
      </c>
      <c r="H87" s="8">
        <f t="shared" si="1"/>
        <v>223875.35</v>
      </c>
    </row>
    <row r="88">
      <c r="A88" s="59">
        <v>45790.0</v>
      </c>
      <c r="B88" s="8" t="s">
        <v>686</v>
      </c>
      <c r="C88" s="8" t="s">
        <v>687</v>
      </c>
      <c r="D88" s="59">
        <v>45789.0</v>
      </c>
      <c r="E88" s="8">
        <v>1211624.65</v>
      </c>
      <c r="F88" s="8">
        <v>0.0</v>
      </c>
      <c r="G88" s="8">
        <v>964215.0</v>
      </c>
      <c r="H88" s="8">
        <f t="shared" si="1"/>
        <v>-247409.65</v>
      </c>
    </row>
    <row r="89">
      <c r="A89" s="59">
        <v>45791.0</v>
      </c>
      <c r="B89" s="8" t="s">
        <v>686</v>
      </c>
      <c r="C89" s="8" t="s">
        <v>687</v>
      </c>
      <c r="D89" s="59">
        <v>45790.0</v>
      </c>
      <c r="E89" s="8">
        <v>1211624.65</v>
      </c>
      <c r="F89" s="8">
        <v>0.0</v>
      </c>
      <c r="G89" s="8">
        <v>1110105.0</v>
      </c>
      <c r="H89" s="8">
        <f t="shared" si="1"/>
        <v>-101519.65</v>
      </c>
    </row>
    <row r="90">
      <c r="A90" s="59">
        <v>45792.0</v>
      </c>
      <c r="B90" s="8" t="s">
        <v>686</v>
      </c>
      <c r="C90" s="8" t="s">
        <v>687</v>
      </c>
      <c r="D90" s="59">
        <v>45791.0</v>
      </c>
      <c r="E90" s="8">
        <v>1211624.65</v>
      </c>
      <c r="F90" s="8">
        <v>0.0</v>
      </c>
      <c r="G90" s="8">
        <v>1067940.0</v>
      </c>
      <c r="H90" s="8">
        <f t="shared" si="1"/>
        <v>-143684.65</v>
      </c>
    </row>
    <row r="91">
      <c r="A91" s="59">
        <v>45793.0</v>
      </c>
      <c r="B91" s="8" t="s">
        <v>686</v>
      </c>
      <c r="C91" s="8" t="s">
        <v>687</v>
      </c>
      <c r="D91" s="59">
        <v>45792.0</v>
      </c>
      <c r="E91" s="8">
        <v>1211624.65</v>
      </c>
      <c r="F91" s="8">
        <v>0.0</v>
      </c>
      <c r="G91" s="8">
        <v>914355.0</v>
      </c>
      <c r="H91" s="8">
        <f t="shared" si="1"/>
        <v>-297269.65</v>
      </c>
    </row>
    <row r="92">
      <c r="A92" s="59">
        <v>45796.0</v>
      </c>
      <c r="B92" s="8" t="s">
        <v>686</v>
      </c>
      <c r="C92" s="8" t="s">
        <v>687</v>
      </c>
      <c r="D92" s="59">
        <v>45793.0</v>
      </c>
      <c r="E92" s="8">
        <v>1211624.65</v>
      </c>
      <c r="F92" s="8">
        <v>0.0</v>
      </c>
      <c r="G92" s="8">
        <v>906615.0</v>
      </c>
      <c r="H92" s="8">
        <f t="shared" si="1"/>
        <v>-305009.65</v>
      </c>
    </row>
    <row r="93">
      <c r="A93" s="59">
        <v>45797.0</v>
      </c>
      <c r="B93" s="8" t="s">
        <v>686</v>
      </c>
      <c r="C93" s="8" t="s">
        <v>687</v>
      </c>
      <c r="D93" s="59">
        <v>45796.0</v>
      </c>
      <c r="E93" s="8">
        <v>1211624.65</v>
      </c>
      <c r="F93" s="8">
        <v>0.0</v>
      </c>
      <c r="G93" s="8">
        <v>962100.0</v>
      </c>
      <c r="H93" s="8">
        <f t="shared" si="1"/>
        <v>-249524.65</v>
      </c>
    </row>
    <row r="94">
      <c r="A94" s="59">
        <v>45798.0</v>
      </c>
      <c r="B94" s="8" t="s">
        <v>686</v>
      </c>
      <c r="C94" s="8" t="s">
        <v>687</v>
      </c>
      <c r="D94" s="59">
        <v>45797.0</v>
      </c>
      <c r="E94" s="8">
        <v>1211624.65</v>
      </c>
      <c r="F94" s="8">
        <v>0.0</v>
      </c>
      <c r="G94" s="8">
        <v>1043775.0</v>
      </c>
      <c r="H94" s="8">
        <f t="shared" si="1"/>
        <v>-167849.65</v>
      </c>
    </row>
    <row r="95">
      <c r="A95" s="59">
        <v>45799.0</v>
      </c>
      <c r="B95" s="8" t="s">
        <v>686</v>
      </c>
      <c r="C95" s="8" t="s">
        <v>687</v>
      </c>
      <c r="D95" s="59">
        <v>45798.0</v>
      </c>
      <c r="E95" s="8">
        <v>1211624.65</v>
      </c>
      <c r="F95" s="8">
        <v>0.0</v>
      </c>
      <c r="G95" s="8">
        <v>1035585.0</v>
      </c>
      <c r="H95" s="8">
        <f t="shared" si="1"/>
        <v>-176039.65</v>
      </c>
    </row>
    <row r="96">
      <c r="A96" s="59">
        <v>45800.0</v>
      </c>
      <c r="B96" s="8" t="s">
        <v>686</v>
      </c>
      <c r="C96" s="8" t="s">
        <v>687</v>
      </c>
      <c r="D96" s="59">
        <v>45799.0</v>
      </c>
      <c r="E96" s="8">
        <v>1211624.65</v>
      </c>
      <c r="F96" s="8">
        <v>0.0</v>
      </c>
      <c r="G96" s="8">
        <v>1102995.0</v>
      </c>
      <c r="H96" s="8">
        <f t="shared" si="1"/>
        <v>-108629.65</v>
      </c>
    </row>
    <row r="97">
      <c r="A97" s="59">
        <v>45803.0</v>
      </c>
      <c r="B97" s="8" t="s">
        <v>686</v>
      </c>
      <c r="C97" s="8" t="s">
        <v>687</v>
      </c>
      <c r="D97" s="59">
        <v>45800.0</v>
      </c>
      <c r="E97" s="8">
        <v>1211624.65</v>
      </c>
      <c r="F97" s="8">
        <v>0.0</v>
      </c>
      <c r="G97" s="8">
        <v>1023660.0</v>
      </c>
      <c r="H97" s="8">
        <f t="shared" si="1"/>
        <v>-187964.65</v>
      </c>
    </row>
    <row r="98">
      <c r="A98" s="59">
        <v>45804.0</v>
      </c>
      <c r="B98" s="8" t="s">
        <v>686</v>
      </c>
      <c r="C98" s="8" t="s">
        <v>687</v>
      </c>
      <c r="D98" s="59">
        <v>45803.0</v>
      </c>
      <c r="E98" s="8">
        <v>1211624.65</v>
      </c>
      <c r="F98" s="8">
        <v>0.0</v>
      </c>
      <c r="G98" s="8">
        <v>976680.0</v>
      </c>
      <c r="H98" s="8">
        <f t="shared" si="1"/>
        <v>-234944.65</v>
      </c>
    </row>
    <row r="99">
      <c r="A99" s="59">
        <v>45805.0</v>
      </c>
      <c r="B99" s="8" t="s">
        <v>686</v>
      </c>
      <c r="C99" s="8" t="s">
        <v>687</v>
      </c>
      <c r="D99" s="59">
        <v>45804.0</v>
      </c>
      <c r="E99" s="8">
        <v>1211624.65</v>
      </c>
      <c r="F99" s="8">
        <v>0.0</v>
      </c>
      <c r="G99" s="8">
        <v>1041075.0</v>
      </c>
      <c r="H99" s="8">
        <f t="shared" si="1"/>
        <v>-170549.65</v>
      </c>
    </row>
    <row r="100">
      <c r="A100" s="59">
        <v>45806.0</v>
      </c>
      <c r="B100" s="8" t="s">
        <v>686</v>
      </c>
      <c r="C100" s="8" t="s">
        <v>687</v>
      </c>
      <c r="D100" s="59">
        <v>45805.0</v>
      </c>
      <c r="E100" s="8">
        <v>1211624.65</v>
      </c>
      <c r="F100" s="8">
        <v>0.0</v>
      </c>
      <c r="G100" s="8">
        <v>1068660.0</v>
      </c>
      <c r="H100" s="8">
        <f t="shared" si="1"/>
        <v>-142964.65</v>
      </c>
    </row>
    <row r="101">
      <c r="A101" s="59">
        <v>45807.0</v>
      </c>
      <c r="B101" s="8" t="s">
        <v>686</v>
      </c>
      <c r="C101" s="8" t="s">
        <v>687</v>
      </c>
      <c r="D101" s="59">
        <v>45806.0</v>
      </c>
      <c r="E101" s="8">
        <v>1211624.65</v>
      </c>
      <c r="F101" s="8">
        <v>0.0</v>
      </c>
      <c r="G101" s="8">
        <v>1027485.0</v>
      </c>
      <c r="H101" s="8">
        <f t="shared" si="1"/>
        <v>-184139.65</v>
      </c>
    </row>
    <row r="102">
      <c r="A102" s="59">
        <v>45810.0</v>
      </c>
      <c r="B102" s="8" t="s">
        <v>686</v>
      </c>
      <c r="C102" s="8" t="s">
        <v>687</v>
      </c>
      <c r="D102" s="59">
        <v>45807.0</v>
      </c>
      <c r="E102" s="8">
        <v>1211624.65</v>
      </c>
      <c r="F102" s="8">
        <v>0.0</v>
      </c>
      <c r="G102" s="8">
        <v>1065105.0</v>
      </c>
      <c r="H102" s="8">
        <f t="shared" si="1"/>
        <v>-146519.65</v>
      </c>
    </row>
    <row r="103">
      <c r="A103" s="59">
        <v>45811.0</v>
      </c>
      <c r="B103" s="8" t="s">
        <v>686</v>
      </c>
      <c r="C103" s="8" t="s">
        <v>687</v>
      </c>
      <c r="D103" s="59">
        <v>45810.0</v>
      </c>
      <c r="E103" s="8">
        <v>1211624.65</v>
      </c>
      <c r="F103" s="8">
        <v>0.0</v>
      </c>
      <c r="G103" s="8">
        <v>1104795.0</v>
      </c>
      <c r="H103" s="8">
        <f t="shared" si="1"/>
        <v>-106829.65</v>
      </c>
    </row>
    <row r="104">
      <c r="A104" s="59">
        <v>45814.0</v>
      </c>
      <c r="B104" s="8" t="s">
        <v>686</v>
      </c>
      <c r="C104" s="8" t="s">
        <v>687</v>
      </c>
      <c r="D104" s="59">
        <v>45811.0</v>
      </c>
      <c r="E104" s="8">
        <v>1211624.65</v>
      </c>
      <c r="F104" s="8">
        <v>0.0</v>
      </c>
      <c r="G104" s="8">
        <v>1151235.0</v>
      </c>
      <c r="H104" s="8">
        <f t="shared" si="1"/>
        <v>-60389.65</v>
      </c>
    </row>
    <row r="105">
      <c r="A105" s="59">
        <v>45813.0</v>
      </c>
      <c r="B105" s="8" t="s">
        <v>686</v>
      </c>
      <c r="C105" s="8" t="s">
        <v>687</v>
      </c>
      <c r="D105" s="59">
        <v>45812.0</v>
      </c>
      <c r="E105" s="8">
        <v>1211624.65</v>
      </c>
      <c r="F105" s="8">
        <v>0.0</v>
      </c>
      <c r="G105" s="8">
        <v>1126170.0</v>
      </c>
      <c r="H105" s="8">
        <f t="shared" si="1"/>
        <v>-85454.65</v>
      </c>
    </row>
    <row r="106">
      <c r="A106" s="59">
        <v>45814.0</v>
      </c>
      <c r="B106" s="8" t="s">
        <v>686</v>
      </c>
      <c r="C106" s="8" t="s">
        <v>687</v>
      </c>
      <c r="D106" s="59">
        <v>45813.0</v>
      </c>
      <c r="E106" s="8">
        <v>1211624.65</v>
      </c>
      <c r="F106" s="8">
        <v>0.0</v>
      </c>
      <c r="G106" s="8">
        <v>1056870.0</v>
      </c>
      <c r="H106" s="8">
        <f t="shared" si="1"/>
        <v>-154754.65</v>
      </c>
    </row>
    <row r="107">
      <c r="A107" s="59">
        <v>45817.0</v>
      </c>
      <c r="B107" s="8" t="s">
        <v>686</v>
      </c>
      <c r="C107" s="8" t="s">
        <v>687</v>
      </c>
      <c r="D107" s="59">
        <v>45814.0</v>
      </c>
      <c r="E107" s="8">
        <v>1211624.65</v>
      </c>
      <c r="F107" s="8">
        <v>0.0</v>
      </c>
      <c r="G107" s="8">
        <v>952470.0</v>
      </c>
      <c r="H107" s="8">
        <f t="shared" si="1"/>
        <v>-259154.65</v>
      </c>
    </row>
    <row r="108">
      <c r="A108" s="59">
        <v>45818.0</v>
      </c>
      <c r="B108" s="8" t="s">
        <v>686</v>
      </c>
      <c r="C108" s="8" t="s">
        <v>687</v>
      </c>
      <c r="D108" s="59">
        <v>45817.0</v>
      </c>
      <c r="E108" s="8">
        <v>1211624.65</v>
      </c>
      <c r="F108" s="8">
        <v>0.0</v>
      </c>
      <c r="G108" s="8">
        <v>910215.0</v>
      </c>
      <c r="H108" s="8">
        <f t="shared" si="1"/>
        <v>-301409.65</v>
      </c>
    </row>
    <row r="109">
      <c r="A109" s="59">
        <v>45819.0</v>
      </c>
      <c r="B109" s="8" t="s">
        <v>686</v>
      </c>
      <c r="C109" s="8" t="s">
        <v>687</v>
      </c>
      <c r="D109" s="59">
        <v>45818.0</v>
      </c>
      <c r="E109" s="8">
        <v>1211624.65</v>
      </c>
      <c r="F109" s="8">
        <v>0.0</v>
      </c>
      <c r="G109" s="8">
        <v>915345.0</v>
      </c>
      <c r="H109" s="8">
        <f t="shared" si="1"/>
        <v>-296279.65</v>
      </c>
    </row>
    <row r="110">
      <c r="A110" s="59">
        <v>45820.0</v>
      </c>
      <c r="B110" s="8" t="s">
        <v>686</v>
      </c>
      <c r="C110" s="8" t="s">
        <v>687</v>
      </c>
      <c r="D110" s="59">
        <v>45819.0</v>
      </c>
      <c r="E110" s="8">
        <v>1211624.65</v>
      </c>
      <c r="F110" s="8">
        <v>0.0</v>
      </c>
      <c r="G110" s="8">
        <v>887985.0</v>
      </c>
      <c r="H110" s="8">
        <f t="shared" si="1"/>
        <v>-323639.65</v>
      </c>
    </row>
    <row r="111">
      <c r="A111" s="59">
        <v>45821.0</v>
      </c>
      <c r="B111" s="8" t="s">
        <v>686</v>
      </c>
      <c r="C111" s="8" t="s">
        <v>687</v>
      </c>
      <c r="D111" s="59">
        <v>45820.0</v>
      </c>
      <c r="E111" s="8">
        <v>1211624.65</v>
      </c>
      <c r="F111" s="8">
        <v>0.0</v>
      </c>
      <c r="G111" s="8">
        <v>1013220.0</v>
      </c>
      <c r="H111" s="8">
        <f t="shared" si="1"/>
        <v>-198404.65</v>
      </c>
    </row>
    <row r="112">
      <c r="A112" s="59">
        <v>45824.0</v>
      </c>
      <c r="B112" s="8" t="s">
        <v>686</v>
      </c>
      <c r="C112" s="8" t="s">
        <v>687</v>
      </c>
      <c r="D112" s="59">
        <v>45821.0</v>
      </c>
      <c r="E112" s="8">
        <v>1211624.65</v>
      </c>
      <c r="F112" s="8">
        <v>0.0</v>
      </c>
      <c r="G112" s="8">
        <v>1111140.0</v>
      </c>
      <c r="H112" s="8">
        <f t="shared" si="1"/>
        <v>-100484.65</v>
      </c>
    </row>
    <row r="113">
      <c r="A113" s="59">
        <v>45825.0</v>
      </c>
      <c r="B113" s="8" t="s">
        <v>686</v>
      </c>
      <c r="C113" s="8" t="s">
        <v>687</v>
      </c>
      <c r="D113" s="59">
        <v>45824.0</v>
      </c>
      <c r="E113" s="8">
        <v>1211624.65</v>
      </c>
      <c r="F113" s="8">
        <v>0.0</v>
      </c>
      <c r="G113" s="8">
        <v>982350.0</v>
      </c>
      <c r="H113" s="8">
        <f t="shared" si="1"/>
        <v>-229274.65</v>
      </c>
    </row>
    <row r="114">
      <c r="A114" s="59">
        <v>45826.0</v>
      </c>
      <c r="B114" s="8" t="s">
        <v>686</v>
      </c>
      <c r="C114" s="8" t="s">
        <v>687</v>
      </c>
      <c r="D114" s="59">
        <v>45825.0</v>
      </c>
      <c r="E114" s="8">
        <v>1211624.65</v>
      </c>
      <c r="F114" s="8">
        <v>0.0</v>
      </c>
      <c r="G114" s="8">
        <v>1037565.0</v>
      </c>
      <c r="H114" s="8">
        <f t="shared" si="1"/>
        <v>-174059.65</v>
      </c>
    </row>
    <row r="115">
      <c r="A115" s="59">
        <v>45827.0</v>
      </c>
      <c r="B115" s="8" t="s">
        <v>686</v>
      </c>
      <c r="C115" s="8" t="s">
        <v>687</v>
      </c>
      <c r="D115" s="59">
        <v>45826.0</v>
      </c>
      <c r="E115" s="8">
        <v>1211624.65</v>
      </c>
      <c r="F115" s="8">
        <v>0.0</v>
      </c>
      <c r="G115" s="8">
        <v>1057995.0</v>
      </c>
      <c r="H115" s="8">
        <f t="shared" si="1"/>
        <v>-153629.65</v>
      </c>
    </row>
    <row r="116">
      <c r="A116" s="59">
        <v>45828.0</v>
      </c>
      <c r="B116" s="8" t="s">
        <v>686</v>
      </c>
      <c r="C116" s="8" t="s">
        <v>687</v>
      </c>
      <c r="D116" s="59">
        <v>45827.0</v>
      </c>
      <c r="E116" s="8">
        <v>1211624.65</v>
      </c>
      <c r="F116" s="8">
        <v>0.0</v>
      </c>
      <c r="G116" s="8">
        <v>1062135.0</v>
      </c>
      <c r="H116" s="8">
        <f t="shared" si="1"/>
        <v>-149489.65</v>
      </c>
    </row>
    <row r="117">
      <c r="A117" s="59">
        <v>45831.0</v>
      </c>
      <c r="B117" s="8" t="s">
        <v>686</v>
      </c>
      <c r="C117" s="8" t="s">
        <v>687</v>
      </c>
      <c r="D117" s="59">
        <v>45828.0</v>
      </c>
      <c r="E117" s="8">
        <v>1211624.65</v>
      </c>
      <c r="F117" s="8">
        <v>0.0</v>
      </c>
      <c r="G117" s="8">
        <v>927675.0</v>
      </c>
      <c r="H117" s="8">
        <f t="shared" si="1"/>
        <v>-283949.65</v>
      </c>
    </row>
    <row r="118">
      <c r="A118" s="59">
        <v>45832.0</v>
      </c>
      <c r="B118" s="8" t="s">
        <v>686</v>
      </c>
      <c r="C118" s="8" t="s">
        <v>687</v>
      </c>
      <c r="D118" s="59">
        <v>45831.0</v>
      </c>
      <c r="E118" s="8">
        <v>1211624.65</v>
      </c>
      <c r="F118" s="8">
        <v>0.0</v>
      </c>
      <c r="G118" s="8">
        <v>964980.0</v>
      </c>
      <c r="H118" s="8">
        <f t="shared" si="1"/>
        <v>-246644.65</v>
      </c>
    </row>
    <row r="119">
      <c r="A119" s="59">
        <v>45833.0</v>
      </c>
      <c r="B119" s="8" t="s">
        <v>686</v>
      </c>
      <c r="C119" s="8" t="s">
        <v>687</v>
      </c>
      <c r="D119" s="59">
        <v>45832.0</v>
      </c>
      <c r="E119" s="8">
        <v>1211624.65</v>
      </c>
      <c r="F119" s="8">
        <v>0.0</v>
      </c>
      <c r="G119" s="8">
        <v>907245.0</v>
      </c>
      <c r="H119" s="8">
        <f t="shared" si="1"/>
        <v>-304379.65</v>
      </c>
    </row>
    <row r="120">
      <c r="A120" s="59">
        <v>45834.0</v>
      </c>
      <c r="B120" s="8" t="s">
        <v>686</v>
      </c>
      <c r="C120" s="8" t="s">
        <v>687</v>
      </c>
      <c r="D120" s="59">
        <v>45833.0</v>
      </c>
      <c r="E120" s="8">
        <v>1211624.65</v>
      </c>
      <c r="F120" s="8">
        <v>0.0</v>
      </c>
      <c r="G120" s="8">
        <v>836100.0</v>
      </c>
      <c r="H120" s="8">
        <f t="shared" si="1"/>
        <v>-375524.65</v>
      </c>
    </row>
    <row r="121">
      <c r="A121" s="59">
        <v>45835.0</v>
      </c>
      <c r="B121" s="8" t="s">
        <v>686</v>
      </c>
      <c r="C121" s="8" t="s">
        <v>687</v>
      </c>
      <c r="D121" s="59">
        <v>45834.0</v>
      </c>
      <c r="E121" s="8">
        <v>1211624.65</v>
      </c>
      <c r="F121" s="8">
        <v>0.0</v>
      </c>
      <c r="G121" s="8">
        <v>721530.0</v>
      </c>
      <c r="H121" s="8">
        <f t="shared" si="1"/>
        <v>-490094.65</v>
      </c>
    </row>
    <row r="122">
      <c r="A122" s="59">
        <v>45838.0</v>
      </c>
      <c r="B122" s="8" t="s">
        <v>686</v>
      </c>
      <c r="C122" s="8" t="s">
        <v>687</v>
      </c>
      <c r="D122" s="59">
        <v>45835.0</v>
      </c>
      <c r="E122" s="8">
        <v>1211624.65</v>
      </c>
      <c r="F122" s="8">
        <v>0.0</v>
      </c>
      <c r="G122" s="8">
        <v>662400.0</v>
      </c>
      <c r="H122" s="8">
        <f t="shared" si="1"/>
        <v>-549224.65</v>
      </c>
    </row>
    <row r="123">
      <c r="A123" s="59">
        <v>45839.0</v>
      </c>
      <c r="B123" s="8" t="s">
        <v>686</v>
      </c>
      <c r="C123" s="8" t="s">
        <v>687</v>
      </c>
      <c r="D123" s="59">
        <v>45838.0</v>
      </c>
      <c r="E123" s="8">
        <v>1211624.65</v>
      </c>
      <c r="F123" s="8">
        <v>0.0</v>
      </c>
      <c r="G123" s="8">
        <v>708345.0</v>
      </c>
      <c r="H123" s="8">
        <f t="shared" si="1"/>
        <v>-503279.65</v>
      </c>
    </row>
    <row r="124">
      <c r="A124" s="59">
        <v>45840.0</v>
      </c>
      <c r="B124" s="8" t="s">
        <v>686</v>
      </c>
      <c r="C124" s="8" t="s">
        <v>687</v>
      </c>
      <c r="D124" s="59">
        <v>45839.0</v>
      </c>
      <c r="E124" s="8">
        <v>1211624.65</v>
      </c>
      <c r="F124" s="8">
        <v>0.0</v>
      </c>
      <c r="G124" s="8">
        <v>688050.0</v>
      </c>
      <c r="H124" s="8">
        <f t="shared" si="1"/>
        <v>-523574.65</v>
      </c>
    </row>
    <row r="125">
      <c r="A125" s="59">
        <v>45841.0</v>
      </c>
      <c r="B125" s="8" t="s">
        <v>686</v>
      </c>
      <c r="C125" s="8" t="s">
        <v>687</v>
      </c>
      <c r="D125" s="59">
        <v>45840.0</v>
      </c>
      <c r="E125" s="8">
        <v>1211624.65</v>
      </c>
      <c r="F125" s="8">
        <v>0.0</v>
      </c>
      <c r="G125" s="8">
        <v>715725.0</v>
      </c>
      <c r="H125" s="8">
        <f t="shared" si="1"/>
        <v>-495899.65</v>
      </c>
    </row>
    <row r="126">
      <c r="A126" s="59">
        <v>45842.0</v>
      </c>
      <c r="B126" s="8" t="s">
        <v>686</v>
      </c>
      <c r="C126" s="8" t="s">
        <v>687</v>
      </c>
      <c r="D126" s="59">
        <v>45841.0</v>
      </c>
      <c r="E126" s="8">
        <v>1211624.65</v>
      </c>
      <c r="F126" s="8">
        <v>0.0</v>
      </c>
      <c r="G126" s="8">
        <v>729360.0</v>
      </c>
      <c r="H126" s="8">
        <f t="shared" si="1"/>
        <v>-482264.65</v>
      </c>
    </row>
    <row r="127">
      <c r="A127" s="59">
        <v>45845.0</v>
      </c>
      <c r="B127" s="8" t="s">
        <v>686</v>
      </c>
      <c r="C127" s="8" t="s">
        <v>687</v>
      </c>
      <c r="D127" s="59">
        <v>45842.0</v>
      </c>
      <c r="E127" s="8">
        <v>1211624.65</v>
      </c>
      <c r="F127" s="8">
        <v>0.0</v>
      </c>
      <c r="G127" s="8">
        <v>706545.0</v>
      </c>
      <c r="H127" s="8">
        <f t="shared" si="1"/>
        <v>-505079.65</v>
      </c>
    </row>
    <row r="128">
      <c r="A128" s="59">
        <v>45846.0</v>
      </c>
      <c r="B128" s="8" t="s">
        <v>686</v>
      </c>
      <c r="C128" s="8" t="s">
        <v>687</v>
      </c>
      <c r="D128" s="59">
        <v>45845.0</v>
      </c>
      <c r="E128" s="8">
        <v>1211624.65</v>
      </c>
      <c r="F128" s="8">
        <v>0.0</v>
      </c>
      <c r="G128" s="8">
        <v>703530.0</v>
      </c>
      <c r="H128" s="8">
        <f t="shared" si="1"/>
        <v>-508094.65</v>
      </c>
    </row>
    <row r="129">
      <c r="A129" s="59">
        <v>45847.0</v>
      </c>
      <c r="B129" s="8" t="s">
        <v>686</v>
      </c>
      <c r="C129" s="8" t="s">
        <v>687</v>
      </c>
      <c r="D129" s="59">
        <v>45846.0</v>
      </c>
      <c r="E129" s="8">
        <v>1211624.65</v>
      </c>
      <c r="F129" s="8">
        <v>0.0</v>
      </c>
      <c r="G129" s="8">
        <v>666720.0</v>
      </c>
      <c r="H129" s="8">
        <f t="shared" si="1"/>
        <v>-544904.65</v>
      </c>
    </row>
    <row r="130">
      <c r="A130" s="59">
        <v>45848.0</v>
      </c>
      <c r="B130" s="8" t="s">
        <v>686</v>
      </c>
      <c r="C130" s="8" t="s">
        <v>687</v>
      </c>
      <c r="D130" s="59">
        <v>45847.0</v>
      </c>
      <c r="E130" s="8">
        <v>1211624.65</v>
      </c>
      <c r="F130" s="8">
        <v>0.0</v>
      </c>
      <c r="G130" s="8">
        <v>674685.0</v>
      </c>
      <c r="H130" s="8">
        <f t="shared" si="1"/>
        <v>-536939.65</v>
      </c>
    </row>
    <row r="131">
      <c r="A131" s="59">
        <v>45849.0</v>
      </c>
      <c r="B131" s="8" t="s">
        <v>686</v>
      </c>
      <c r="C131" s="8" t="s">
        <v>687</v>
      </c>
      <c r="D131" s="59">
        <v>45848.0</v>
      </c>
      <c r="E131" s="8">
        <v>1211624.65</v>
      </c>
      <c r="F131" s="8">
        <v>0.0</v>
      </c>
      <c r="G131" s="8">
        <v>708120.0</v>
      </c>
      <c r="H131" s="8">
        <f t="shared" si="1"/>
        <v>-503504.65</v>
      </c>
    </row>
    <row r="132">
      <c r="A132" s="59">
        <v>45852.0</v>
      </c>
      <c r="B132" s="8" t="s">
        <v>686</v>
      </c>
      <c r="C132" s="8" t="s">
        <v>687</v>
      </c>
      <c r="D132" s="59">
        <v>45849.0</v>
      </c>
      <c r="E132" s="8">
        <v>1211624.65</v>
      </c>
      <c r="F132" s="8">
        <v>0.0</v>
      </c>
      <c r="G132" s="8">
        <v>786240.0</v>
      </c>
      <c r="H132" s="8">
        <f t="shared" si="1"/>
        <v>-425384.65</v>
      </c>
    </row>
    <row r="133">
      <c r="A133" s="59">
        <v>45853.0</v>
      </c>
      <c r="B133" s="8" t="s">
        <v>686</v>
      </c>
      <c r="C133" s="8" t="s">
        <v>687</v>
      </c>
      <c r="D133" s="59">
        <v>45852.0</v>
      </c>
      <c r="E133" s="8">
        <v>1211624.65</v>
      </c>
      <c r="F133" s="8">
        <v>0.0</v>
      </c>
      <c r="G133" s="8">
        <v>795555.0</v>
      </c>
      <c r="H133" s="8">
        <f t="shared" si="1"/>
        <v>-416069.65</v>
      </c>
    </row>
    <row r="134">
      <c r="A134" s="59">
        <v>45854.0</v>
      </c>
      <c r="B134" s="8" t="s">
        <v>686</v>
      </c>
      <c r="C134" s="8" t="s">
        <v>687</v>
      </c>
      <c r="D134" s="59">
        <v>45853.0</v>
      </c>
      <c r="E134" s="8">
        <v>1211624.65</v>
      </c>
      <c r="F134" s="8">
        <v>0.0</v>
      </c>
      <c r="G134" s="8">
        <v>750150.0</v>
      </c>
      <c r="H134" s="8">
        <f t="shared" si="1"/>
        <v>-461474.65</v>
      </c>
    </row>
    <row r="135">
      <c r="A135" s="59">
        <v>45855.0</v>
      </c>
      <c r="B135" s="8" t="s">
        <v>686</v>
      </c>
      <c r="C135" s="8" t="s">
        <v>687</v>
      </c>
      <c r="D135" s="59">
        <v>45854.0</v>
      </c>
      <c r="E135" s="8">
        <v>1211624.65</v>
      </c>
      <c r="F135" s="8">
        <v>0.0</v>
      </c>
      <c r="G135" s="8">
        <v>736065.0</v>
      </c>
      <c r="H135" s="8">
        <f t="shared" si="1"/>
        <v>-475559.65</v>
      </c>
    </row>
    <row r="136">
      <c r="A136" s="59">
        <v>45856.0</v>
      </c>
      <c r="B136" s="8" t="s">
        <v>686</v>
      </c>
      <c r="C136" s="8" t="s">
        <v>687</v>
      </c>
      <c r="D136" s="59">
        <v>45855.0</v>
      </c>
      <c r="E136" s="8">
        <v>1211624.65</v>
      </c>
      <c r="F136" s="8">
        <v>0.0</v>
      </c>
      <c r="G136" s="8">
        <v>756495.0</v>
      </c>
      <c r="H136" s="8">
        <f t="shared" si="1"/>
        <v>-455129.65</v>
      </c>
    </row>
    <row r="137">
      <c r="A137" s="59">
        <v>45859.0</v>
      </c>
      <c r="B137" s="8" t="s">
        <v>686</v>
      </c>
      <c r="C137" s="8" t="s">
        <v>687</v>
      </c>
      <c r="D137" s="59">
        <v>45856.0</v>
      </c>
      <c r="E137" s="8">
        <v>1211624.65</v>
      </c>
      <c r="F137" s="8">
        <v>0.0</v>
      </c>
      <c r="G137" s="8">
        <v>828720.0</v>
      </c>
      <c r="H137" s="8">
        <f t="shared" si="1"/>
        <v>-382904.65</v>
      </c>
    </row>
    <row r="138">
      <c r="A138" s="59">
        <v>45860.0</v>
      </c>
      <c r="B138" s="8" t="s">
        <v>686</v>
      </c>
      <c r="C138" s="8" t="s">
        <v>687</v>
      </c>
      <c r="D138" s="59">
        <v>45859.0</v>
      </c>
      <c r="E138" s="8">
        <v>1211624.65</v>
      </c>
      <c r="F138" s="8">
        <v>0.0</v>
      </c>
      <c r="G138" s="8">
        <v>770985.0</v>
      </c>
      <c r="H138" s="8">
        <f t="shared" si="1"/>
        <v>-440639.65</v>
      </c>
    </row>
    <row r="139">
      <c r="A139" s="59">
        <v>45861.0</v>
      </c>
      <c r="B139" s="8" t="s">
        <v>686</v>
      </c>
      <c r="C139" s="8" t="s">
        <v>687</v>
      </c>
      <c r="D139" s="59">
        <v>45860.0</v>
      </c>
      <c r="E139" s="8">
        <v>1211624.65</v>
      </c>
      <c r="F139" s="8">
        <v>0.0</v>
      </c>
      <c r="G139" s="8">
        <v>766440.0</v>
      </c>
      <c r="H139" s="8">
        <f t="shared" si="1"/>
        <v>-445184.65</v>
      </c>
    </row>
    <row r="140">
      <c r="A140" s="59">
        <v>45862.0</v>
      </c>
      <c r="B140" s="8" t="s">
        <v>686</v>
      </c>
      <c r="C140" s="8" t="s">
        <v>687</v>
      </c>
      <c r="D140" s="59">
        <v>45861.0</v>
      </c>
      <c r="E140" s="8">
        <v>1211624.65</v>
      </c>
      <c r="F140" s="8">
        <v>0.0</v>
      </c>
      <c r="G140" s="8">
        <v>689220.0</v>
      </c>
      <c r="H140" s="8">
        <f t="shared" si="1"/>
        <v>-522404.65</v>
      </c>
    </row>
    <row r="141">
      <c r="A141" s="59">
        <v>45863.0</v>
      </c>
      <c r="B141" s="8" t="s">
        <v>686</v>
      </c>
      <c r="C141" s="8" t="s">
        <v>687</v>
      </c>
      <c r="D141" s="59">
        <v>45862.0</v>
      </c>
      <c r="E141" s="8">
        <v>1211624.65</v>
      </c>
      <c r="F141" s="8">
        <v>0.0</v>
      </c>
      <c r="G141" s="8">
        <v>760050.0</v>
      </c>
      <c r="H141" s="8">
        <f t="shared" si="1"/>
        <v>-451574.65</v>
      </c>
    </row>
    <row r="142">
      <c r="A142" s="59">
        <v>45866.0</v>
      </c>
      <c r="B142" s="8" t="s">
        <v>686</v>
      </c>
      <c r="C142" s="8" t="s">
        <v>687</v>
      </c>
      <c r="D142" s="59">
        <v>45863.0</v>
      </c>
      <c r="E142" s="8">
        <v>1211624.65</v>
      </c>
      <c r="F142" s="8">
        <v>0.0</v>
      </c>
      <c r="G142" s="8">
        <v>886140.0</v>
      </c>
      <c r="H142" s="8">
        <f t="shared" si="1"/>
        <v>-325484.65</v>
      </c>
    </row>
    <row r="143">
      <c r="A143" s="59">
        <v>45867.0</v>
      </c>
      <c r="B143" s="8" t="s">
        <v>686</v>
      </c>
      <c r="C143" s="8" t="s">
        <v>687</v>
      </c>
      <c r="D143" s="59">
        <v>45866.0</v>
      </c>
      <c r="E143" s="8">
        <v>1211624.65</v>
      </c>
      <c r="F143" s="8">
        <v>0.0</v>
      </c>
      <c r="G143" s="8">
        <v>970740.0</v>
      </c>
      <c r="H143" s="8">
        <f t="shared" si="1"/>
        <v>-240884.65</v>
      </c>
    </row>
    <row r="144">
      <c r="A144" s="59">
        <v>45868.0</v>
      </c>
      <c r="B144" s="8" t="s">
        <v>686</v>
      </c>
      <c r="C144" s="8" t="s">
        <v>687</v>
      </c>
      <c r="D144" s="59">
        <v>45867.0</v>
      </c>
      <c r="E144" s="8">
        <v>1211624.65</v>
      </c>
      <c r="F144" s="8">
        <v>0.0</v>
      </c>
      <c r="G144" s="8">
        <v>895995.0</v>
      </c>
      <c r="H144" s="8">
        <f t="shared" si="1"/>
        <v>-315629.65</v>
      </c>
    </row>
    <row r="145">
      <c r="A145" s="59">
        <v>45869.0</v>
      </c>
      <c r="B145" s="8" t="s">
        <v>686</v>
      </c>
      <c r="C145" s="8" t="s">
        <v>687</v>
      </c>
      <c r="D145" s="59">
        <v>45868.0</v>
      </c>
      <c r="E145" s="8">
        <v>1211624.65</v>
      </c>
      <c r="F145" s="8">
        <v>0.0</v>
      </c>
      <c r="G145" s="8">
        <v>877185.0</v>
      </c>
      <c r="H145" s="8">
        <f t="shared" si="1"/>
        <v>-334439.65</v>
      </c>
    </row>
    <row r="146">
      <c r="A146" s="59">
        <v>45870.0</v>
      </c>
      <c r="B146" s="8" t="s">
        <v>686</v>
      </c>
      <c r="C146" s="8" t="s">
        <v>687</v>
      </c>
      <c r="D146" s="59">
        <v>45869.0</v>
      </c>
      <c r="E146" s="8">
        <v>1211624.65</v>
      </c>
      <c r="F146" s="8">
        <v>0.0</v>
      </c>
      <c r="G146" s="8">
        <v>920925.0</v>
      </c>
      <c r="H146" s="8">
        <f t="shared" si="1"/>
        <v>-290699.65</v>
      </c>
    </row>
    <row r="147">
      <c r="A147" s="59">
        <v>45873.0</v>
      </c>
      <c r="B147" s="8" t="s">
        <v>686</v>
      </c>
      <c r="C147" s="8" t="s">
        <v>687</v>
      </c>
      <c r="D147" s="59">
        <v>45870.0</v>
      </c>
      <c r="E147" s="8">
        <v>1211624.65</v>
      </c>
      <c r="F147" s="8">
        <v>0.0</v>
      </c>
      <c r="G147" s="8">
        <v>1056600.0</v>
      </c>
      <c r="H147" s="8">
        <f t="shared" si="1"/>
        <v>-155024.65</v>
      </c>
    </row>
    <row r="148">
      <c r="A148" s="59">
        <v>45874.0</v>
      </c>
      <c r="B148" s="8" t="s">
        <v>686</v>
      </c>
      <c r="C148" s="8" t="s">
        <v>687</v>
      </c>
      <c r="D148" s="59">
        <v>45873.0</v>
      </c>
      <c r="E148" s="8">
        <v>1211624.65</v>
      </c>
      <c r="F148" s="8">
        <v>0.0</v>
      </c>
      <c r="G148" s="8">
        <v>967680.0</v>
      </c>
      <c r="H148" s="8">
        <f t="shared" si="1"/>
        <v>-243944.65</v>
      </c>
    </row>
    <row r="149">
      <c r="A149" s="59">
        <v>45875.0</v>
      </c>
      <c r="B149" s="8" t="s">
        <v>686</v>
      </c>
      <c r="C149" s="8" t="s">
        <v>687</v>
      </c>
      <c r="D149" s="59">
        <v>45874.0</v>
      </c>
      <c r="E149" s="8">
        <v>1211624.65</v>
      </c>
      <c r="F149" s="8">
        <v>0.0</v>
      </c>
      <c r="G149" s="8">
        <v>1007820.0</v>
      </c>
      <c r="H149" s="8">
        <f t="shared" si="1"/>
        <v>-203804.65</v>
      </c>
    </row>
    <row r="150">
      <c r="A150" s="59">
        <v>45876.0</v>
      </c>
      <c r="B150" s="8" t="s">
        <v>686</v>
      </c>
      <c r="C150" s="8" t="s">
        <v>687</v>
      </c>
      <c r="D150" s="59">
        <v>45875.0</v>
      </c>
      <c r="E150" s="8">
        <v>1211624.65</v>
      </c>
      <c r="F150" s="8">
        <v>0.0</v>
      </c>
      <c r="G150" s="8">
        <v>1062360.0</v>
      </c>
      <c r="H150" s="8">
        <f t="shared" si="1"/>
        <v>-149264.65</v>
      </c>
    </row>
    <row r="151">
      <c r="A151" s="59">
        <v>45877.0</v>
      </c>
      <c r="B151" s="8" t="s">
        <v>686</v>
      </c>
      <c r="C151" s="8" t="s">
        <v>687</v>
      </c>
      <c r="D151" s="59">
        <v>45876.0</v>
      </c>
      <c r="E151" s="8">
        <v>1211624.65</v>
      </c>
      <c r="F151" s="8">
        <v>0.0</v>
      </c>
      <c r="G151" s="8">
        <v>1019880.0</v>
      </c>
      <c r="H151" s="8">
        <f t="shared" si="1"/>
        <v>-191744.65</v>
      </c>
    </row>
    <row r="152">
      <c r="A152" s="59">
        <v>45880.0</v>
      </c>
      <c r="B152" s="8" t="s">
        <v>686</v>
      </c>
      <c r="C152" s="8" t="s">
        <v>687</v>
      </c>
      <c r="D152" s="59">
        <v>45877.0</v>
      </c>
      <c r="E152" s="8">
        <v>1211624.65</v>
      </c>
      <c r="F152" s="8">
        <v>0.0</v>
      </c>
      <c r="G152" s="8">
        <v>1163475.0</v>
      </c>
      <c r="H152" s="8">
        <f t="shared" si="1"/>
        <v>-48149.65</v>
      </c>
    </row>
    <row r="153">
      <c r="A153" s="59">
        <v>45881.0</v>
      </c>
      <c r="B153" s="8" t="s">
        <v>686</v>
      </c>
      <c r="C153" s="8" t="s">
        <v>687</v>
      </c>
      <c r="D153" s="59">
        <v>45880.0</v>
      </c>
      <c r="E153" s="8">
        <v>1211624.65</v>
      </c>
      <c r="F153" s="8">
        <v>0.0</v>
      </c>
      <c r="G153" s="8">
        <v>1057410.0</v>
      </c>
      <c r="H153" s="8">
        <f t="shared" si="1"/>
        <v>-154214.65</v>
      </c>
    </row>
    <row r="154">
      <c r="A154" s="59">
        <v>45882.0</v>
      </c>
      <c r="B154" s="8" t="s">
        <v>686</v>
      </c>
      <c r="C154" s="8" t="s">
        <v>687</v>
      </c>
      <c r="D154" s="59">
        <v>45881.0</v>
      </c>
      <c r="E154" s="8">
        <v>1211624.65</v>
      </c>
      <c r="F154" s="8">
        <v>0.0</v>
      </c>
      <c r="G154" s="8">
        <v>1097280.0</v>
      </c>
      <c r="H154" s="8">
        <f t="shared" si="1"/>
        <v>-114344.65</v>
      </c>
    </row>
    <row r="155">
      <c r="A155" s="59">
        <v>45883.0</v>
      </c>
      <c r="B155" s="8" t="s">
        <v>686</v>
      </c>
      <c r="C155" s="8" t="s">
        <v>687</v>
      </c>
      <c r="D155" s="59">
        <v>45882.0</v>
      </c>
      <c r="E155" s="8">
        <v>1211624.65</v>
      </c>
      <c r="F155" s="8">
        <v>0.0</v>
      </c>
      <c r="G155" s="8">
        <v>1000350.0</v>
      </c>
      <c r="H155" s="8">
        <f t="shared" si="1"/>
        <v>-211274.65</v>
      </c>
    </row>
    <row r="156">
      <c r="A156" s="59">
        <v>45887.0</v>
      </c>
      <c r="B156" s="8" t="s">
        <v>686</v>
      </c>
      <c r="C156" s="8" t="s">
        <v>687</v>
      </c>
      <c r="D156" s="59">
        <v>45883.0</v>
      </c>
      <c r="E156" s="8">
        <v>1211624.65</v>
      </c>
      <c r="F156" s="8">
        <v>0.0</v>
      </c>
      <c r="G156" s="8">
        <v>1021815.0</v>
      </c>
      <c r="H156" s="8">
        <f t="shared" si="1"/>
        <v>-189809.65</v>
      </c>
    </row>
    <row r="157">
      <c r="A157" s="59">
        <v>45888.0</v>
      </c>
      <c r="B157" s="8" t="s">
        <v>686</v>
      </c>
      <c r="C157" s="8" t="s">
        <v>687</v>
      </c>
      <c r="D157" s="59">
        <v>45887.0</v>
      </c>
      <c r="E157" s="8">
        <v>1211624.65</v>
      </c>
      <c r="F157" s="8">
        <v>0.0</v>
      </c>
      <c r="G157" s="8">
        <v>852210.0</v>
      </c>
      <c r="H157" s="8">
        <f t="shared" si="1"/>
        <v>-359414.65</v>
      </c>
    </row>
    <row r="158">
      <c r="A158" s="59">
        <v>45889.0</v>
      </c>
      <c r="B158" s="8" t="s">
        <v>686</v>
      </c>
      <c r="C158" s="8" t="s">
        <v>687</v>
      </c>
      <c r="D158" s="59">
        <v>45888.0</v>
      </c>
      <c r="E158" s="8">
        <v>1211624.65</v>
      </c>
      <c r="F158" s="8">
        <v>0.0</v>
      </c>
      <c r="G158" s="8">
        <v>810270.0</v>
      </c>
      <c r="H158" s="8">
        <f t="shared" si="1"/>
        <v>-401354.65</v>
      </c>
    </row>
    <row r="159">
      <c r="A159" s="59">
        <v>45890.0</v>
      </c>
      <c r="B159" s="8" t="s">
        <v>686</v>
      </c>
      <c r="C159" s="8" t="s">
        <v>687</v>
      </c>
      <c r="D159" s="59">
        <v>45889.0</v>
      </c>
      <c r="E159" s="8">
        <v>1211624.65</v>
      </c>
      <c r="F159" s="8">
        <v>0.0</v>
      </c>
      <c r="G159" s="8">
        <v>775755.0</v>
      </c>
      <c r="H159" s="8">
        <f t="shared" si="1"/>
        <v>-435869.65</v>
      </c>
    </row>
    <row r="160">
      <c r="A160" s="59">
        <v>45891.0</v>
      </c>
      <c r="B160" s="8" t="s">
        <v>686</v>
      </c>
      <c r="C160" s="8" t="s">
        <v>687</v>
      </c>
      <c r="D160" s="59">
        <v>45890.0</v>
      </c>
      <c r="E160" s="8">
        <v>1211624.65</v>
      </c>
      <c r="F160" s="8">
        <v>0.0</v>
      </c>
      <c r="G160" s="8">
        <v>746730.0</v>
      </c>
      <c r="H160" s="8">
        <f t="shared" si="1"/>
        <v>-464894.65</v>
      </c>
    </row>
    <row r="161">
      <c r="A161" s="59">
        <v>45894.0</v>
      </c>
      <c r="B161" s="8" t="s">
        <v>686</v>
      </c>
      <c r="C161" s="8" t="s">
        <v>687</v>
      </c>
      <c r="D161" s="59">
        <v>45891.0</v>
      </c>
      <c r="E161" s="8">
        <v>1211624.65</v>
      </c>
      <c r="F161" s="8">
        <v>0.0</v>
      </c>
      <c r="G161" s="8">
        <v>872235.0</v>
      </c>
      <c r="H161" s="8">
        <f t="shared" si="1"/>
        <v>-339389.65</v>
      </c>
    </row>
    <row r="162">
      <c r="A162" s="59">
        <v>45895.0</v>
      </c>
      <c r="B162" s="8" t="s">
        <v>686</v>
      </c>
      <c r="C162" s="8" t="s">
        <v>687</v>
      </c>
      <c r="D162" s="59">
        <v>45894.0</v>
      </c>
      <c r="E162" s="8">
        <v>1211624.65</v>
      </c>
      <c r="F162" s="8">
        <v>0.0</v>
      </c>
      <c r="G162" s="8">
        <v>813555.0</v>
      </c>
      <c r="H162" s="8">
        <f t="shared" si="1"/>
        <v>-398069.65</v>
      </c>
    </row>
    <row r="163">
      <c r="A163" s="59">
        <v>45897.0</v>
      </c>
      <c r="B163" s="8" t="s">
        <v>686</v>
      </c>
      <c r="C163" s="8" t="s">
        <v>687</v>
      </c>
      <c r="D163" s="59">
        <v>45895.0</v>
      </c>
      <c r="E163" s="8">
        <v>1211624.65</v>
      </c>
      <c r="F163" s="8">
        <v>0.0</v>
      </c>
      <c r="G163" s="8">
        <v>969345.0</v>
      </c>
      <c r="H163" s="8">
        <f t="shared" si="1"/>
        <v>-242279.65</v>
      </c>
    </row>
    <row r="164">
      <c r="A164" s="59">
        <v>45898.0</v>
      </c>
      <c r="B164" s="8" t="s">
        <v>686</v>
      </c>
      <c r="C164" s="8" t="s">
        <v>687</v>
      </c>
      <c r="D164" s="59">
        <v>45897.0</v>
      </c>
      <c r="E164" s="8">
        <v>1211624.65</v>
      </c>
      <c r="F164" s="8">
        <v>0.0</v>
      </c>
      <c r="G164" s="8">
        <v>1098360.0</v>
      </c>
      <c r="H164" s="8">
        <f t="shared" si="1"/>
        <v>-113264.65</v>
      </c>
    </row>
    <row r="165">
      <c r="A165" s="59">
        <v>45901.0</v>
      </c>
      <c r="B165" s="8" t="s">
        <v>686</v>
      </c>
      <c r="C165" s="8" t="s">
        <v>687</v>
      </c>
      <c r="D165" s="59">
        <v>45898.0</v>
      </c>
      <c r="E165" s="8">
        <v>1211624.65</v>
      </c>
      <c r="F165" s="8">
        <v>0.0</v>
      </c>
      <c r="G165" s="8">
        <v>1153080.0</v>
      </c>
      <c r="H165" s="8">
        <f t="shared" si="1"/>
        <v>-58544.65</v>
      </c>
    </row>
    <row r="166">
      <c r="A166" s="59">
        <v>45902.0</v>
      </c>
      <c r="B166" s="8" t="s">
        <v>686</v>
      </c>
      <c r="C166" s="8" t="s">
        <v>687</v>
      </c>
      <c r="D166" s="59">
        <v>45901.0</v>
      </c>
      <c r="E166" s="8">
        <v>1211624.65</v>
      </c>
      <c r="F166" s="8">
        <v>0.0</v>
      </c>
      <c r="G166" s="8">
        <v>1008675.0</v>
      </c>
      <c r="H166" s="8">
        <f t="shared" si="1"/>
        <v>-202949.65</v>
      </c>
    </row>
    <row r="167">
      <c r="A167" s="59">
        <v>45903.0</v>
      </c>
      <c r="B167" s="8" t="s">
        <v>686</v>
      </c>
      <c r="C167" s="8" t="s">
        <v>687</v>
      </c>
      <c r="D167" s="59">
        <v>45902.0</v>
      </c>
      <c r="E167" s="8">
        <v>1211624.65</v>
      </c>
      <c r="F167" s="8">
        <v>0.0</v>
      </c>
      <c r="G167" s="8">
        <v>1045845.0</v>
      </c>
      <c r="H167" s="8">
        <f t="shared" si="1"/>
        <v>-165779.65</v>
      </c>
    </row>
    <row r="168">
      <c r="A168" s="59">
        <v>45904.0</v>
      </c>
      <c r="B168" s="8" t="s">
        <v>686</v>
      </c>
      <c r="C168" s="8" t="s">
        <v>687</v>
      </c>
      <c r="D168" s="59">
        <v>45903.0</v>
      </c>
      <c r="E168" s="8">
        <v>1211624.65</v>
      </c>
      <c r="F168" s="8">
        <v>0.0</v>
      </c>
      <c r="G168" s="8">
        <v>964935.0</v>
      </c>
      <c r="H168" s="8">
        <f t="shared" si="1"/>
        <v>-246689.65</v>
      </c>
    </row>
    <row r="169">
      <c r="A169" s="59">
        <v>45909.0</v>
      </c>
      <c r="B169" s="8" t="s">
        <v>686</v>
      </c>
      <c r="C169" s="8" t="s">
        <v>687</v>
      </c>
      <c r="D169" s="59">
        <v>45904.0</v>
      </c>
      <c r="E169" s="8">
        <v>1211624.65</v>
      </c>
      <c r="F169" s="8">
        <v>0.0</v>
      </c>
      <c r="G169" s="8">
        <v>953640.0</v>
      </c>
      <c r="H169" s="8">
        <f t="shared" si="1"/>
        <v>-257984.65</v>
      </c>
    </row>
    <row r="170">
      <c r="A170" s="59">
        <v>45909.0</v>
      </c>
      <c r="B170" s="8" t="s">
        <v>686</v>
      </c>
      <c r="C170" s="8" t="s">
        <v>687</v>
      </c>
      <c r="D170" s="59">
        <v>45905.0</v>
      </c>
      <c r="E170" s="8">
        <v>1211624.65</v>
      </c>
      <c r="F170" s="8">
        <v>0.0</v>
      </c>
      <c r="G170" s="8">
        <v>932040.0</v>
      </c>
      <c r="H170" s="8">
        <f t="shared" si="1"/>
        <v>-279584.65</v>
      </c>
    </row>
    <row r="171">
      <c r="A171" s="59">
        <v>45909.0</v>
      </c>
      <c r="B171" s="8" t="s">
        <v>686</v>
      </c>
      <c r="C171" s="8" t="s">
        <v>687</v>
      </c>
      <c r="D171" s="59">
        <v>45908.0</v>
      </c>
      <c r="E171" s="8">
        <v>1211624.65</v>
      </c>
      <c r="F171" s="8">
        <v>0.0</v>
      </c>
      <c r="G171" s="8">
        <v>899055.0</v>
      </c>
      <c r="H171" s="8">
        <f t="shared" si="1"/>
        <v>-312569.65</v>
      </c>
    </row>
    <row r="172">
      <c r="A172" s="59">
        <v>45910.0</v>
      </c>
      <c r="B172" s="8" t="s">
        <v>686</v>
      </c>
      <c r="C172" s="8" t="s">
        <v>687</v>
      </c>
      <c r="D172" s="59">
        <v>45909.0</v>
      </c>
      <c r="E172" s="8">
        <v>1211624.65</v>
      </c>
      <c r="F172" s="8">
        <v>0.0</v>
      </c>
      <c r="G172" s="8">
        <v>855855.0</v>
      </c>
      <c r="H172" s="8">
        <f t="shared" si="1"/>
        <v>-355769.65</v>
      </c>
    </row>
    <row r="173">
      <c r="A173" s="59">
        <v>45911.0</v>
      </c>
      <c r="B173" s="8" t="s">
        <v>686</v>
      </c>
      <c r="C173" s="8" t="s">
        <v>687</v>
      </c>
      <c r="D173" s="59">
        <v>45910.0</v>
      </c>
      <c r="E173" s="8">
        <v>1211624.65</v>
      </c>
      <c r="F173" s="8">
        <v>0.0</v>
      </c>
      <c r="G173" s="8">
        <v>779985.0</v>
      </c>
      <c r="H173" s="8">
        <f t="shared" si="1"/>
        <v>-431639.65</v>
      </c>
    </row>
    <row r="174">
      <c r="A174" s="59">
        <v>45912.0</v>
      </c>
      <c r="B174" s="8" t="s">
        <v>686</v>
      </c>
      <c r="C174" s="8" t="s">
        <v>687</v>
      </c>
      <c r="D174" s="59">
        <v>45911.0</v>
      </c>
      <c r="E174" s="8">
        <v>1211624.65</v>
      </c>
      <c r="F174" s="8">
        <v>0.0</v>
      </c>
      <c r="G174" s="8">
        <v>756810.0</v>
      </c>
      <c r="H174" s="8">
        <f t="shared" si="1"/>
        <v>-454814.65</v>
      </c>
    </row>
    <row r="175">
      <c r="A175" s="59">
        <v>45915.0</v>
      </c>
      <c r="B175" s="8" t="s">
        <v>686</v>
      </c>
      <c r="C175" s="8" t="s">
        <v>687</v>
      </c>
      <c r="D175" s="59">
        <v>45912.0</v>
      </c>
      <c r="E175" s="8">
        <v>1211624.65</v>
      </c>
      <c r="F175" s="8">
        <v>0.0</v>
      </c>
      <c r="G175" s="8">
        <v>696825.0</v>
      </c>
      <c r="H175" s="8">
        <f t="shared" si="1"/>
        <v>-514799.65</v>
      </c>
    </row>
    <row r="176">
      <c r="A176" s="59">
        <v>45916.0</v>
      </c>
      <c r="B176" s="8" t="s">
        <v>686</v>
      </c>
      <c r="C176" s="8" t="s">
        <v>687</v>
      </c>
      <c r="D176" s="59">
        <v>45915.0</v>
      </c>
      <c r="E176" s="8">
        <v>1211624.65</v>
      </c>
      <c r="F176" s="8">
        <v>0.0</v>
      </c>
      <c r="G176" s="8">
        <v>716850.0</v>
      </c>
      <c r="H176" s="8">
        <f t="shared" si="1"/>
        <v>-494774.65</v>
      </c>
    </row>
    <row r="177">
      <c r="A177" s="59">
        <v>45917.0</v>
      </c>
      <c r="B177" s="8" t="s">
        <v>686</v>
      </c>
      <c r="C177" s="8" t="s">
        <v>687</v>
      </c>
      <c r="D177" s="59">
        <v>45916.0</v>
      </c>
      <c r="E177" s="8">
        <v>1211624.65</v>
      </c>
      <c r="F177" s="8">
        <v>0.0</v>
      </c>
      <c r="G177" s="8">
        <v>617850.0</v>
      </c>
      <c r="H177" s="8">
        <f t="shared" si="1"/>
        <v>-593774.65</v>
      </c>
    </row>
    <row r="178">
      <c r="A178" s="59">
        <v>45918.0</v>
      </c>
      <c r="B178" s="8" t="s">
        <v>686</v>
      </c>
      <c r="C178" s="8" t="s">
        <v>687</v>
      </c>
      <c r="D178" s="59">
        <v>45917.0</v>
      </c>
      <c r="E178" s="8">
        <v>1211624.65</v>
      </c>
      <c r="F178" s="8">
        <v>0.0</v>
      </c>
      <c r="G178" s="8">
        <v>575370.0</v>
      </c>
      <c r="H178" s="8">
        <f t="shared" si="1"/>
        <v>-636254.65</v>
      </c>
    </row>
    <row r="179">
      <c r="A179" s="59">
        <v>45919.0</v>
      </c>
      <c r="B179" s="8" t="s">
        <v>686</v>
      </c>
      <c r="C179" s="8" t="s">
        <v>687</v>
      </c>
      <c r="D179" s="59">
        <v>45918.0</v>
      </c>
      <c r="E179" s="8">
        <v>1211624.65</v>
      </c>
      <c r="F179" s="8">
        <v>0.0</v>
      </c>
      <c r="G179" s="8">
        <v>525690.0</v>
      </c>
      <c r="H179" s="8">
        <f t="shared" si="1"/>
        <v>-685934.65</v>
      </c>
    </row>
    <row r="180">
      <c r="A180" s="59">
        <v>45922.0</v>
      </c>
      <c r="B180" s="8" t="s">
        <v>686</v>
      </c>
      <c r="C180" s="8" t="s">
        <v>687</v>
      </c>
      <c r="D180" s="59">
        <v>45919.0</v>
      </c>
      <c r="E180" s="8">
        <v>1211624.65</v>
      </c>
      <c r="F180" s="8">
        <v>0.0</v>
      </c>
      <c r="G180" s="8">
        <v>579285.0</v>
      </c>
      <c r="H180" s="8">
        <f t="shared" si="1"/>
        <v>-632339.65</v>
      </c>
    </row>
    <row r="181">
      <c r="A181" s="59">
        <v>45923.0</v>
      </c>
      <c r="B181" s="8" t="s">
        <v>686</v>
      </c>
      <c r="C181" s="8" t="s">
        <v>687</v>
      </c>
      <c r="D181" s="59">
        <v>45922.0</v>
      </c>
      <c r="E181" s="8">
        <v>1211624.65</v>
      </c>
      <c r="F181" s="8">
        <v>0.0</v>
      </c>
      <c r="G181" s="8">
        <v>644625.0</v>
      </c>
      <c r="H181" s="8">
        <f t="shared" si="1"/>
        <v>-566999.65</v>
      </c>
    </row>
    <row r="182">
      <c r="A182" s="59">
        <v>45924.0</v>
      </c>
      <c r="B182" s="8" t="s">
        <v>686</v>
      </c>
      <c r="C182" s="8" t="s">
        <v>687</v>
      </c>
      <c r="D182" s="59">
        <v>45923.0</v>
      </c>
      <c r="E182" s="8">
        <v>1211624.65</v>
      </c>
      <c r="F182" s="8">
        <v>0.0</v>
      </c>
      <c r="G182" s="8">
        <v>645120.0</v>
      </c>
      <c r="H182" s="8">
        <f t="shared" si="1"/>
        <v>-566504.65</v>
      </c>
    </row>
    <row r="183">
      <c r="A183" s="59">
        <v>45925.0</v>
      </c>
      <c r="B183" s="8" t="s">
        <v>686</v>
      </c>
      <c r="C183" s="8" t="s">
        <v>687</v>
      </c>
      <c r="D183" s="59">
        <v>45924.0</v>
      </c>
      <c r="E183" s="8">
        <v>1211624.65</v>
      </c>
      <c r="F183" s="8">
        <v>0.0</v>
      </c>
      <c r="G183" s="8">
        <v>713070.0</v>
      </c>
      <c r="H183" s="8">
        <f t="shared" si="1"/>
        <v>-498554.65</v>
      </c>
    </row>
    <row r="184">
      <c r="A184" s="59">
        <v>45926.0</v>
      </c>
      <c r="B184" s="8" t="s">
        <v>686</v>
      </c>
      <c r="C184" s="8" t="s">
        <v>687</v>
      </c>
      <c r="D184" s="59">
        <v>45925.0</v>
      </c>
      <c r="E184" s="8">
        <v>1211624.65</v>
      </c>
      <c r="F184" s="8">
        <v>0.0</v>
      </c>
      <c r="G184" s="8">
        <v>791280.0</v>
      </c>
      <c r="H184" s="8">
        <f t="shared" si="1"/>
        <v>-420344.65</v>
      </c>
    </row>
    <row r="185">
      <c r="A185" s="59">
        <v>45929.0</v>
      </c>
      <c r="B185" s="8" t="s">
        <v>686</v>
      </c>
      <c r="C185" s="8" t="s">
        <v>687</v>
      </c>
      <c r="D185" s="59">
        <v>45926.0</v>
      </c>
      <c r="E185" s="8">
        <v>1211624.65</v>
      </c>
      <c r="F185" s="8">
        <v>0.0</v>
      </c>
      <c r="G185" s="8">
        <v>972180.0</v>
      </c>
      <c r="H185" s="8">
        <f t="shared" si="1"/>
        <v>-239444.65</v>
      </c>
    </row>
    <row r="186">
      <c r="A186" s="59">
        <v>45930.0</v>
      </c>
      <c r="B186" s="8" t="s">
        <v>686</v>
      </c>
      <c r="C186" s="8" t="s">
        <v>687</v>
      </c>
      <c r="D186" s="59">
        <v>45929.0</v>
      </c>
      <c r="E186" s="8">
        <v>1211624.65</v>
      </c>
      <c r="F186" s="8">
        <v>0.0</v>
      </c>
      <c r="G186" s="8">
        <v>967545.0</v>
      </c>
      <c r="H186" s="8">
        <f t="shared" si="1"/>
        <v>-244079.65</v>
      </c>
    </row>
    <row r="187">
      <c r="A187" s="59">
        <v>45931.0</v>
      </c>
      <c r="B187" s="8" t="s">
        <v>686</v>
      </c>
      <c r="C187" s="8" t="s">
        <v>687</v>
      </c>
      <c r="D187" s="59">
        <v>45930.0</v>
      </c>
      <c r="E187" s="8">
        <v>1211624.65</v>
      </c>
      <c r="F187" s="8">
        <v>0.0</v>
      </c>
      <c r="G187" s="8">
        <v>980235.0</v>
      </c>
      <c r="H187" s="8">
        <f t="shared" si="1"/>
        <v>-231389.65</v>
      </c>
    </row>
    <row r="188">
      <c r="A188" s="59">
        <v>45933.0</v>
      </c>
      <c r="B188" s="8" t="s">
        <v>686</v>
      </c>
      <c r="C188" s="8" t="s">
        <v>687</v>
      </c>
      <c r="D188" s="59">
        <v>45931.0</v>
      </c>
      <c r="E188" s="8">
        <v>1211624.65</v>
      </c>
      <c r="F188" s="8">
        <v>0.0</v>
      </c>
      <c r="G188" s="8">
        <v>850410.0</v>
      </c>
      <c r="H188" s="8">
        <f t="shared" si="1"/>
        <v>-361214.65</v>
      </c>
    </row>
    <row r="189">
      <c r="A189" s="59">
        <v>45936.0</v>
      </c>
      <c r="B189" s="8" t="s">
        <v>686</v>
      </c>
      <c r="C189" s="8" t="s">
        <v>687</v>
      </c>
      <c r="D189" s="59">
        <v>45933.0</v>
      </c>
      <c r="E189" s="8">
        <v>1211624.65</v>
      </c>
      <c r="F189" s="8">
        <v>0.0</v>
      </c>
      <c r="G189" s="8">
        <v>812925.0</v>
      </c>
      <c r="H189" s="8">
        <f t="shared" si="1"/>
        <v>-398699.65</v>
      </c>
    </row>
    <row r="190">
      <c r="A190" s="59">
        <v>45937.0</v>
      </c>
      <c r="B190" s="8" t="s">
        <v>686</v>
      </c>
      <c r="C190" s="8" t="s">
        <v>687</v>
      </c>
      <c r="D190" s="59">
        <v>45936.0</v>
      </c>
      <c r="E190" s="8">
        <v>1211624.65</v>
      </c>
      <c r="F190" s="8">
        <v>0.0</v>
      </c>
      <c r="G190" s="8">
        <v>695430.0</v>
      </c>
      <c r="H190" s="8">
        <f t="shared" si="1"/>
        <v>-516194.65</v>
      </c>
    </row>
    <row r="191">
      <c r="A191" s="59">
        <v>45938.0</v>
      </c>
      <c r="B191" s="8" t="s">
        <v>686</v>
      </c>
      <c r="C191" s="8" t="s">
        <v>687</v>
      </c>
      <c r="D191" s="59">
        <v>45937.0</v>
      </c>
      <c r="E191" s="8">
        <v>1211624.65</v>
      </c>
      <c r="F191" s="8">
        <v>0.0</v>
      </c>
      <c r="G191" s="8">
        <v>666585.0</v>
      </c>
      <c r="H191" s="8">
        <f t="shared" si="1"/>
        <v>-545039.65</v>
      </c>
    </row>
    <row r="192">
      <c r="A192" s="59">
        <v>45939.0</v>
      </c>
      <c r="B192" s="8" t="s">
        <v>686</v>
      </c>
      <c r="C192" s="8" t="s">
        <v>687</v>
      </c>
      <c r="D192" s="59">
        <v>45938.0</v>
      </c>
      <c r="E192" s="8">
        <v>1211624.65</v>
      </c>
      <c r="F192" s="8">
        <v>0.0</v>
      </c>
      <c r="G192" s="8">
        <v>735165.0</v>
      </c>
      <c r="H192" s="8">
        <f t="shared" si="1"/>
        <v>-476459.65</v>
      </c>
    </row>
    <row r="193">
      <c r="A193" s="59">
        <v>45940.0</v>
      </c>
      <c r="B193" s="8" t="s">
        <v>686</v>
      </c>
      <c r="C193" s="8" t="s">
        <v>687</v>
      </c>
      <c r="D193" s="59">
        <v>45939.0</v>
      </c>
      <c r="E193" s="8">
        <v>1211624.65</v>
      </c>
      <c r="F193" s="8">
        <v>0.0</v>
      </c>
      <c r="G193" s="8">
        <v>643050.0</v>
      </c>
      <c r="H193" s="8">
        <f t="shared" si="1"/>
        <v>-568574.65</v>
      </c>
    </row>
    <row r="194">
      <c r="A194" s="59">
        <v>45943.0</v>
      </c>
      <c r="B194" s="8" t="s">
        <v>686</v>
      </c>
      <c r="C194" s="8" t="s">
        <v>687</v>
      </c>
      <c r="D194" s="59">
        <v>45940.0</v>
      </c>
      <c r="E194" s="8">
        <v>1211624.65</v>
      </c>
      <c r="F194" s="8">
        <v>0.0</v>
      </c>
      <c r="G194" s="8">
        <v>565020.0</v>
      </c>
      <c r="H194" s="8">
        <f t="shared" si="1"/>
        <v>-646604.65</v>
      </c>
    </row>
    <row r="195">
      <c r="A195" s="59">
        <v>45944.0</v>
      </c>
      <c r="B195" s="8" t="s">
        <v>686</v>
      </c>
      <c r="C195" s="8" t="s">
        <v>687</v>
      </c>
      <c r="D195" s="59">
        <v>45943.0</v>
      </c>
      <c r="E195" s="8">
        <v>1211624.65</v>
      </c>
      <c r="F195" s="8">
        <v>0.0</v>
      </c>
      <c r="G195" s="8">
        <v>618795.0</v>
      </c>
      <c r="H195" s="8">
        <f t="shared" si="1"/>
        <v>-592829.65</v>
      </c>
    </row>
    <row r="196">
      <c r="A196" s="59">
        <v>45945.0</v>
      </c>
      <c r="B196" s="8" t="s">
        <v>686</v>
      </c>
      <c r="C196" s="8" t="s">
        <v>687</v>
      </c>
      <c r="D196" s="59">
        <v>45944.0</v>
      </c>
      <c r="E196" s="8">
        <v>1211624.65</v>
      </c>
      <c r="F196" s="8">
        <v>0.0</v>
      </c>
      <c r="G196" s="8">
        <v>679680.0</v>
      </c>
      <c r="H196" s="8">
        <f t="shared" si="1"/>
        <v>-531944.65</v>
      </c>
    </row>
    <row r="197">
      <c r="A197" s="59">
        <v>45946.0</v>
      </c>
      <c r="B197" s="8" t="s">
        <v>686</v>
      </c>
      <c r="C197" s="8" t="s">
        <v>687</v>
      </c>
      <c r="D197" s="59">
        <v>45945.0</v>
      </c>
      <c r="E197" s="8">
        <v>1211624.65</v>
      </c>
      <c r="F197" s="8">
        <v>0.0</v>
      </c>
      <c r="G197" s="8">
        <v>549810.0</v>
      </c>
      <c r="H197" s="8">
        <f t="shared" si="1"/>
        <v>-661814.65</v>
      </c>
    </row>
    <row r="198">
      <c r="A198" s="59">
        <v>45947.0</v>
      </c>
      <c r="B198" s="8" t="s">
        <v>686</v>
      </c>
      <c r="C198" s="8" t="s">
        <v>687</v>
      </c>
      <c r="D198" s="59">
        <v>45946.0</v>
      </c>
      <c r="E198" s="8">
        <v>1211624.65</v>
      </c>
      <c r="F198" s="8">
        <v>0.0</v>
      </c>
      <c r="G198" s="8">
        <v>454140.0</v>
      </c>
      <c r="H198" s="8">
        <f t="shared" si="1"/>
        <v>-757484.65</v>
      </c>
    </row>
    <row r="199">
      <c r="A199" s="59">
        <v>45950.0</v>
      </c>
      <c r="B199" s="8" t="s">
        <v>686</v>
      </c>
      <c r="C199" s="8" t="s">
        <v>687</v>
      </c>
      <c r="D199" s="59">
        <v>45947.0</v>
      </c>
      <c r="E199" s="8">
        <v>1211624.65</v>
      </c>
      <c r="F199" s="8">
        <v>0.0</v>
      </c>
      <c r="G199" s="8">
        <v>436815.0</v>
      </c>
      <c r="H199" s="8">
        <f t="shared" si="1"/>
        <v>-774809.65</v>
      </c>
    </row>
    <row r="200">
      <c r="A200" s="59">
        <v>45953.0</v>
      </c>
      <c r="B200" s="8" t="s">
        <v>686</v>
      </c>
      <c r="C200" s="8" t="s">
        <v>687</v>
      </c>
      <c r="D200" s="59">
        <v>45950.0</v>
      </c>
      <c r="E200" s="8">
        <v>1211624.65</v>
      </c>
      <c r="F200" s="8">
        <v>0.0</v>
      </c>
      <c r="G200" s="8">
        <v>355320.0</v>
      </c>
      <c r="H200" s="8">
        <f t="shared" si="1"/>
        <v>-856304.65</v>
      </c>
    </row>
    <row r="201">
      <c r="A201" s="59">
        <v>45953.0</v>
      </c>
      <c r="B201" s="8" t="s">
        <v>686</v>
      </c>
      <c r="C201" s="8" t="s">
        <v>687</v>
      </c>
      <c r="D201" s="59">
        <v>45951.0</v>
      </c>
      <c r="E201" s="8">
        <v>1211624.65</v>
      </c>
      <c r="F201" s="8">
        <v>0.0</v>
      </c>
      <c r="G201" s="8">
        <v>354105.0</v>
      </c>
      <c r="H201" s="8">
        <f t="shared" si="1"/>
        <v>-857519.65</v>
      </c>
    </row>
    <row r="202">
      <c r="A202" s="59">
        <v>45954.0</v>
      </c>
      <c r="B202" s="8" t="s">
        <v>686</v>
      </c>
      <c r="C202" s="8" t="s">
        <v>687</v>
      </c>
      <c r="D202" s="59">
        <v>45953.0</v>
      </c>
      <c r="E202" s="8">
        <v>1211624.65</v>
      </c>
      <c r="F202" s="8">
        <v>0.0</v>
      </c>
      <c r="G202" s="8">
        <v>327285.0</v>
      </c>
      <c r="H202" s="8">
        <f t="shared" si="1"/>
        <v>-884339.65</v>
      </c>
    </row>
    <row r="203">
      <c r="A203" s="59">
        <v>45957.0</v>
      </c>
      <c r="B203" s="8" t="s">
        <v>686</v>
      </c>
      <c r="C203" s="8" t="s">
        <v>687</v>
      </c>
      <c r="D203" s="59">
        <v>45954.0</v>
      </c>
      <c r="E203" s="8">
        <v>1211624.65</v>
      </c>
      <c r="F203" s="8">
        <v>0.0</v>
      </c>
      <c r="G203" s="8">
        <v>378135.0</v>
      </c>
      <c r="H203" s="8">
        <f t="shared" si="1"/>
        <v>-833489.65</v>
      </c>
    </row>
    <row r="204">
      <c r="A204" s="59">
        <v>45958.0</v>
      </c>
      <c r="B204" s="8" t="s">
        <v>686</v>
      </c>
      <c r="C204" s="8" t="s">
        <v>687</v>
      </c>
      <c r="D204" s="59">
        <v>45957.0</v>
      </c>
      <c r="E204" s="8">
        <v>1211624.65</v>
      </c>
      <c r="F204" s="8">
        <v>0.0</v>
      </c>
      <c r="G204" s="8">
        <v>298530.0</v>
      </c>
      <c r="H204" s="8">
        <f t="shared" si="1"/>
        <v>-913094.65</v>
      </c>
    </row>
    <row r="205">
      <c r="A205" s="59">
        <v>45959.0</v>
      </c>
      <c r="B205" s="8" t="s">
        <v>686</v>
      </c>
      <c r="C205" s="8" t="s">
        <v>687</v>
      </c>
      <c r="D205" s="59">
        <v>45958.0</v>
      </c>
      <c r="E205" s="8">
        <v>1211624.65</v>
      </c>
      <c r="F205" s="8">
        <v>0.0</v>
      </c>
      <c r="G205" s="8">
        <v>319590.0</v>
      </c>
      <c r="H205" s="8">
        <f t="shared" si="1"/>
        <v>-892034.65</v>
      </c>
    </row>
    <row r="206">
      <c r="A206" s="59">
        <v>45960.0</v>
      </c>
      <c r="B206" s="8" t="s">
        <v>686</v>
      </c>
      <c r="C206" s="8" t="s">
        <v>687</v>
      </c>
      <c r="D206" s="59">
        <v>45959.0</v>
      </c>
      <c r="E206" s="8">
        <v>1211624.65</v>
      </c>
      <c r="F206" s="8">
        <v>0.0</v>
      </c>
      <c r="G206" s="8">
        <v>268425.0</v>
      </c>
      <c r="H206" s="8">
        <f t="shared" si="1"/>
        <v>-943199.65</v>
      </c>
    </row>
    <row r="207">
      <c r="A207" s="59">
        <v>45961.0</v>
      </c>
      <c r="B207" s="8" t="s">
        <v>686</v>
      </c>
      <c r="C207" s="8" t="s">
        <v>687</v>
      </c>
      <c r="D207" s="59">
        <v>45960.0</v>
      </c>
      <c r="E207" s="8">
        <v>1211624.65</v>
      </c>
      <c r="F207" s="8">
        <v>0.0</v>
      </c>
      <c r="G207" s="8">
        <v>325800.0</v>
      </c>
      <c r="H207" s="8">
        <f t="shared" si="1"/>
        <v>-885824.65</v>
      </c>
    </row>
    <row r="208">
      <c r="A208" s="59">
        <v>45964.0</v>
      </c>
      <c r="B208" s="8" t="s">
        <v>686</v>
      </c>
      <c r="C208" s="8" t="s">
        <v>687</v>
      </c>
      <c r="D208" s="59">
        <v>45961.0</v>
      </c>
      <c r="E208" s="8">
        <v>1211624.65</v>
      </c>
      <c r="F208" s="8">
        <v>0.0</v>
      </c>
      <c r="G208" s="8">
        <v>367335.0</v>
      </c>
      <c r="H208" s="8">
        <f t="shared" si="1"/>
        <v>-844289.65</v>
      </c>
    </row>
    <row r="209">
      <c r="A209" s="59">
        <v>45965.0</v>
      </c>
      <c r="B209" s="8" t="s">
        <v>686</v>
      </c>
      <c r="C209" s="8" t="s">
        <v>687</v>
      </c>
      <c r="D209" s="59">
        <v>45964.0</v>
      </c>
      <c r="E209" s="8">
        <v>1211624.65</v>
      </c>
      <c r="F209" s="8">
        <v>0.0</v>
      </c>
      <c r="G209" s="8">
        <v>367245.0</v>
      </c>
      <c r="H209" s="8">
        <f t="shared" si="1"/>
        <v>-844379.65</v>
      </c>
    </row>
    <row r="210">
      <c r="A210" s="59">
        <v>45967.0</v>
      </c>
      <c r="B210" s="8" t="s">
        <v>686</v>
      </c>
      <c r="C210" s="8" t="s">
        <v>687</v>
      </c>
      <c r="D210" s="59">
        <v>45965.0</v>
      </c>
      <c r="E210" s="8">
        <v>1211624.65</v>
      </c>
      <c r="F210" s="8">
        <v>0.0</v>
      </c>
      <c r="G210" s="8">
        <v>439695.0</v>
      </c>
      <c r="H210" s="8">
        <f t="shared" si="1"/>
        <v>-771929.65</v>
      </c>
    </row>
    <row r="211">
      <c r="A211" s="59">
        <v>45968.0</v>
      </c>
      <c r="B211" s="8" t="s">
        <v>692</v>
      </c>
      <c r="C211" s="8" t="s">
        <v>698</v>
      </c>
      <c r="D211" s="59">
        <v>45967.0</v>
      </c>
      <c r="E211" s="8">
        <v>1265137.15</v>
      </c>
      <c r="F211" s="8">
        <v>0.0</v>
      </c>
      <c r="G211" s="8">
        <v>517770.0</v>
      </c>
      <c r="H211" s="8">
        <f t="shared" si="1"/>
        <v>-747367.15</v>
      </c>
    </row>
    <row r="212">
      <c r="A212" s="59">
        <v>45971.0</v>
      </c>
      <c r="B212" s="8" t="s">
        <v>692</v>
      </c>
      <c r="C212" s="8" t="s">
        <v>698</v>
      </c>
      <c r="D212" s="59">
        <v>45968.0</v>
      </c>
      <c r="E212" s="8">
        <v>1265137.15</v>
      </c>
      <c r="F212" s="8">
        <v>0.0</v>
      </c>
      <c r="G212" s="8">
        <v>534420.0</v>
      </c>
      <c r="H212" s="8">
        <f t="shared" si="1"/>
        <v>-730717.15</v>
      </c>
    </row>
    <row r="213">
      <c r="A213" s="59">
        <v>45972.0</v>
      </c>
      <c r="B213" s="8" t="s">
        <v>692</v>
      </c>
      <c r="C213" s="8" t="s">
        <v>698</v>
      </c>
      <c r="D213" s="59">
        <v>45971.0</v>
      </c>
      <c r="E213" s="8">
        <v>1265137.15</v>
      </c>
      <c r="F213" s="8">
        <v>0.0</v>
      </c>
      <c r="G213" s="8">
        <v>497565.0</v>
      </c>
      <c r="H213" s="8">
        <f t="shared" si="1"/>
        <v>-767572.15</v>
      </c>
    </row>
    <row r="214">
      <c r="A214" s="59">
        <v>45973.0</v>
      </c>
      <c r="B214" s="8" t="s">
        <v>692</v>
      </c>
      <c r="C214" s="8" t="s">
        <v>698</v>
      </c>
      <c r="D214" s="59">
        <v>45972.0</v>
      </c>
      <c r="E214" s="8">
        <v>1265137.15</v>
      </c>
      <c r="F214" s="8">
        <v>0.0</v>
      </c>
      <c r="G214" s="8">
        <v>465255.0</v>
      </c>
      <c r="H214" s="8">
        <f t="shared" si="1"/>
        <v>-799882.15</v>
      </c>
    </row>
    <row r="215">
      <c r="A215" s="59">
        <v>45974.0</v>
      </c>
      <c r="B215" s="8" t="s">
        <v>692</v>
      </c>
      <c r="C215" s="8" t="s">
        <v>698</v>
      </c>
      <c r="D215" s="59">
        <v>45973.0</v>
      </c>
      <c r="E215" s="8">
        <v>1265137.15</v>
      </c>
      <c r="F215" s="8">
        <v>0.0</v>
      </c>
      <c r="G215" s="8">
        <v>409365.0</v>
      </c>
      <c r="H215" s="8">
        <f t="shared" si="1"/>
        <v>-855772.15</v>
      </c>
    </row>
    <row r="216">
      <c r="A216" s="59">
        <v>45975.0</v>
      </c>
      <c r="B216" s="8" t="s">
        <v>692</v>
      </c>
      <c r="C216" s="8" t="s">
        <v>698</v>
      </c>
      <c r="D216" s="59">
        <v>45974.0</v>
      </c>
      <c r="E216" s="8">
        <v>1265137.15</v>
      </c>
      <c r="F216" s="8">
        <v>0.0</v>
      </c>
      <c r="G216" s="8">
        <v>419895.0</v>
      </c>
      <c r="H216" s="8">
        <f t="shared" si="1"/>
        <v>-845242.15</v>
      </c>
    </row>
    <row r="217">
      <c r="A217" s="59">
        <v>45978.0</v>
      </c>
      <c r="B217" s="8" t="s">
        <v>692</v>
      </c>
      <c r="C217" s="8" t="s">
        <v>698</v>
      </c>
      <c r="D217" s="59">
        <v>45975.0</v>
      </c>
      <c r="E217" s="8">
        <v>1265137.15</v>
      </c>
      <c r="F217" s="8">
        <v>0.0</v>
      </c>
      <c r="G217" s="8">
        <v>417780.0</v>
      </c>
      <c r="H217" s="8">
        <f t="shared" si="1"/>
        <v>-847357.15</v>
      </c>
    </row>
    <row r="218">
      <c r="A218" s="59">
        <v>45979.0</v>
      </c>
      <c r="B218" s="8" t="s">
        <v>692</v>
      </c>
      <c r="C218" s="8" t="s">
        <v>698</v>
      </c>
      <c r="D218" s="59">
        <v>45978.0</v>
      </c>
      <c r="E218" s="8">
        <v>1265137.15</v>
      </c>
      <c r="F218" s="8">
        <v>0.0</v>
      </c>
      <c r="G218" s="8">
        <v>385290.0</v>
      </c>
      <c r="H218" s="8">
        <f t="shared" si="1"/>
        <v>-879847.15</v>
      </c>
    </row>
    <row r="219">
      <c r="A219" s="59">
        <v>45980.0</v>
      </c>
      <c r="B219" s="8" t="s">
        <v>692</v>
      </c>
      <c r="C219" s="8" t="s">
        <v>698</v>
      </c>
      <c r="D219" s="59">
        <v>45979.0</v>
      </c>
      <c r="E219" s="8">
        <v>1265137.15</v>
      </c>
      <c r="F219" s="8">
        <v>0.0</v>
      </c>
      <c r="G219" s="8">
        <v>415170.0</v>
      </c>
      <c r="H219" s="8">
        <f t="shared" si="1"/>
        <v>-849967.15</v>
      </c>
    </row>
    <row r="220">
      <c r="A220" s="59">
        <v>45981.0</v>
      </c>
      <c r="B220" s="8" t="s">
        <v>692</v>
      </c>
      <c r="C220" s="8" t="s">
        <v>698</v>
      </c>
      <c r="D220" s="59">
        <v>45980.0</v>
      </c>
      <c r="E220" s="8">
        <v>1265137.15</v>
      </c>
      <c r="F220" s="8">
        <v>0.0</v>
      </c>
      <c r="G220" s="8">
        <v>386460.0</v>
      </c>
      <c r="H220" s="8">
        <f t="shared" si="1"/>
        <v>-878677.15</v>
      </c>
    </row>
    <row r="221">
      <c r="A221" s="59">
        <v>45982.0</v>
      </c>
      <c r="B221" s="8" t="s">
        <v>692</v>
      </c>
      <c r="C221" s="8" t="s">
        <v>698</v>
      </c>
      <c r="D221" s="59">
        <v>45981.0</v>
      </c>
      <c r="E221" s="8">
        <v>1265137.15</v>
      </c>
      <c r="F221" s="8">
        <v>0.0</v>
      </c>
      <c r="G221" s="8">
        <v>343665.0</v>
      </c>
      <c r="H221" s="8">
        <f t="shared" si="1"/>
        <v>-921472.15</v>
      </c>
    </row>
    <row r="222">
      <c r="A222" s="59">
        <v>45985.0</v>
      </c>
      <c r="B222" s="8" t="s">
        <v>692</v>
      </c>
      <c r="C222" s="8" t="s">
        <v>698</v>
      </c>
      <c r="D222" s="59">
        <v>45982.0</v>
      </c>
      <c r="E222" s="8">
        <v>1265137.15</v>
      </c>
      <c r="F222" s="8">
        <v>0.0</v>
      </c>
      <c r="G222" s="8">
        <v>385020.0</v>
      </c>
      <c r="H222" s="8">
        <f t="shared" si="1"/>
        <v>-880117.15</v>
      </c>
    </row>
    <row r="223">
      <c r="A223" s="59">
        <v>45986.0</v>
      </c>
      <c r="B223" s="8" t="s">
        <v>692</v>
      </c>
      <c r="C223" s="8" t="s">
        <v>698</v>
      </c>
      <c r="D223" s="59">
        <v>45985.0</v>
      </c>
      <c r="E223" s="8">
        <v>1265137.15</v>
      </c>
      <c r="F223" s="8">
        <v>0.0</v>
      </c>
      <c r="G223" s="8">
        <v>400995.0</v>
      </c>
      <c r="H223" s="8">
        <f t="shared" si="1"/>
        <v>-864142.15</v>
      </c>
    </row>
    <row r="224">
      <c r="A224" s="59">
        <v>45987.0</v>
      </c>
      <c r="B224" s="8" t="s">
        <v>692</v>
      </c>
      <c r="C224" s="8" t="s">
        <v>698</v>
      </c>
      <c r="D224" s="59">
        <v>45986.0</v>
      </c>
      <c r="E224" s="8">
        <v>1265137.15</v>
      </c>
      <c r="F224" s="8">
        <v>0.0</v>
      </c>
      <c r="G224" s="8">
        <v>418635.0</v>
      </c>
      <c r="H224" s="8">
        <f t="shared" si="1"/>
        <v>-846502.15</v>
      </c>
    </row>
    <row r="225">
      <c r="A225" s="59">
        <v>45988.0</v>
      </c>
      <c r="B225" s="8" t="s">
        <v>692</v>
      </c>
      <c r="C225" s="8" t="s">
        <v>698</v>
      </c>
      <c r="D225" s="59">
        <v>45987.0</v>
      </c>
      <c r="E225" s="8">
        <v>1265137.15</v>
      </c>
      <c r="F225" s="8">
        <v>0.0</v>
      </c>
      <c r="G225" s="8">
        <v>338355.0</v>
      </c>
      <c r="H225" s="8">
        <f t="shared" si="1"/>
        <v>-926782.15</v>
      </c>
    </row>
    <row r="226">
      <c r="A226" s="59">
        <v>45989.0</v>
      </c>
      <c r="B226" s="8" t="s">
        <v>692</v>
      </c>
      <c r="C226" s="8" t="s">
        <v>698</v>
      </c>
      <c r="D226" s="59">
        <v>45988.0</v>
      </c>
      <c r="E226" s="8">
        <v>1265137.15</v>
      </c>
      <c r="F226" s="8">
        <v>0.0</v>
      </c>
      <c r="G226" s="8">
        <v>322965.0</v>
      </c>
      <c r="H226" s="8">
        <f t="shared" si="1"/>
        <v>-942172.15</v>
      </c>
    </row>
    <row r="227">
      <c r="A227" s="59">
        <v>45992.0</v>
      </c>
      <c r="B227" s="8" t="s">
        <v>692</v>
      </c>
      <c r="C227" s="8" t="s">
        <v>698</v>
      </c>
      <c r="D227" s="59">
        <v>45989.0</v>
      </c>
      <c r="E227" s="8">
        <v>1265137.15</v>
      </c>
      <c r="F227" s="8">
        <v>0.0</v>
      </c>
      <c r="G227" s="8">
        <v>316845.0</v>
      </c>
      <c r="H227" s="8">
        <f t="shared" si="1"/>
        <v>-948292.15</v>
      </c>
    </row>
    <row r="228">
      <c r="A228" s="59">
        <v>45993.0</v>
      </c>
      <c r="B228" s="8" t="s">
        <v>692</v>
      </c>
      <c r="C228" s="8" t="s">
        <v>698</v>
      </c>
      <c r="D228" s="59">
        <v>45992.0</v>
      </c>
      <c r="E228" s="8">
        <v>1265137.15</v>
      </c>
      <c r="F228" s="8">
        <v>0.0</v>
      </c>
      <c r="G228" s="8">
        <v>323955.0</v>
      </c>
      <c r="H228" s="8">
        <f t="shared" si="1"/>
        <v>-941182.15</v>
      </c>
    </row>
    <row r="229">
      <c r="A229" s="59">
        <v>45994.0</v>
      </c>
      <c r="B229" s="8" t="s">
        <v>692</v>
      </c>
      <c r="C229" s="8" t="s">
        <v>698</v>
      </c>
      <c r="D229" s="59">
        <v>45993.0</v>
      </c>
      <c r="E229" s="8">
        <v>1265137.15</v>
      </c>
      <c r="F229" s="8">
        <v>0.0</v>
      </c>
      <c r="G229" s="8">
        <v>343350.0</v>
      </c>
      <c r="H229" s="8">
        <f t="shared" si="1"/>
        <v>-921787.15</v>
      </c>
    </row>
    <row r="230">
      <c r="A230" s="59">
        <v>45995.0</v>
      </c>
      <c r="B230" s="8" t="s">
        <v>692</v>
      </c>
      <c r="C230" s="8" t="s">
        <v>698</v>
      </c>
      <c r="D230" s="59">
        <v>45994.0</v>
      </c>
      <c r="E230" s="8">
        <v>1265137.15</v>
      </c>
      <c r="F230" s="8">
        <v>0.0</v>
      </c>
      <c r="G230" s="8">
        <v>355905.0</v>
      </c>
      <c r="H230" s="8">
        <f t="shared" si="1"/>
        <v>-909232.15</v>
      </c>
    </row>
    <row r="231">
      <c r="A231" s="59">
        <v>45996.0</v>
      </c>
      <c r="B231" s="8" t="s">
        <v>692</v>
      </c>
      <c r="C231" s="8" t="s">
        <v>698</v>
      </c>
      <c r="D231" s="59">
        <v>45995.0</v>
      </c>
      <c r="E231" s="8">
        <v>1265137.15</v>
      </c>
      <c r="F231" s="8">
        <v>0.0</v>
      </c>
      <c r="G231" s="8">
        <v>340245.0</v>
      </c>
      <c r="H231" s="8">
        <f t="shared" si="1"/>
        <v>-924892.15</v>
      </c>
    </row>
    <row r="232">
      <c r="A232" s="59">
        <v>45999.0</v>
      </c>
      <c r="B232" s="8" t="s">
        <v>692</v>
      </c>
      <c r="C232" s="8" t="s">
        <v>698</v>
      </c>
      <c r="D232" s="59">
        <v>45996.0</v>
      </c>
      <c r="E232" s="8">
        <v>1265137.15</v>
      </c>
      <c r="F232" s="8">
        <v>0.0</v>
      </c>
      <c r="G232" s="8">
        <v>293400.0</v>
      </c>
      <c r="H232" s="8">
        <f t="shared" si="1"/>
        <v>-971737.15</v>
      </c>
    </row>
    <row r="233">
      <c r="A233" s="59">
        <v>46000.0</v>
      </c>
      <c r="B233" s="8" t="s">
        <v>692</v>
      </c>
      <c r="C233" s="8" t="s">
        <v>698</v>
      </c>
      <c r="D233" s="59">
        <v>45999.0</v>
      </c>
      <c r="E233" s="8">
        <v>1265137.15</v>
      </c>
      <c r="F233" s="8">
        <v>0.0</v>
      </c>
      <c r="G233" s="8">
        <v>362250.0</v>
      </c>
      <c r="H233" s="8">
        <f t="shared" si="1"/>
        <v>-902887.15</v>
      </c>
    </row>
    <row r="234">
      <c r="A234" s="59">
        <v>46001.0</v>
      </c>
      <c r="B234" s="8" t="s">
        <v>692</v>
      </c>
      <c r="C234" s="8" t="s">
        <v>698</v>
      </c>
      <c r="D234" s="59">
        <v>46000.0</v>
      </c>
      <c r="E234" s="8">
        <v>1265137.15</v>
      </c>
      <c r="F234" s="8">
        <v>0.0</v>
      </c>
      <c r="G234" s="8">
        <v>380295.0</v>
      </c>
      <c r="H234" s="8">
        <f t="shared" si="1"/>
        <v>-884842.15</v>
      </c>
    </row>
    <row r="235">
      <c r="A235" s="59">
        <v>46002.0</v>
      </c>
      <c r="B235" s="8" t="s">
        <v>692</v>
      </c>
      <c r="C235" s="8" t="s">
        <v>698</v>
      </c>
      <c r="D235" s="59">
        <v>46001.0</v>
      </c>
      <c r="E235" s="8">
        <v>1265137.15</v>
      </c>
      <c r="F235" s="8">
        <v>0.0</v>
      </c>
      <c r="G235" s="8">
        <v>407790.0</v>
      </c>
      <c r="H235" s="8">
        <f t="shared" si="1"/>
        <v>-857347.15</v>
      </c>
    </row>
    <row r="236">
      <c r="A236" s="59">
        <v>46003.0</v>
      </c>
      <c r="B236" s="8" t="s">
        <v>692</v>
      </c>
      <c r="C236" s="8" t="s">
        <v>698</v>
      </c>
      <c r="D236" s="59">
        <v>46002.0</v>
      </c>
      <c r="E236" s="8">
        <v>1265137.15</v>
      </c>
      <c r="F236" s="8">
        <v>0.0</v>
      </c>
      <c r="G236" s="8">
        <v>358470.0</v>
      </c>
      <c r="H236" s="8">
        <f t="shared" si="1"/>
        <v>-906667.15</v>
      </c>
    </row>
    <row r="237">
      <c r="A237" s="59">
        <v>46006.0</v>
      </c>
      <c r="B237" s="8" t="s">
        <v>692</v>
      </c>
      <c r="C237" s="8" t="s">
        <v>698</v>
      </c>
      <c r="D237" s="59">
        <v>46003.0</v>
      </c>
      <c r="E237" s="8">
        <v>1265137.15</v>
      </c>
      <c r="F237" s="8">
        <v>0.0</v>
      </c>
      <c r="G237" s="8">
        <v>312615.0</v>
      </c>
      <c r="H237" s="8">
        <f t="shared" si="1"/>
        <v>-952522.15</v>
      </c>
    </row>
    <row r="238">
      <c r="A238" s="59">
        <v>46007.0</v>
      </c>
      <c r="B238" s="8" t="s">
        <v>692</v>
      </c>
      <c r="C238" s="8" t="s">
        <v>698</v>
      </c>
      <c r="D238" s="59">
        <v>46006.0</v>
      </c>
      <c r="E238" s="8">
        <v>1265137.15</v>
      </c>
      <c r="F238" s="8">
        <v>0.0</v>
      </c>
      <c r="G238" s="8">
        <v>316980.0</v>
      </c>
      <c r="H238" s="8">
        <f t="shared" si="1"/>
        <v>-948157.15</v>
      </c>
    </row>
    <row r="239">
      <c r="A239" s="59">
        <v>46008.0</v>
      </c>
      <c r="B239" s="8" t="s">
        <v>692</v>
      </c>
      <c r="C239" s="8" t="s">
        <v>698</v>
      </c>
      <c r="D239" s="59">
        <v>46007.0</v>
      </c>
      <c r="E239" s="8">
        <v>1265137.15</v>
      </c>
      <c r="F239" s="8">
        <v>0.0</v>
      </c>
      <c r="G239" s="8">
        <v>357930.0</v>
      </c>
      <c r="H239" s="8">
        <f t="shared" si="1"/>
        <v>-907207.15</v>
      </c>
    </row>
    <row r="240">
      <c r="A240" s="59">
        <v>46009.0</v>
      </c>
      <c r="B240" s="8" t="s">
        <v>692</v>
      </c>
      <c r="C240" s="8" t="s">
        <v>698</v>
      </c>
      <c r="D240" s="59">
        <v>46008.0</v>
      </c>
      <c r="E240" s="8">
        <v>1265137.15</v>
      </c>
      <c r="F240" s="8">
        <v>0.0</v>
      </c>
      <c r="G240" s="8">
        <v>363600.0</v>
      </c>
      <c r="H240" s="8">
        <f t="shared" si="1"/>
        <v>-901537.15</v>
      </c>
    </row>
    <row r="241">
      <c r="A241" s="59">
        <v>46010.0</v>
      </c>
      <c r="B241" s="8" t="s">
        <v>692</v>
      </c>
      <c r="C241" s="8" t="s">
        <v>698</v>
      </c>
      <c r="D241" s="59">
        <v>46009.0</v>
      </c>
      <c r="E241" s="8">
        <v>1265137.15</v>
      </c>
      <c r="F241" s="8">
        <v>0.0</v>
      </c>
      <c r="G241" s="8">
        <v>354465.0</v>
      </c>
      <c r="H241" s="8">
        <f t="shared" si="1"/>
        <v>-910672.15</v>
      </c>
    </row>
    <row r="242">
      <c r="A242" s="59">
        <v>46013.0</v>
      </c>
      <c r="B242" s="8" t="s">
        <v>692</v>
      </c>
      <c r="C242" s="8" t="s">
        <v>698</v>
      </c>
      <c r="D242" s="59">
        <v>46010.0</v>
      </c>
      <c r="E242" s="8">
        <v>1265137.15</v>
      </c>
      <c r="F242" s="8">
        <v>0.0</v>
      </c>
      <c r="G242" s="8">
        <v>311400.0</v>
      </c>
      <c r="H242" s="8">
        <f t="shared" si="1"/>
        <v>-953737.15</v>
      </c>
    </row>
    <row r="243">
      <c r="A243" s="59">
        <v>46014.0</v>
      </c>
      <c r="B243" s="8" t="s">
        <v>692</v>
      </c>
      <c r="C243" s="8" t="s">
        <v>698</v>
      </c>
      <c r="D243" s="59">
        <v>46013.0</v>
      </c>
      <c r="E243" s="8">
        <v>1265137.15</v>
      </c>
      <c r="F243" s="8">
        <v>0.0</v>
      </c>
      <c r="G243" s="8">
        <v>257400.0</v>
      </c>
      <c r="H243" s="8">
        <f t="shared" si="1"/>
        <v>-1007737.15</v>
      </c>
    </row>
    <row r="244">
      <c r="A244" s="59">
        <v>46015.0</v>
      </c>
      <c r="B244" s="8" t="s">
        <v>692</v>
      </c>
      <c r="C244" s="8" t="s">
        <v>698</v>
      </c>
      <c r="D244" s="59">
        <v>46014.0</v>
      </c>
      <c r="E244" s="8">
        <v>1265137.15</v>
      </c>
      <c r="F244" s="8">
        <v>0.0</v>
      </c>
      <c r="G244" s="8">
        <v>250785.0</v>
      </c>
      <c r="H244" s="8">
        <f t="shared" si="1"/>
        <v>-1014352.15</v>
      </c>
    </row>
    <row r="245">
      <c r="A245" s="59">
        <v>46017.0</v>
      </c>
      <c r="B245" s="8" t="s">
        <v>692</v>
      </c>
      <c r="C245" s="8" t="s">
        <v>698</v>
      </c>
      <c r="D245" s="59">
        <v>46015.0</v>
      </c>
      <c r="E245" s="8">
        <v>1265137.15</v>
      </c>
      <c r="F245" s="8">
        <v>0.0</v>
      </c>
      <c r="G245" s="8">
        <v>254250.0</v>
      </c>
      <c r="H245" s="8">
        <f t="shared" si="1"/>
        <v>-1010887.15</v>
      </c>
    </row>
    <row r="246">
      <c r="A246" s="59">
        <v>46020.0</v>
      </c>
      <c r="B246" s="8" t="s">
        <v>692</v>
      </c>
      <c r="C246" s="8" t="s">
        <v>698</v>
      </c>
      <c r="D246" s="59">
        <v>46017.0</v>
      </c>
      <c r="E246" s="8">
        <v>1265137.15</v>
      </c>
      <c r="F246" s="8">
        <v>0.0</v>
      </c>
      <c r="G246" s="8">
        <v>281250.0</v>
      </c>
      <c r="H246" s="8">
        <f t="shared" si="1"/>
        <v>-983887.15</v>
      </c>
    </row>
    <row r="247">
      <c r="A247" s="59">
        <v>46021.0</v>
      </c>
      <c r="B247" s="8" t="s">
        <v>692</v>
      </c>
      <c r="C247" s="8" t="s">
        <v>698</v>
      </c>
      <c r="D247" s="59">
        <v>46020.0</v>
      </c>
      <c r="E247" s="8">
        <v>1265137.15</v>
      </c>
      <c r="F247" s="8">
        <v>0.0</v>
      </c>
      <c r="G247" s="8">
        <v>318555.0</v>
      </c>
      <c r="H247" s="8">
        <f t="shared" si="1"/>
        <v>-946582.15</v>
      </c>
    </row>
    <row r="248">
      <c r="A248" s="59">
        <v>46022.0</v>
      </c>
      <c r="B248" s="8" t="s">
        <v>692</v>
      </c>
      <c r="C248" s="8" t="s">
        <v>698</v>
      </c>
      <c r="D248" s="59">
        <v>46021.0</v>
      </c>
      <c r="E248" s="8">
        <v>1265137.15</v>
      </c>
      <c r="F248" s="8">
        <v>0.0</v>
      </c>
      <c r="G248" s="8">
        <v>310725.0</v>
      </c>
      <c r="H248" s="8">
        <f t="shared" si="1"/>
        <v>-954412.15</v>
      </c>
    </row>
    <row r="249">
      <c r="A249" s="59">
        <v>46023.0</v>
      </c>
      <c r="B249" s="8" t="s">
        <v>692</v>
      </c>
      <c r="C249" s="8" t="s">
        <v>698</v>
      </c>
      <c r="D249" s="59">
        <v>46022.0</v>
      </c>
      <c r="E249" s="8">
        <v>1265137.15</v>
      </c>
      <c r="F249" s="8">
        <v>0.0</v>
      </c>
      <c r="G249" s="8">
        <v>255240.0</v>
      </c>
      <c r="H249" s="8">
        <f t="shared" si="1"/>
        <v>-1009897.15</v>
      </c>
    </row>
    <row r="250">
      <c r="A250" s="59">
        <v>46024.0</v>
      </c>
      <c r="B250" s="8" t="s">
        <v>692</v>
      </c>
      <c r="C250" s="8" t="s">
        <v>698</v>
      </c>
      <c r="D250" s="59">
        <v>46023.0</v>
      </c>
      <c r="E250" s="8">
        <v>1265137.15</v>
      </c>
      <c r="F250" s="8">
        <v>0.0</v>
      </c>
      <c r="G250" s="8">
        <v>249390.0</v>
      </c>
      <c r="H250" s="8">
        <f t="shared" si="1"/>
        <v>-1015747.15</v>
      </c>
    </row>
    <row r="251">
      <c r="A251" s="59">
        <v>46027.0</v>
      </c>
      <c r="B251" s="8" t="s">
        <v>692</v>
      </c>
      <c r="C251" s="8" t="s">
        <v>698</v>
      </c>
      <c r="D251" s="59">
        <v>46024.0</v>
      </c>
      <c r="E251" s="8">
        <v>1265137.15</v>
      </c>
      <c r="F251" s="8">
        <v>0.0</v>
      </c>
      <c r="G251" s="8">
        <v>219870.0</v>
      </c>
      <c r="H251" s="8">
        <f t="shared" si="1"/>
        <v>-1045267.15</v>
      </c>
    </row>
    <row r="252">
      <c r="A252" s="59">
        <v>46028.0</v>
      </c>
      <c r="B252" s="8" t="s">
        <v>692</v>
      </c>
      <c r="C252" s="8" t="s">
        <v>698</v>
      </c>
      <c r="D252" s="59">
        <v>46027.0</v>
      </c>
      <c r="E252" s="8">
        <v>1265137.15</v>
      </c>
      <c r="F252" s="8">
        <v>0.0</v>
      </c>
      <c r="G252" s="8">
        <v>242010.0</v>
      </c>
      <c r="H252" s="8">
        <f t="shared" si="1"/>
        <v>-1023127.15</v>
      </c>
    </row>
    <row r="253">
      <c r="A253" s="59">
        <v>46029.0</v>
      </c>
      <c r="B253" s="8" t="s">
        <v>692</v>
      </c>
      <c r="C253" s="8" t="s">
        <v>698</v>
      </c>
      <c r="D253" s="59">
        <v>46028.0</v>
      </c>
      <c r="E253" s="8">
        <v>1265137.15</v>
      </c>
      <c r="F253" s="8">
        <v>0.0</v>
      </c>
      <c r="G253" s="8">
        <v>254790.0</v>
      </c>
      <c r="H253" s="8">
        <f t="shared" si="1"/>
        <v>-1010347.15</v>
      </c>
    </row>
    <row r="254">
      <c r="A254" s="59">
        <v>46030.0</v>
      </c>
      <c r="B254" s="8" t="s">
        <v>692</v>
      </c>
      <c r="C254" s="8" t="s">
        <v>698</v>
      </c>
      <c r="D254" s="59">
        <v>46029.0</v>
      </c>
      <c r="E254" s="8">
        <v>1265137.15</v>
      </c>
      <c r="F254" s="8">
        <v>0.0</v>
      </c>
      <c r="G254" s="8">
        <v>259695.0</v>
      </c>
      <c r="H254" s="8">
        <f t="shared" si="1"/>
        <v>-1005442.15</v>
      </c>
    </row>
    <row r="255">
      <c r="A255" s="59">
        <v>46031.0</v>
      </c>
      <c r="B255" s="8" t="s">
        <v>692</v>
      </c>
      <c r="C255" s="8" t="s">
        <v>698</v>
      </c>
      <c r="D255" s="59">
        <v>46030.0</v>
      </c>
      <c r="E255" s="8">
        <v>1265137.15</v>
      </c>
      <c r="F255" s="8">
        <v>0.0</v>
      </c>
      <c r="G255" s="8">
        <v>337095.0</v>
      </c>
      <c r="H255" s="8">
        <f t="shared" si="1"/>
        <v>-928042.15</v>
      </c>
    </row>
    <row r="256">
      <c r="A256" s="59">
        <v>46034.0</v>
      </c>
      <c r="B256" s="8" t="s">
        <v>692</v>
      </c>
      <c r="C256" s="8" t="s">
        <v>698</v>
      </c>
      <c r="D256" s="59">
        <v>46031.0</v>
      </c>
      <c r="E256" s="8">
        <v>1265137.15</v>
      </c>
      <c r="F256" s="8">
        <v>0.0</v>
      </c>
      <c r="G256" s="8">
        <v>404955.0</v>
      </c>
      <c r="H256" s="8">
        <f t="shared" si="1"/>
        <v>-860182.15</v>
      </c>
    </row>
    <row r="257">
      <c r="A257" s="59">
        <v>46035.0</v>
      </c>
      <c r="B257" s="8" t="s">
        <v>692</v>
      </c>
      <c r="C257" s="8" t="s">
        <v>698</v>
      </c>
      <c r="D257" s="59">
        <v>46034.0</v>
      </c>
      <c r="E257" s="8">
        <v>1265137.15</v>
      </c>
      <c r="F257" s="8">
        <v>0.0</v>
      </c>
      <c r="G257" s="8">
        <v>370080.0</v>
      </c>
      <c r="H257" s="8">
        <f t="shared" si="1"/>
        <v>-895057.15</v>
      </c>
    </row>
    <row r="258">
      <c r="A258" s="59">
        <v>46036.0</v>
      </c>
      <c r="B258" s="8" t="s">
        <v>692</v>
      </c>
      <c r="C258" s="8" t="s">
        <v>698</v>
      </c>
      <c r="D258" s="59">
        <v>46035.0</v>
      </c>
      <c r="E258" s="8">
        <v>1265137.15</v>
      </c>
      <c r="F258" s="8">
        <v>0.0</v>
      </c>
      <c r="G258" s="8">
        <v>393075.0</v>
      </c>
      <c r="H258" s="8">
        <f t="shared" si="1"/>
        <v>-872062.15</v>
      </c>
    </row>
    <row r="259">
      <c r="A259" s="59">
        <v>46038.0</v>
      </c>
      <c r="B259" s="8" t="s">
        <v>692</v>
      </c>
      <c r="C259" s="8" t="s">
        <v>698</v>
      </c>
      <c r="D259" s="59">
        <v>46036.0</v>
      </c>
      <c r="E259" s="8">
        <v>1265137.15</v>
      </c>
      <c r="F259" s="8">
        <v>0.0</v>
      </c>
      <c r="G259" s="8">
        <v>419580.0</v>
      </c>
      <c r="H259" s="8">
        <f t="shared" si="1"/>
        <v>-845557.15</v>
      </c>
    </row>
    <row r="260">
      <c r="A260" s="59">
        <v>46041.0</v>
      </c>
      <c r="B260" s="8" t="s">
        <v>692</v>
      </c>
      <c r="C260" s="8" t="s">
        <v>698</v>
      </c>
      <c r="D260" s="59">
        <v>46038.0</v>
      </c>
      <c r="E260" s="8">
        <v>1265137.15</v>
      </c>
      <c r="F260" s="8">
        <v>0.0</v>
      </c>
      <c r="G260" s="8">
        <v>400815.0</v>
      </c>
      <c r="H260" s="8">
        <f t="shared" si="1"/>
        <v>-864322.15</v>
      </c>
    </row>
    <row r="261">
      <c r="A261" s="59">
        <v>46042.0</v>
      </c>
      <c r="B261" s="8" t="s">
        <v>692</v>
      </c>
      <c r="C261" s="8" t="s">
        <v>698</v>
      </c>
      <c r="D261" s="59">
        <v>46041.0</v>
      </c>
      <c r="E261" s="8">
        <v>1265137.15</v>
      </c>
      <c r="F261" s="8">
        <v>0.0</v>
      </c>
      <c r="G261" s="8">
        <v>464130.0</v>
      </c>
      <c r="H261" s="8">
        <f t="shared" si="1"/>
        <v>-801007.15</v>
      </c>
    </row>
    <row r="262">
      <c r="A262" s="59">
        <v>46043.0</v>
      </c>
      <c r="B262" s="8" t="s">
        <v>692</v>
      </c>
      <c r="C262" s="8" t="s">
        <v>698</v>
      </c>
      <c r="D262" s="59">
        <v>46042.0</v>
      </c>
      <c r="E262" s="8">
        <v>1265137.15</v>
      </c>
      <c r="F262" s="8">
        <v>0.0</v>
      </c>
      <c r="G262" s="8">
        <v>650520.0</v>
      </c>
      <c r="H262" s="8">
        <f t="shared" si="1"/>
        <v>-614617.15</v>
      </c>
    </row>
    <row r="263">
      <c r="A263" s="59">
        <v>46044.0</v>
      </c>
      <c r="B263" s="8" t="s">
        <v>692</v>
      </c>
      <c r="C263" s="8" t="s">
        <v>698</v>
      </c>
      <c r="D263" s="59">
        <v>46043.0</v>
      </c>
      <c r="E263" s="8">
        <v>1265137.15</v>
      </c>
      <c r="F263" s="8">
        <v>0.0</v>
      </c>
      <c r="G263" s="8">
        <v>715275.0</v>
      </c>
      <c r="H263" s="8">
        <f t="shared" si="1"/>
        <v>-549862.15</v>
      </c>
    </row>
    <row r="264">
      <c r="A264" s="59">
        <v>46045.0</v>
      </c>
      <c r="B264" s="8" t="s">
        <v>692</v>
      </c>
      <c r="C264" s="8" t="s">
        <v>698</v>
      </c>
      <c r="D264" s="59">
        <v>46044.0</v>
      </c>
      <c r="E264" s="8">
        <v>1265137.15</v>
      </c>
      <c r="F264" s="8">
        <v>0.0</v>
      </c>
      <c r="G264" s="8">
        <v>603810.0</v>
      </c>
      <c r="H264" s="8">
        <f t="shared" si="1"/>
        <v>-661327.15</v>
      </c>
    </row>
    <row r="265">
      <c r="A265" s="59">
        <v>46049.0</v>
      </c>
      <c r="B265" s="8" t="s">
        <v>692</v>
      </c>
      <c r="C265" s="8" t="s">
        <v>698</v>
      </c>
      <c r="D265" s="59">
        <v>46045.0</v>
      </c>
      <c r="E265" s="8">
        <v>1265137.15</v>
      </c>
      <c r="F265" s="8">
        <v>0.0</v>
      </c>
      <c r="G265" s="8">
        <v>770310.0</v>
      </c>
      <c r="H265" s="8">
        <f t="shared" si="1"/>
        <v>-494827.15</v>
      </c>
    </row>
    <row r="266">
      <c r="A266" s="59">
        <v>46050.0</v>
      </c>
      <c r="B266" s="8" t="s">
        <v>692</v>
      </c>
      <c r="C266" s="8" t="s">
        <v>698</v>
      </c>
      <c r="D266" s="59">
        <v>46049.0</v>
      </c>
      <c r="E266" s="8">
        <v>1265137.15</v>
      </c>
      <c r="F266" s="8">
        <v>0.0</v>
      </c>
      <c r="G266" s="8">
        <v>669960.0</v>
      </c>
      <c r="H266" s="8">
        <f t="shared" si="1"/>
        <v>-595177.15</v>
      </c>
    </row>
    <row r="267">
      <c r="A267" s="59">
        <v>46051.0</v>
      </c>
      <c r="B267" s="8" t="s">
        <v>692</v>
      </c>
      <c r="C267" s="8" t="s">
        <v>698</v>
      </c>
      <c r="D267" s="59">
        <v>46050.0</v>
      </c>
      <c r="E267" s="8">
        <v>1265137.15</v>
      </c>
      <c r="F267" s="8">
        <v>0.0</v>
      </c>
      <c r="G267" s="8">
        <v>608670.0</v>
      </c>
      <c r="H267" s="8">
        <f t="shared" si="1"/>
        <v>-656467.15</v>
      </c>
    </row>
    <row r="268">
      <c r="A268" s="59">
        <v>46052.0</v>
      </c>
      <c r="B268" s="8" t="s">
        <v>692</v>
      </c>
      <c r="C268" s="8" t="s">
        <v>698</v>
      </c>
      <c r="D268" s="59">
        <v>46051.0</v>
      </c>
      <c r="E268" s="8">
        <v>1265137.15</v>
      </c>
      <c r="F268" s="8">
        <v>0.0</v>
      </c>
      <c r="G268" s="8">
        <v>559305.0</v>
      </c>
      <c r="H268" s="8">
        <f t="shared" si="1"/>
        <v>-705832.15</v>
      </c>
    </row>
    <row r="269">
      <c r="A269" s="59">
        <v>46055.0</v>
      </c>
      <c r="B269" s="8" t="s">
        <v>692</v>
      </c>
      <c r="C269" s="8" t="s">
        <v>698</v>
      </c>
      <c r="D269" s="59">
        <v>46052.0</v>
      </c>
      <c r="E269" s="8">
        <v>1265137.15</v>
      </c>
      <c r="F269" s="8">
        <v>0.0</v>
      </c>
      <c r="G269" s="8">
        <v>619290.0</v>
      </c>
      <c r="H269" s="8">
        <f t="shared" si="1"/>
        <v>-645847.15</v>
      </c>
    </row>
    <row r="270">
      <c r="A270" s="59">
        <v>46055.0</v>
      </c>
      <c r="B270" s="8" t="s">
        <v>692</v>
      </c>
      <c r="C270" s="8" t="s">
        <v>698</v>
      </c>
      <c r="D270" s="59">
        <v>46054.0</v>
      </c>
      <c r="E270" s="8">
        <v>1265137.15</v>
      </c>
      <c r="F270" s="8">
        <v>0.0</v>
      </c>
      <c r="G270" s="8">
        <v>982215.0</v>
      </c>
      <c r="H270" s="8">
        <f t="shared" si="1"/>
        <v>-282922.15</v>
      </c>
    </row>
    <row r="271">
      <c r="A271" s="59">
        <v>46056.0</v>
      </c>
      <c r="B271" s="8" t="s">
        <v>692</v>
      </c>
      <c r="C271" s="8" t="s">
        <v>698</v>
      </c>
      <c r="D271" s="59">
        <v>46055.0</v>
      </c>
      <c r="E271" s="8">
        <v>1265137.15</v>
      </c>
      <c r="F271" s="8">
        <v>0.0</v>
      </c>
      <c r="G271" s="8">
        <v>788625.0</v>
      </c>
      <c r="H271" s="8">
        <f t="shared" si="1"/>
        <v>-476512.15</v>
      </c>
    </row>
    <row r="272">
      <c r="A272" s="59">
        <v>46057.0</v>
      </c>
      <c r="B272" s="8" t="s">
        <v>692</v>
      </c>
      <c r="C272" s="8" t="s">
        <v>698</v>
      </c>
      <c r="D272" s="59">
        <v>46056.0</v>
      </c>
      <c r="E272" s="8">
        <v>1265137.15</v>
      </c>
      <c r="F272" s="8">
        <v>0.0</v>
      </c>
      <c r="G272" s="8">
        <v>413685.0</v>
      </c>
      <c r="H272" s="8">
        <f t="shared" si="1"/>
        <v>-851452.15</v>
      </c>
    </row>
    <row r="273">
      <c r="A273" s="59">
        <v>46058.0</v>
      </c>
      <c r="B273" s="8" t="s">
        <v>692</v>
      </c>
      <c r="C273" s="8" t="s">
        <v>698</v>
      </c>
      <c r="D273" s="59">
        <v>46057.0</v>
      </c>
      <c r="E273" s="8">
        <v>1265137.15</v>
      </c>
      <c r="F273" s="8">
        <v>0.0</v>
      </c>
      <c r="G273" s="8">
        <v>382455.0</v>
      </c>
      <c r="H273" s="8">
        <f t="shared" si="1"/>
        <v>-882682.15</v>
      </c>
    </row>
    <row r="274">
      <c r="A274" s="59">
        <v>46059.0</v>
      </c>
      <c r="B274" s="8" t="s">
        <v>692</v>
      </c>
      <c r="C274" s="8" t="s">
        <v>698</v>
      </c>
      <c r="D274" s="59">
        <v>46058.0</v>
      </c>
      <c r="E274" s="8">
        <v>1265137.15</v>
      </c>
      <c r="F274" s="8">
        <v>0.0</v>
      </c>
      <c r="G274" s="8">
        <v>428265.0</v>
      </c>
      <c r="H274" s="8">
        <f t="shared" si="1"/>
        <v>-836872.15</v>
      </c>
    </row>
    <row r="275">
      <c r="A275" s="59">
        <v>46062.0</v>
      </c>
      <c r="B275" s="8" t="s">
        <v>692</v>
      </c>
      <c r="C275" s="8" t="s">
        <v>698</v>
      </c>
      <c r="D275" s="59">
        <v>46059.0</v>
      </c>
      <c r="E275" s="8">
        <v>1265137.15</v>
      </c>
      <c r="F275" s="8">
        <v>0.0</v>
      </c>
      <c r="G275" s="8">
        <v>415980.0</v>
      </c>
      <c r="H275" s="8">
        <f t="shared" si="1"/>
        <v>-849157.15</v>
      </c>
    </row>
    <row r="276">
      <c r="A276" s="59">
        <v>46063.0</v>
      </c>
      <c r="B276" s="8" t="s">
        <v>692</v>
      </c>
      <c r="C276" s="8" t="s">
        <v>698</v>
      </c>
      <c r="D276" s="59">
        <v>46062.0</v>
      </c>
      <c r="E276" s="8">
        <v>1265137.15</v>
      </c>
      <c r="F276" s="8">
        <v>0.0</v>
      </c>
      <c r="G276" s="8">
        <v>329175.0</v>
      </c>
      <c r="H276" s="8">
        <f t="shared" si="1"/>
        <v>-935962.15</v>
      </c>
    </row>
    <row r="277">
      <c r="A277" s="59">
        <v>46064.0</v>
      </c>
      <c r="B277" s="8" t="s">
        <v>692</v>
      </c>
      <c r="C277" s="8" t="s">
        <v>698</v>
      </c>
      <c r="D277" s="59">
        <v>46063.0</v>
      </c>
      <c r="E277" s="8">
        <v>1265137.15</v>
      </c>
      <c r="F277" s="8">
        <v>0.0</v>
      </c>
      <c r="G277" s="8">
        <v>289530.0</v>
      </c>
      <c r="H277" s="8">
        <f t="shared" si="1"/>
        <v>-975607.15</v>
      </c>
    </row>
    <row r="278">
      <c r="A278" s="59">
        <v>46065.0</v>
      </c>
      <c r="B278" s="8" t="s">
        <v>692</v>
      </c>
      <c r="C278" s="8" t="s">
        <v>698</v>
      </c>
      <c r="D278" s="59">
        <v>46064.0</v>
      </c>
      <c r="E278" s="8">
        <v>1265137.15</v>
      </c>
      <c r="F278" s="8">
        <v>0.0</v>
      </c>
      <c r="G278" s="8">
        <v>274410.0</v>
      </c>
      <c r="H278" s="8">
        <f t="shared" si="1"/>
        <v>-990727.15</v>
      </c>
    </row>
    <row r="279">
      <c r="A279" s="59">
        <v>46066.0</v>
      </c>
      <c r="B279" s="8" t="s">
        <v>692</v>
      </c>
      <c r="C279" s="8" t="s">
        <v>698</v>
      </c>
      <c r="D279" s="59">
        <v>46065.0</v>
      </c>
      <c r="E279" s="8">
        <v>1265137.15</v>
      </c>
      <c r="F279" s="8">
        <v>0.0</v>
      </c>
      <c r="G279" s="8">
        <v>325530.0</v>
      </c>
      <c r="H279" s="8">
        <f t="shared" si="1"/>
        <v>-939607.15</v>
      </c>
    </row>
    <row r="280">
      <c r="A280" s="59">
        <v>46069.0</v>
      </c>
      <c r="B280" s="8" t="s">
        <v>692</v>
      </c>
      <c r="C280" s="8" t="s">
        <v>698</v>
      </c>
      <c r="D280" s="59">
        <v>46066.0</v>
      </c>
      <c r="E280" s="8">
        <v>1265137.15</v>
      </c>
      <c r="F280" s="8">
        <v>0.0</v>
      </c>
      <c r="G280" s="8">
        <v>498015.0</v>
      </c>
      <c r="H280" s="8">
        <f t="shared" si="1"/>
        <v>-767122.15</v>
      </c>
    </row>
    <row r="281">
      <c r="A281" s="59">
        <v>46070.0</v>
      </c>
      <c r="B281" s="8" t="s">
        <v>692</v>
      </c>
      <c r="C281" s="8" t="s">
        <v>698</v>
      </c>
      <c r="D281" s="59">
        <v>46069.0</v>
      </c>
      <c r="E281" s="8">
        <v>1265137.15</v>
      </c>
      <c r="F281" s="8">
        <v>0.0</v>
      </c>
      <c r="G281" s="8">
        <v>394335.0</v>
      </c>
      <c r="H281" s="8">
        <f t="shared" si="1"/>
        <v>-870802.15</v>
      </c>
    </row>
    <row r="282">
      <c r="A282" s="59">
        <v>46071.0</v>
      </c>
      <c r="B282" s="8" t="s">
        <v>692</v>
      </c>
      <c r="C282" s="8" t="s">
        <v>698</v>
      </c>
      <c r="D282" s="59">
        <v>46070.0</v>
      </c>
      <c r="E282" s="8">
        <v>1265137.15</v>
      </c>
      <c r="F282" s="8">
        <v>0.0</v>
      </c>
      <c r="G282" s="8">
        <v>377595.0</v>
      </c>
      <c r="H282" s="8">
        <f t="shared" si="1"/>
        <v>-887542.15</v>
      </c>
    </row>
    <row r="283">
      <c r="A283" s="59">
        <v>46072.0</v>
      </c>
      <c r="B283" s="8" t="s">
        <v>692</v>
      </c>
      <c r="C283" s="8" t="s">
        <v>698</v>
      </c>
      <c r="D283" s="59">
        <v>46071.0</v>
      </c>
      <c r="E283" s="8">
        <v>1265137.15</v>
      </c>
      <c r="F283" s="8">
        <v>0.0</v>
      </c>
      <c r="G283" s="8">
        <v>321795.0</v>
      </c>
      <c r="H283" s="8">
        <f t="shared" si="1"/>
        <v>-943342.15</v>
      </c>
    </row>
    <row r="284">
      <c r="A284" s="59">
        <v>46073.0</v>
      </c>
      <c r="B284" s="8" t="s">
        <v>692</v>
      </c>
      <c r="C284" s="8" t="s">
        <v>698</v>
      </c>
      <c r="D284" s="59">
        <v>46072.0</v>
      </c>
      <c r="E284" s="8">
        <v>1265137.15</v>
      </c>
      <c r="F284" s="8">
        <v>0.0</v>
      </c>
      <c r="G284" s="8">
        <v>531630.0</v>
      </c>
      <c r="H284" s="8">
        <f t="shared" si="1"/>
        <v>-733507.15</v>
      </c>
    </row>
    <row r="285">
      <c r="A285" s="59">
        <v>46076.0</v>
      </c>
      <c r="B285" s="8" t="s">
        <v>692</v>
      </c>
      <c r="C285" s="8" t="s">
        <v>698</v>
      </c>
      <c r="D285" s="59">
        <v>46073.0</v>
      </c>
      <c r="E285" s="8">
        <v>1265137.15</v>
      </c>
      <c r="F285" s="8">
        <v>0.0</v>
      </c>
      <c r="G285" s="8">
        <v>450900.0</v>
      </c>
      <c r="H285" s="8">
        <f t="shared" si="1"/>
        <v>-814237.15</v>
      </c>
    </row>
    <row r="286">
      <c r="A286" s="59">
        <v>46077.0</v>
      </c>
      <c r="B286" s="8" t="s">
        <v>692</v>
      </c>
      <c r="C286" s="8" t="s">
        <v>698</v>
      </c>
      <c r="D286" s="59">
        <v>46076.0</v>
      </c>
      <c r="E286" s="8">
        <v>1265137.15</v>
      </c>
      <c r="F286" s="8">
        <v>0.0</v>
      </c>
      <c r="G286" s="8">
        <v>388395.0</v>
      </c>
      <c r="H286" s="8">
        <f t="shared" si="1"/>
        <v>-876742.15</v>
      </c>
    </row>
    <row r="287">
      <c r="A287" s="59">
        <v>46078.0</v>
      </c>
      <c r="B287" s="8" t="s">
        <v>692</v>
      </c>
      <c r="C287" s="8" t="s">
        <v>698</v>
      </c>
      <c r="D287" s="59">
        <v>46077.0</v>
      </c>
      <c r="E287" s="8">
        <v>1265137.15</v>
      </c>
      <c r="F287" s="8">
        <v>0.0</v>
      </c>
      <c r="G287" s="8">
        <v>529875.0</v>
      </c>
      <c r="H287" s="8">
        <f t="shared" si="1"/>
        <v>-735262.15</v>
      </c>
    </row>
    <row r="288">
      <c r="A288" s="59">
        <v>46079.0</v>
      </c>
      <c r="B288" s="8" t="s">
        <v>692</v>
      </c>
      <c r="C288" s="8" t="s">
        <v>698</v>
      </c>
      <c r="D288" s="59">
        <v>46078.0</v>
      </c>
      <c r="E288" s="8">
        <v>1265137.15</v>
      </c>
      <c r="F288" s="8">
        <v>0.0</v>
      </c>
      <c r="G288" s="8">
        <v>492705.0</v>
      </c>
      <c r="H288" s="8">
        <f t="shared" si="1"/>
        <v>-772432.15</v>
      </c>
    </row>
    <row r="289">
      <c r="A289" s="59">
        <v>46080.0</v>
      </c>
      <c r="B289" s="8" t="s">
        <v>692</v>
      </c>
      <c r="C289" s="8" t="s">
        <v>698</v>
      </c>
      <c r="D289" s="59">
        <v>46079.0</v>
      </c>
      <c r="E289" s="8">
        <v>1265137.15</v>
      </c>
      <c r="F289" s="8">
        <v>0.0</v>
      </c>
      <c r="G289" s="8">
        <v>481410.0</v>
      </c>
      <c r="H289" s="8">
        <f t="shared" si="1"/>
        <v>-783727.15</v>
      </c>
    </row>
    <row r="290">
      <c r="A290" s="59">
        <v>46083.0</v>
      </c>
      <c r="B290" s="8" t="s">
        <v>692</v>
      </c>
      <c r="C290" s="8" t="s">
        <v>698</v>
      </c>
      <c r="D290" s="59">
        <v>46080.0</v>
      </c>
      <c r="E290" s="8">
        <v>1265137.15</v>
      </c>
      <c r="F290" s="8">
        <v>0.0</v>
      </c>
      <c r="G290" s="8">
        <v>685620.0</v>
      </c>
      <c r="H290" s="8">
        <f t="shared" si="1"/>
        <v>-579517.15</v>
      </c>
    </row>
    <row r="291">
      <c r="A291" s="59">
        <v>46085.0</v>
      </c>
      <c r="B291" s="8" t="s">
        <v>692</v>
      </c>
      <c r="C291" s="8" t="s">
        <v>698</v>
      </c>
      <c r="D291" s="59">
        <v>46083.0</v>
      </c>
      <c r="E291" s="8">
        <v>1265137.15</v>
      </c>
      <c r="F291" s="8">
        <v>0.0</v>
      </c>
      <c r="G291" s="8">
        <v>972135.0</v>
      </c>
      <c r="H291" s="8">
        <f t="shared" si="1"/>
        <v>-293002.15</v>
      </c>
    </row>
    <row r="292">
      <c r="A292" s="59">
        <v>46086.0</v>
      </c>
      <c r="B292" s="8" t="s">
        <v>692</v>
      </c>
      <c r="C292" s="8" t="s">
        <v>698</v>
      </c>
      <c r="D292" s="59">
        <v>46085.0</v>
      </c>
      <c r="E292" s="8">
        <v>1265137.15</v>
      </c>
      <c r="F292" s="8">
        <v>0.0</v>
      </c>
      <c r="G292" s="8">
        <v>1309905.0</v>
      </c>
      <c r="H292" s="8">
        <f t="shared" si="1"/>
        <v>44767.85</v>
      </c>
    </row>
    <row r="293">
      <c r="A293" s="59">
        <v>46087.0</v>
      </c>
      <c r="B293" s="8" t="s">
        <v>692</v>
      </c>
      <c r="C293" s="8" t="s">
        <v>698</v>
      </c>
      <c r="D293" s="59">
        <v>46086.0</v>
      </c>
      <c r="E293" s="8">
        <v>1265137.15</v>
      </c>
      <c r="F293" s="8">
        <v>0.0</v>
      </c>
      <c r="G293" s="8">
        <v>1064025.0</v>
      </c>
      <c r="H293" s="8">
        <f t="shared" si="1"/>
        <v>-201112.15</v>
      </c>
    </row>
    <row r="294">
      <c r="A294" s="59">
        <v>46090.0</v>
      </c>
      <c r="B294" s="8" t="s">
        <v>696</v>
      </c>
      <c r="C294" s="8" t="s">
        <v>701</v>
      </c>
      <c r="D294" s="59">
        <v>46087.0</v>
      </c>
      <c r="E294" s="8">
        <v>1265137.15</v>
      </c>
      <c r="F294" s="8">
        <v>53202.06</v>
      </c>
      <c r="G294" s="8">
        <v>1206634.75</v>
      </c>
      <c r="H294" s="8">
        <f t="shared" si="1"/>
        <v>-5300.34</v>
      </c>
    </row>
    <row r="295">
      <c r="A295" s="59">
        <v>46091.0</v>
      </c>
      <c r="B295" s="8" t="s">
        <v>696</v>
      </c>
      <c r="C295" s="8" t="s">
        <v>701</v>
      </c>
      <c r="D295" s="59">
        <v>46090.0</v>
      </c>
      <c r="E295" s="8">
        <v>1265137.15</v>
      </c>
      <c r="F295" s="8">
        <v>53202.06</v>
      </c>
      <c r="G295" s="8">
        <v>1461166.0</v>
      </c>
      <c r="H295" s="8">
        <f t="shared" si="1"/>
        <v>249230.91</v>
      </c>
    </row>
    <row r="296">
      <c r="A296" s="59">
        <v>46092.0</v>
      </c>
      <c r="B296" s="8" t="s">
        <v>696</v>
      </c>
      <c r="C296" s="8" t="s">
        <v>701</v>
      </c>
      <c r="D296" s="59">
        <v>46091.0</v>
      </c>
      <c r="E296" s="8">
        <v>1265137.15</v>
      </c>
      <c r="F296" s="8">
        <v>53202.06</v>
      </c>
      <c r="G296" s="8">
        <v>1241213.0</v>
      </c>
      <c r="H296" s="8">
        <f t="shared" si="1"/>
        <v>29277.91</v>
      </c>
    </row>
    <row r="297">
      <c r="A297" s="59">
        <v>46093.0</v>
      </c>
      <c r="B297" s="8" t="s">
        <v>696</v>
      </c>
      <c r="C297" s="8" t="s">
        <v>701</v>
      </c>
      <c r="D297" s="59">
        <v>46092.0</v>
      </c>
      <c r="E297" s="8">
        <v>1265137.15</v>
      </c>
      <c r="F297" s="8">
        <v>53202.06</v>
      </c>
      <c r="G297" s="8">
        <v>1512220.0</v>
      </c>
      <c r="H297" s="8">
        <f t="shared" si="1"/>
        <v>300284.91</v>
      </c>
    </row>
    <row r="298">
      <c r="A298" s="59">
        <v>46094.0</v>
      </c>
      <c r="B298" s="8" t="s">
        <v>696</v>
      </c>
      <c r="C298" s="8" t="s">
        <v>701</v>
      </c>
      <c r="D298" s="59">
        <v>46093.0</v>
      </c>
      <c r="E298" s="8">
        <v>1265137.15</v>
      </c>
      <c r="F298" s="8">
        <v>53202.06</v>
      </c>
      <c r="G298" s="8">
        <v>1611196.0</v>
      </c>
      <c r="H298" s="8">
        <f t="shared" si="1"/>
        <v>399260.91</v>
      </c>
    </row>
    <row r="299">
      <c r="A299" s="59">
        <v>46097.0</v>
      </c>
      <c r="B299" s="8" t="s">
        <v>696</v>
      </c>
      <c r="C299" s="8" t="s">
        <v>701</v>
      </c>
      <c r="D299" s="59">
        <v>46094.0</v>
      </c>
      <c r="E299" s="8">
        <v>1265137.15</v>
      </c>
      <c r="F299" s="8">
        <v>53202.06</v>
      </c>
      <c r="G299" s="8">
        <v>1888358.0</v>
      </c>
      <c r="H299" s="8">
        <f t="shared" si="1"/>
        <v>676422.91</v>
      </c>
    </row>
    <row r="300">
      <c r="A300" s="59">
        <v>46098.0</v>
      </c>
      <c r="B300" s="8" t="s">
        <v>696</v>
      </c>
      <c r="C300" s="8" t="s">
        <v>701</v>
      </c>
      <c r="D300" s="59">
        <v>46097.0</v>
      </c>
      <c r="E300" s="8">
        <v>1265137.15</v>
      </c>
      <c r="F300" s="8">
        <v>53202.06</v>
      </c>
      <c r="G300" s="8">
        <v>1769070.0</v>
      </c>
      <c r="H300" s="8">
        <f t="shared" si="1"/>
        <v>557134.91</v>
      </c>
    </row>
    <row r="301">
      <c r="A301" s="59">
        <v>46099.0</v>
      </c>
      <c r="B301" s="8" t="s">
        <v>696</v>
      </c>
      <c r="C301" s="8" t="s">
        <v>701</v>
      </c>
      <c r="D301" s="59">
        <v>46098.0</v>
      </c>
      <c r="E301" s="8">
        <v>1265137.15</v>
      </c>
      <c r="F301" s="8">
        <v>53202.06</v>
      </c>
      <c r="G301" s="8">
        <v>1627062.0</v>
      </c>
      <c r="H301" s="8">
        <f t="shared" si="1"/>
        <v>415126.91</v>
      </c>
    </row>
    <row r="302">
      <c r="A302" s="59">
        <v>46100.0</v>
      </c>
      <c r="B302" s="8" t="s">
        <v>696</v>
      </c>
      <c r="C302" s="8" t="s">
        <v>701</v>
      </c>
      <c r="D302" s="59">
        <v>46099.0</v>
      </c>
      <c r="E302" s="8">
        <v>1265137.15</v>
      </c>
      <c r="F302" s="8">
        <v>53202.06</v>
      </c>
      <c r="G302" s="8">
        <v>1530047.0</v>
      </c>
      <c r="H302" s="8">
        <f t="shared" si="1"/>
        <v>318111.91</v>
      </c>
    </row>
    <row r="303">
      <c r="A303" s="59">
        <v>46101.0</v>
      </c>
      <c r="B303" s="8" t="s">
        <v>696</v>
      </c>
      <c r="C303" s="8" t="s">
        <v>701</v>
      </c>
      <c r="D303" s="59">
        <v>46100.0</v>
      </c>
      <c r="E303" s="8">
        <v>1265137.15</v>
      </c>
      <c r="F303" s="8">
        <v>53202.06</v>
      </c>
      <c r="G303" s="8">
        <v>2005597.0</v>
      </c>
      <c r="H303" s="8">
        <f t="shared" si="1"/>
        <v>793661.91</v>
      </c>
    </row>
    <row r="304">
      <c r="A304" s="59">
        <v>46104.0</v>
      </c>
      <c r="B304" s="8" t="s">
        <v>696</v>
      </c>
      <c r="C304" s="8" t="s">
        <v>701</v>
      </c>
      <c r="D304" s="59">
        <v>46101.0</v>
      </c>
      <c r="E304" s="8">
        <v>1265137.15</v>
      </c>
      <c r="F304" s="8">
        <v>53202.06</v>
      </c>
      <c r="G304" s="8">
        <v>1922300.0</v>
      </c>
      <c r="H304" s="8">
        <f t="shared" si="1"/>
        <v>710364.91</v>
      </c>
    </row>
    <row r="305">
      <c r="A305" s="59">
        <v>46105.0</v>
      </c>
      <c r="B305" s="8" t="s">
        <v>696</v>
      </c>
      <c r="C305" s="8" t="s">
        <v>701</v>
      </c>
      <c r="D305" s="59">
        <v>46104.0</v>
      </c>
      <c r="E305" s="8">
        <v>1265137.15</v>
      </c>
      <c r="F305" s="8">
        <v>53202.06</v>
      </c>
      <c r="G305" s="8">
        <v>2368781.0</v>
      </c>
      <c r="H305" s="8">
        <f t="shared" si="1"/>
        <v>1156845.91</v>
      </c>
    </row>
    <row r="306">
      <c r="A306" s="59">
        <v>46106.0</v>
      </c>
      <c r="B306" s="8" t="s">
        <v>696</v>
      </c>
      <c r="C306" s="8" t="s">
        <v>701</v>
      </c>
      <c r="D306" s="59">
        <v>46105.0</v>
      </c>
      <c r="E306" s="8">
        <v>1265137.15</v>
      </c>
      <c r="F306" s="8">
        <v>53202.06</v>
      </c>
      <c r="G306" s="8">
        <v>2069397.0</v>
      </c>
      <c r="H306" s="8">
        <f t="shared" si="1"/>
        <v>857461.91</v>
      </c>
    </row>
    <row r="307">
      <c r="A307" s="59">
        <v>46108.0</v>
      </c>
      <c r="B307" s="8" t="s">
        <v>696</v>
      </c>
      <c r="C307" s="8" t="s">
        <v>701</v>
      </c>
      <c r="D307" s="59">
        <v>46106.0</v>
      </c>
      <c r="E307" s="8">
        <v>1265137.15</v>
      </c>
      <c r="F307" s="8">
        <v>53202.06</v>
      </c>
      <c r="G307" s="8">
        <v>1829979.0</v>
      </c>
      <c r="H307" s="8">
        <f t="shared" si="1"/>
        <v>618043.91</v>
      </c>
    </row>
    <row r="308">
      <c r="A308" s="59">
        <v>46111.0</v>
      </c>
      <c r="B308" s="8" t="s">
        <v>696</v>
      </c>
      <c r="C308" s="8" t="s">
        <v>701</v>
      </c>
      <c r="D308" s="59">
        <v>46108.0</v>
      </c>
      <c r="E308" s="8">
        <v>1265137.15</v>
      </c>
      <c r="F308" s="8">
        <v>53202.06</v>
      </c>
      <c r="G308" s="8">
        <v>2168156.0</v>
      </c>
      <c r="H308" s="8">
        <f t="shared" si="1"/>
        <v>956220.91</v>
      </c>
    </row>
    <row r="309">
      <c r="A309" s="59">
        <v>46113.0</v>
      </c>
      <c r="B309" s="8" t="s">
        <v>696</v>
      </c>
      <c r="C309" s="8" t="s">
        <v>701</v>
      </c>
      <c r="D309" s="59">
        <v>46111.0</v>
      </c>
      <c r="E309" s="8">
        <v>1265137.15</v>
      </c>
      <c r="F309" s="8">
        <v>254722.84</v>
      </c>
      <c r="G309" s="8">
        <v>2295104.0</v>
      </c>
      <c r="H309" s="8">
        <f t="shared" si="1"/>
        <v>1284689.69</v>
      </c>
    </row>
    <row r="310">
      <c r="A310" s="59">
        <v>46114.0</v>
      </c>
      <c r="B310" s="8" t="s">
        <v>696</v>
      </c>
      <c r="C310" s="8" t="s">
        <v>701</v>
      </c>
      <c r="D310" s="59">
        <v>46113.0</v>
      </c>
      <c r="E310" s="8">
        <v>1265137.15</v>
      </c>
      <c r="F310" s="8">
        <v>254722.84</v>
      </c>
      <c r="G310" s="8">
        <v>2026352.0</v>
      </c>
      <c r="H310" s="8">
        <f t="shared" si="1"/>
        <v>1015937.69</v>
      </c>
    </row>
    <row r="311">
      <c r="A311" s="59">
        <v>46118.0</v>
      </c>
      <c r="B311" s="8" t="s">
        <v>696</v>
      </c>
      <c r="C311" s="8" t="s">
        <v>701</v>
      </c>
      <c r="D311" s="59">
        <v>46114.0</v>
      </c>
      <c r="E311" s="8">
        <v>1265137.15</v>
      </c>
      <c r="F311" s="8">
        <v>254722.84</v>
      </c>
      <c r="G311" s="8">
        <v>2013466.0</v>
      </c>
      <c r="H311" s="8">
        <f t="shared" si="1"/>
        <v>1003051.69</v>
      </c>
    </row>
    <row r="312">
      <c r="A312" s="59">
        <v>46119.0</v>
      </c>
      <c r="B312" s="8" t="s">
        <v>696</v>
      </c>
      <c r="C312" s="8" t="s">
        <v>701</v>
      </c>
      <c r="D312" s="59">
        <v>46118.0</v>
      </c>
      <c r="E312" s="8">
        <v>1265137.15</v>
      </c>
      <c r="F312" s="8">
        <v>254722.84</v>
      </c>
      <c r="G312" s="8">
        <v>1849113.0</v>
      </c>
      <c r="H312" s="8">
        <f t="shared" si="1"/>
        <v>838698.69</v>
      </c>
    </row>
    <row r="313">
      <c r="A313" s="59">
        <v>46120.0</v>
      </c>
      <c r="B313" s="8" t="s">
        <v>696</v>
      </c>
      <c r="C313" s="8" t="s">
        <v>701</v>
      </c>
      <c r="D313" s="59">
        <v>46119.0</v>
      </c>
      <c r="E313" s="8">
        <v>1265137.15</v>
      </c>
      <c r="F313" s="8">
        <v>254722.84</v>
      </c>
      <c r="G313" s="8">
        <v>1787513.0</v>
      </c>
      <c r="H313" s="8">
        <f t="shared" si="1"/>
        <v>777098.69</v>
      </c>
    </row>
    <row r="314">
      <c r="A314" s="59">
        <v>46121.0</v>
      </c>
      <c r="B314" s="8" t="s">
        <v>696</v>
      </c>
      <c r="C314" s="8" t="s">
        <v>701</v>
      </c>
      <c r="D314" s="59">
        <v>46120.0</v>
      </c>
      <c r="E314" s="8">
        <v>1265137.15</v>
      </c>
      <c r="F314" s="8">
        <v>254722.84</v>
      </c>
      <c r="G314" s="8">
        <v>1273203.0</v>
      </c>
      <c r="H314" s="8">
        <f t="shared" si="1"/>
        <v>262788.69</v>
      </c>
    </row>
    <row r="315">
      <c r="A315" s="59">
        <v>46122.0</v>
      </c>
      <c r="B315" s="8" t="s">
        <v>696</v>
      </c>
      <c r="C315" s="8" t="s">
        <v>701</v>
      </c>
      <c r="D315" s="59">
        <v>46121.0</v>
      </c>
      <c r="E315" s="8">
        <v>1265137.15</v>
      </c>
      <c r="F315" s="8">
        <v>254722.84</v>
      </c>
      <c r="G315" s="8">
        <v>1366829.0</v>
      </c>
      <c r="H315" s="8">
        <f t="shared" si="1"/>
        <v>356414.69</v>
      </c>
    </row>
    <row r="316">
      <c r="A316" s="59">
        <v>46125.0</v>
      </c>
      <c r="B316" s="8" t="s">
        <v>696</v>
      </c>
      <c r="C316" s="8" t="s">
        <v>701</v>
      </c>
      <c r="D316" s="59">
        <v>46122.0</v>
      </c>
      <c r="E316" s="8">
        <v>1265137.15</v>
      </c>
      <c r="F316" s="8">
        <v>254722.84</v>
      </c>
      <c r="G316" s="8">
        <v>1253980.0</v>
      </c>
      <c r="H316" s="8">
        <f t="shared" si="1"/>
        <v>243565.69</v>
      </c>
    </row>
    <row r="317">
      <c r="A317" s="59">
        <v>46127.0</v>
      </c>
      <c r="B317" s="8" t="s">
        <v>696</v>
      </c>
      <c r="C317" s="8" t="s">
        <v>701</v>
      </c>
      <c r="D317" s="59">
        <v>46125.0</v>
      </c>
      <c r="E317" s="8">
        <v>1265137.15</v>
      </c>
      <c r="F317" s="8">
        <v>254722.84</v>
      </c>
      <c r="G317" s="8">
        <v>1373378.0</v>
      </c>
      <c r="H317" s="8">
        <f t="shared" si="1"/>
        <v>362963.69</v>
      </c>
    </row>
    <row r="318">
      <c r="A318" s="59">
        <v>46128.0</v>
      </c>
      <c r="B318" s="8" t="s">
        <v>696</v>
      </c>
      <c r="C318" s="8" t="s">
        <v>701</v>
      </c>
      <c r="D318" s="59">
        <v>46127.0</v>
      </c>
      <c r="E318" s="8">
        <v>1265137.15</v>
      </c>
      <c r="F318" s="8">
        <v>254722.84</v>
      </c>
      <c r="G318" s="8">
        <v>1160523.0</v>
      </c>
      <c r="H318" s="8">
        <f t="shared" si="1"/>
        <v>150108.69</v>
      </c>
    </row>
    <row r="319">
      <c r="A319" s="59">
        <v>46129.0</v>
      </c>
      <c r="B319" s="8" t="s">
        <v>696</v>
      </c>
      <c r="C319" s="8" t="s">
        <v>701</v>
      </c>
      <c r="D319" s="59">
        <v>46128.0</v>
      </c>
      <c r="E319" s="8">
        <v>1265137.15</v>
      </c>
      <c r="F319" s="8">
        <v>254722.84</v>
      </c>
      <c r="G319" s="8">
        <v>1167832.0</v>
      </c>
      <c r="H319" s="8">
        <f t="shared" si="1"/>
        <v>157417.69</v>
      </c>
    </row>
    <row r="320">
      <c r="A320" s="59">
        <v>46132.0</v>
      </c>
      <c r="B320" s="8" t="s">
        <v>696</v>
      </c>
      <c r="C320" s="8" t="s">
        <v>701</v>
      </c>
      <c r="D320" s="59">
        <v>46129.0</v>
      </c>
      <c r="E320" s="8">
        <v>1265137.15</v>
      </c>
      <c r="F320" s="8">
        <v>254722.84</v>
      </c>
      <c r="G320" s="8">
        <v>1097739.0</v>
      </c>
      <c r="H320" s="8">
        <f t="shared" si="1"/>
        <v>87324.69</v>
      </c>
    </row>
    <row r="321">
      <c r="A321" s="59">
        <v>46133.0</v>
      </c>
      <c r="B321" s="8" t="s">
        <v>696</v>
      </c>
      <c r="C321" s="8" t="s">
        <v>701</v>
      </c>
      <c r="D321" s="59">
        <v>46132.0</v>
      </c>
      <c r="E321" s="8">
        <v>1265137.15</v>
      </c>
      <c r="F321" s="8">
        <v>254722.84</v>
      </c>
      <c r="G321" s="8">
        <v>1116836.0</v>
      </c>
      <c r="H321" s="8">
        <f t="shared" si="1"/>
        <v>106421.69</v>
      </c>
    </row>
    <row r="322">
      <c r="A322" s="59">
        <v>46134.0</v>
      </c>
      <c r="B322" s="8" t="s">
        <v>696</v>
      </c>
      <c r="C322" s="8" t="s">
        <v>701</v>
      </c>
      <c r="D322" s="59">
        <v>46133.0</v>
      </c>
      <c r="E322" s="8">
        <v>1265137.15</v>
      </c>
      <c r="F322" s="8">
        <v>254722.84</v>
      </c>
      <c r="G322" s="8">
        <v>991438.0</v>
      </c>
      <c r="H322" s="8">
        <f t="shared" si="1"/>
        <v>-18976.31</v>
      </c>
    </row>
    <row r="323">
      <c r="A323" s="59">
        <v>46135.0</v>
      </c>
      <c r="B323" s="8" t="s">
        <v>696</v>
      </c>
      <c r="C323" s="8" t="s">
        <v>701</v>
      </c>
      <c r="D323" s="59">
        <v>46134.0</v>
      </c>
      <c r="E323" s="8">
        <v>1265137.15</v>
      </c>
      <c r="F323" s="8">
        <v>254722.84</v>
      </c>
      <c r="G323" s="8">
        <v>1080036.0</v>
      </c>
      <c r="H323" s="8">
        <f t="shared" si="1"/>
        <v>69621.69</v>
      </c>
    </row>
    <row r="324">
      <c r="A324" s="59">
        <v>46136.0</v>
      </c>
      <c r="B324" s="8" t="s">
        <v>696</v>
      </c>
      <c r="C324" s="8" t="s">
        <v>701</v>
      </c>
      <c r="D324" s="59">
        <v>46135.0</v>
      </c>
      <c r="E324" s="8">
        <v>1265137.15</v>
      </c>
      <c r="F324" s="8">
        <v>254722.84</v>
      </c>
      <c r="G324" s="8">
        <v>1193224.0</v>
      </c>
      <c r="H324" s="8">
        <f t="shared" si="1"/>
        <v>182809.69</v>
      </c>
    </row>
    <row r="325">
      <c r="A325" s="59">
        <v>46139.0</v>
      </c>
      <c r="B325" s="8" t="s">
        <v>696</v>
      </c>
      <c r="C325" s="8" t="s">
        <v>701</v>
      </c>
      <c r="D325" s="59">
        <v>46136.0</v>
      </c>
      <c r="E325" s="8">
        <v>1265137.15</v>
      </c>
      <c r="F325" s="8">
        <v>254722.84</v>
      </c>
      <c r="G325" s="8">
        <v>1323101.0</v>
      </c>
      <c r="H325" s="8">
        <f t="shared" si="1"/>
        <v>312686.69</v>
      </c>
    </row>
    <row r="326">
      <c r="A326" s="59">
        <v>46140.0</v>
      </c>
      <c r="B326" s="8" t="s">
        <v>696</v>
      </c>
      <c r="C326" s="8" t="s">
        <v>701</v>
      </c>
      <c r="D326" s="59">
        <v>46139.0</v>
      </c>
      <c r="E326" s="8">
        <v>1265137.15</v>
      </c>
      <c r="F326" s="8">
        <v>254722.84</v>
      </c>
      <c r="G326" s="8">
        <v>1228123.0</v>
      </c>
      <c r="H326" s="8">
        <f t="shared" si="1"/>
        <v>217708.69</v>
      </c>
    </row>
    <row r="327">
      <c r="A327" s="59">
        <v>46141.0</v>
      </c>
      <c r="B327" s="8" t="s">
        <v>696</v>
      </c>
      <c r="C327" s="8" t="s">
        <v>701</v>
      </c>
      <c r="D327" s="59">
        <v>46140.0</v>
      </c>
      <c r="E327" s="8">
        <v>1265137.15</v>
      </c>
      <c r="F327" s="8">
        <v>254722.84</v>
      </c>
      <c r="G327" s="8">
        <v>1303285.0</v>
      </c>
      <c r="H327" s="8">
        <f t="shared" si="1"/>
        <v>292870.69</v>
      </c>
    </row>
    <row r="328">
      <c r="A328" s="59">
        <v>46142.0</v>
      </c>
      <c r="B328" s="8" t="s">
        <v>696</v>
      </c>
      <c r="C328" s="8" t="s">
        <v>701</v>
      </c>
      <c r="D328" s="59">
        <v>46141.0</v>
      </c>
      <c r="E328" s="8">
        <v>1265137.15</v>
      </c>
      <c r="F328" s="8">
        <v>254722.84</v>
      </c>
      <c r="G328" s="8">
        <v>1204632.0</v>
      </c>
      <c r="H328" s="8">
        <f t="shared" si="1"/>
        <v>194217.69</v>
      </c>
    </row>
    <row r="329">
      <c r="A329" s="59">
        <v>46146.0</v>
      </c>
      <c r="B329" s="8" t="s">
        <v>696</v>
      </c>
      <c r="C329" s="8" t="s">
        <v>701</v>
      </c>
      <c r="D329" s="59">
        <v>46142.0</v>
      </c>
      <c r="E329" s="8">
        <v>1265137.15</v>
      </c>
      <c r="F329" s="8">
        <v>254722.84</v>
      </c>
      <c r="G329" s="8">
        <v>1310214.0</v>
      </c>
      <c r="H329" s="8">
        <f t="shared" si="1"/>
        <v>299799.69</v>
      </c>
    </row>
    <row r="330">
      <c r="A330" s="59">
        <v>46147.0</v>
      </c>
      <c r="B330" s="8" t="s">
        <v>696</v>
      </c>
      <c r="C330" s="8" t="s">
        <v>701</v>
      </c>
      <c r="D330" s="59">
        <v>46146.0</v>
      </c>
      <c r="E330" s="8">
        <v>1265137.15</v>
      </c>
      <c r="F330" s="8">
        <v>254722.84</v>
      </c>
      <c r="G330" s="8">
        <v>1244135.0</v>
      </c>
      <c r="H330" s="8">
        <f t="shared" si="1"/>
        <v>233720.69</v>
      </c>
    </row>
    <row r="331">
      <c r="A331" s="149">
        <v>46148.0</v>
      </c>
      <c r="B331" s="64" t="s">
        <v>696</v>
      </c>
      <c r="C331" s="64" t="s">
        <v>701</v>
      </c>
      <c r="D331" s="149">
        <v>46147.0</v>
      </c>
      <c r="E331" s="151">
        <v>1265137.15</v>
      </c>
      <c r="F331" s="8">
        <v>254722.84</v>
      </c>
      <c r="G331" s="152">
        <v>1298976.0</v>
      </c>
      <c r="H331" s="151">
        <f t="shared" si="1"/>
        <v>288561.69</v>
      </c>
      <c r="I331" s="64"/>
      <c r="J331" s="64"/>
      <c r="K331" s="64"/>
      <c r="L331" s="64"/>
      <c r="M331" s="64"/>
      <c r="N331" s="64"/>
      <c r="O331" s="64"/>
      <c r="P331" s="64"/>
      <c r="Q331" s="64"/>
      <c r="R331" s="64"/>
      <c r="S331" s="64"/>
      <c r="T331" s="64"/>
      <c r="U331" s="64"/>
      <c r="V331" s="64"/>
      <c r="W331" s="64"/>
      <c r="X331" s="64"/>
      <c r="Y331" s="64"/>
      <c r="Z331" s="64"/>
    </row>
    <row r="332">
      <c r="A332" s="149">
        <v>46149.0</v>
      </c>
      <c r="B332" s="64" t="s">
        <v>696</v>
      </c>
      <c r="C332" s="64" t="s">
        <v>701</v>
      </c>
      <c r="D332" s="149">
        <v>46148.0</v>
      </c>
      <c r="E332" s="151">
        <v>1265137.15</v>
      </c>
      <c r="F332" s="8">
        <v>254722.84</v>
      </c>
      <c r="G332" s="152">
        <v>1112611.0</v>
      </c>
      <c r="H332" s="151">
        <f t="shared" si="1"/>
        <v>102196.69</v>
      </c>
      <c r="I332" s="64"/>
      <c r="J332" s="64"/>
      <c r="K332" s="64"/>
      <c r="L332" s="64"/>
      <c r="M332" s="64"/>
      <c r="N332" s="64"/>
      <c r="O332" s="64"/>
      <c r="P332" s="64"/>
      <c r="Q332" s="64"/>
      <c r="R332" s="64"/>
      <c r="S332" s="64"/>
      <c r="T332" s="64"/>
      <c r="U332" s="64"/>
      <c r="V332" s="64"/>
      <c r="W332" s="64"/>
      <c r="X332" s="64"/>
      <c r="Y332" s="64"/>
      <c r="Z332" s="64"/>
    </row>
    <row r="333">
      <c r="A333" s="149">
        <v>46150.0</v>
      </c>
      <c r="B333" s="64" t="s">
        <v>696</v>
      </c>
      <c r="C333" s="64" t="s">
        <v>701</v>
      </c>
      <c r="D333" s="149">
        <v>46149.0</v>
      </c>
      <c r="E333" s="151">
        <v>1265137.15</v>
      </c>
      <c r="F333" s="8">
        <v>254722.84</v>
      </c>
      <c r="G333" s="152">
        <v>1126342.0</v>
      </c>
      <c r="H333" s="151">
        <f t="shared" si="1"/>
        <v>115927.69</v>
      </c>
      <c r="I333" s="64"/>
      <c r="J333" s="64"/>
      <c r="K333" s="64"/>
      <c r="L333" s="64"/>
      <c r="M333" s="64"/>
      <c r="N333" s="64"/>
      <c r="O333" s="64"/>
      <c r="P333" s="64"/>
      <c r="Q333" s="64"/>
      <c r="R333" s="64"/>
      <c r="S333" s="64"/>
      <c r="T333" s="64"/>
      <c r="U333" s="64"/>
      <c r="V333" s="64"/>
      <c r="W333" s="64"/>
      <c r="X333" s="64"/>
      <c r="Y333" s="64"/>
      <c r="Z333" s="64"/>
    </row>
    <row r="334">
      <c r="A334" s="149">
        <v>46153.0</v>
      </c>
      <c r="B334" s="64" t="s">
        <v>696</v>
      </c>
      <c r="C334" s="64" t="s">
        <v>701</v>
      </c>
      <c r="D334" s="149">
        <v>46150.0</v>
      </c>
      <c r="E334" s="151">
        <v>1265137.15</v>
      </c>
      <c r="F334" s="8">
        <v>254722.84</v>
      </c>
      <c r="G334" s="152">
        <v>1201252.0</v>
      </c>
      <c r="H334" s="151">
        <f t="shared" si="1"/>
        <v>190837.69</v>
      </c>
      <c r="I334" s="64"/>
      <c r="J334" s="64"/>
      <c r="K334" s="64"/>
      <c r="L334" s="64"/>
      <c r="M334" s="64"/>
      <c r="N334" s="64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  <c r="Z334" s="64"/>
    </row>
    <row r="335">
      <c r="A335" s="149">
        <v>46154.0</v>
      </c>
      <c r="B335" s="64" t="s">
        <v>696</v>
      </c>
      <c r="C335" s="64" t="s">
        <v>701</v>
      </c>
      <c r="D335" s="149">
        <v>46153.0</v>
      </c>
      <c r="E335" s="151">
        <v>1265137.15</v>
      </c>
      <c r="F335" s="8">
        <v>254722.84</v>
      </c>
      <c r="G335" s="152">
        <v>1391250.0</v>
      </c>
      <c r="H335" s="151">
        <f t="shared" si="1"/>
        <v>380835.69</v>
      </c>
      <c r="I335" s="64"/>
      <c r="J335" s="64"/>
      <c r="K335" s="64"/>
      <c r="L335" s="64"/>
      <c r="M335" s="64"/>
      <c r="N335" s="64"/>
      <c r="O335" s="64"/>
      <c r="P335" s="64"/>
      <c r="Q335" s="64"/>
      <c r="R335" s="64"/>
      <c r="S335" s="64"/>
      <c r="T335" s="64"/>
      <c r="U335" s="64"/>
      <c r="V335" s="64"/>
      <c r="W335" s="64"/>
      <c r="X335" s="64"/>
      <c r="Y335" s="64"/>
      <c r="Z335" s="64"/>
    </row>
    <row r="336">
      <c r="A336" s="149">
        <v>46155.0</v>
      </c>
      <c r="B336" s="64" t="s">
        <v>696</v>
      </c>
      <c r="C336" s="64" t="s">
        <v>701</v>
      </c>
      <c r="D336" s="149">
        <v>46154.0</v>
      </c>
      <c r="E336" s="151">
        <v>1265137.15</v>
      </c>
      <c r="F336" s="8">
        <v>254722.84</v>
      </c>
      <c r="G336" s="152">
        <v>1626920.0</v>
      </c>
      <c r="H336" s="151">
        <f t="shared" si="1"/>
        <v>616505.69</v>
      </c>
      <c r="I336" s="64"/>
      <c r="J336" s="64"/>
    </row>
    <row r="337">
      <c r="A337" s="149">
        <v>46156.0</v>
      </c>
      <c r="B337" s="64" t="s">
        <v>696</v>
      </c>
      <c r="C337" s="64" t="s">
        <v>701</v>
      </c>
      <c r="D337" s="149">
        <v>46155.0</v>
      </c>
      <c r="E337" s="151">
        <v>1265137.15</v>
      </c>
      <c r="F337" s="8">
        <v>254722.84</v>
      </c>
      <c r="G337" s="152">
        <v>1627385.0</v>
      </c>
      <c r="H337" s="151">
        <f t="shared" si="1"/>
        <v>616970.69</v>
      </c>
      <c r="I337" s="64"/>
      <c r="J337" s="64"/>
    </row>
    <row r="338">
      <c r="A338" s="149">
        <v>46157.0</v>
      </c>
      <c r="B338" s="64" t="s">
        <v>696</v>
      </c>
      <c r="C338" s="64" t="s">
        <v>701</v>
      </c>
      <c r="D338" s="149">
        <v>46156.0</v>
      </c>
      <c r="E338" s="151">
        <v>1265137.15</v>
      </c>
      <c r="F338" s="8">
        <v>254722.84</v>
      </c>
      <c r="G338" s="152">
        <v>1495185.0</v>
      </c>
      <c r="H338" s="151">
        <f t="shared" si="1"/>
        <v>484770.69</v>
      </c>
      <c r="I338" s="64"/>
      <c r="J338" s="64"/>
    </row>
    <row r="339">
      <c r="A339" s="149">
        <v>46160.0</v>
      </c>
      <c r="B339" s="64" t="s">
        <v>696</v>
      </c>
      <c r="C339" s="64" t="s">
        <v>701</v>
      </c>
      <c r="D339" s="149">
        <v>46157.0</v>
      </c>
      <c r="E339" s="151">
        <v>1265137.15</v>
      </c>
      <c r="F339" s="8">
        <v>254722.84</v>
      </c>
      <c r="G339" s="152">
        <v>1536801.0</v>
      </c>
      <c r="H339" s="151">
        <f t="shared" si="1"/>
        <v>526386.69</v>
      </c>
      <c r="I339" s="64"/>
      <c r="J339" s="64"/>
    </row>
    <row r="340">
      <c r="A340" s="149">
        <v>46161.0</v>
      </c>
      <c r="B340" s="64" t="s">
        <v>696</v>
      </c>
      <c r="C340" s="64" t="s">
        <v>701</v>
      </c>
      <c r="D340" s="149">
        <v>46160.0</v>
      </c>
      <c r="E340" s="151">
        <v>1265137.15</v>
      </c>
      <c r="F340" s="8">
        <v>254722.84</v>
      </c>
      <c r="G340" s="152">
        <v>1550575.0</v>
      </c>
      <c r="H340" s="151">
        <f t="shared" si="1"/>
        <v>540160.69</v>
      </c>
      <c r="I340" s="64"/>
      <c r="J340" s="64"/>
    </row>
    <row r="341">
      <c r="A341" s="149">
        <v>46162.0</v>
      </c>
      <c r="B341" s="64" t="s">
        <v>696</v>
      </c>
      <c r="C341" s="64" t="s">
        <v>701</v>
      </c>
      <c r="D341" s="149">
        <v>46161.0</v>
      </c>
      <c r="E341" s="151">
        <v>1265137.15</v>
      </c>
      <c r="F341" s="8">
        <v>254722.84</v>
      </c>
      <c r="G341" s="152">
        <v>1561222.0</v>
      </c>
      <c r="H341" s="151">
        <f t="shared" si="1"/>
        <v>550807.69</v>
      </c>
      <c r="I341" s="64"/>
      <c r="J341" s="64"/>
    </row>
    <row r="342">
      <c r="A342" s="149">
        <v>46163.0</v>
      </c>
      <c r="B342" s="64" t="s">
        <v>696</v>
      </c>
      <c r="C342" s="64" t="s">
        <v>701</v>
      </c>
      <c r="D342" s="149">
        <v>46162.0</v>
      </c>
      <c r="E342" s="151">
        <v>1265137.15</v>
      </c>
      <c r="F342" s="8">
        <v>254722.84</v>
      </c>
      <c r="G342" s="152">
        <v>1531351.0</v>
      </c>
      <c r="H342" s="151">
        <f t="shared" si="1"/>
        <v>520936.69</v>
      </c>
      <c r="I342" s="64"/>
      <c r="J342" s="64"/>
    </row>
    <row r="343">
      <c r="A343" s="149">
        <v>46164.0</v>
      </c>
      <c r="B343" s="64" t="s">
        <v>696</v>
      </c>
      <c r="C343" s="64" t="s">
        <v>701</v>
      </c>
      <c r="D343" s="149">
        <v>46163.0</v>
      </c>
      <c r="E343" s="151">
        <v>1265137.15</v>
      </c>
      <c r="F343" s="8">
        <v>254722.84</v>
      </c>
      <c r="G343" s="152">
        <v>1535956.0</v>
      </c>
      <c r="H343" s="151">
        <f t="shared" si="1"/>
        <v>525541.69</v>
      </c>
      <c r="I343" s="64"/>
      <c r="J343" s="64"/>
    </row>
    <row r="344">
      <c r="A344" s="149">
        <v>46167.0</v>
      </c>
      <c r="B344" s="64" t="s">
        <v>696</v>
      </c>
      <c r="C344" s="64" t="s">
        <v>701</v>
      </c>
      <c r="D344" s="149">
        <v>46164.0</v>
      </c>
      <c r="E344" s="151">
        <v>1265137.15</v>
      </c>
      <c r="F344" s="8">
        <v>254722.84</v>
      </c>
      <c r="G344" s="152">
        <v>1470891.0</v>
      </c>
      <c r="H344" s="151">
        <f t="shared" si="1"/>
        <v>460476.69</v>
      </c>
      <c r="I344" s="64"/>
      <c r="J344" s="64"/>
    </row>
    <row r="345">
      <c r="A345" s="149">
        <v>46168.0</v>
      </c>
      <c r="B345" s="64" t="s">
        <v>696</v>
      </c>
      <c r="C345" s="64" t="s">
        <v>701</v>
      </c>
      <c r="D345" s="149">
        <v>46167.0</v>
      </c>
      <c r="E345" s="151">
        <v>1265137.15</v>
      </c>
      <c r="F345" s="8">
        <v>254722.84</v>
      </c>
      <c r="G345" s="152">
        <v>1288118.0</v>
      </c>
      <c r="H345" s="151">
        <f t="shared" si="1"/>
        <v>277703.69</v>
      </c>
      <c r="I345" s="64"/>
      <c r="J345" s="64"/>
    </row>
    <row r="346">
      <c r="A346" s="149">
        <v>46169.0</v>
      </c>
      <c r="B346" s="64" t="s">
        <v>696</v>
      </c>
      <c r="C346" s="64" t="s">
        <v>701</v>
      </c>
      <c r="D346" s="149">
        <v>46168.0</v>
      </c>
      <c r="E346" s="151">
        <v>1265137.15</v>
      </c>
      <c r="F346" s="8">
        <v>254722.84</v>
      </c>
      <c r="G346" s="152">
        <v>1342747.0</v>
      </c>
      <c r="H346" s="151">
        <f t="shared" si="1"/>
        <v>332332.69</v>
      </c>
      <c r="I346" s="64"/>
      <c r="J346" s="64"/>
    </row>
    <row r="347">
      <c r="A347" s="149">
        <v>46171.0</v>
      </c>
      <c r="B347" s="64" t="s">
        <v>696</v>
      </c>
      <c r="C347" s="64" t="s">
        <v>701</v>
      </c>
      <c r="D347" s="149">
        <v>46169.0</v>
      </c>
      <c r="E347" s="151">
        <v>1265137.15</v>
      </c>
      <c r="F347" s="8">
        <v>254722.84</v>
      </c>
      <c r="G347" s="152">
        <v>1339409.0</v>
      </c>
      <c r="H347" s="151">
        <f t="shared" si="1"/>
        <v>328994.69</v>
      </c>
      <c r="I347" s="64"/>
      <c r="J347" s="64"/>
    </row>
    <row r="348">
      <c r="A348" s="149">
        <v>46174.0</v>
      </c>
      <c r="B348" s="64" t="s">
        <v>696</v>
      </c>
      <c r="C348" s="64" t="s">
        <v>701</v>
      </c>
      <c r="D348" s="149">
        <v>46171.0</v>
      </c>
      <c r="E348" s="151">
        <v>1265137.15</v>
      </c>
      <c r="F348" s="8">
        <v>254722.84</v>
      </c>
      <c r="G348" s="152">
        <v>1481623.0</v>
      </c>
      <c r="H348" s="151">
        <f t="shared" si="1"/>
        <v>471208.69</v>
      </c>
      <c r="I348" s="64"/>
      <c r="J348" s="64"/>
    </row>
    <row r="349">
      <c r="A349" s="149">
        <v>46175.0</v>
      </c>
      <c r="B349" s="64" t="s">
        <v>696</v>
      </c>
      <c r="C349" s="64" t="s">
        <v>701</v>
      </c>
      <c r="D349" s="149">
        <v>46174.0</v>
      </c>
      <c r="E349" s="151">
        <v>1265137.15</v>
      </c>
      <c r="F349" s="8">
        <v>254722.84</v>
      </c>
      <c r="G349" s="152">
        <v>1646398.0</v>
      </c>
      <c r="H349" s="151">
        <f t="shared" si="1"/>
        <v>635983.69</v>
      </c>
      <c r="I349" s="64"/>
      <c r="J349" s="64"/>
    </row>
    <row r="350">
      <c r="A350" s="149">
        <v>46176.0</v>
      </c>
      <c r="B350" s="64" t="s">
        <v>696</v>
      </c>
      <c r="C350" s="64" t="s">
        <v>701</v>
      </c>
      <c r="D350" s="149">
        <v>46175.0</v>
      </c>
      <c r="E350" s="151">
        <v>1265137.15</v>
      </c>
      <c r="F350" s="8">
        <v>254722.84</v>
      </c>
      <c r="G350" s="152">
        <v>1547659.0</v>
      </c>
      <c r="H350" s="151">
        <f t="shared" si="1"/>
        <v>537244.69</v>
      </c>
      <c r="I350" s="64"/>
      <c r="J350" s="64"/>
    </row>
    <row r="351">
      <c r="A351" s="149">
        <v>46177.0</v>
      </c>
      <c r="B351" s="64" t="s">
        <v>696</v>
      </c>
      <c r="C351" s="64" t="s">
        <v>701</v>
      </c>
      <c r="D351" s="149">
        <v>46176.0</v>
      </c>
      <c r="E351" s="151">
        <v>1265137.15</v>
      </c>
      <c r="F351" s="8">
        <v>254722.84</v>
      </c>
      <c r="G351" s="152">
        <v>1578967.0</v>
      </c>
      <c r="H351" s="151">
        <f t="shared" si="1"/>
        <v>568552.69</v>
      </c>
      <c r="I351" s="64"/>
      <c r="J351" s="64"/>
    </row>
    <row r="352">
      <c r="A352" s="149">
        <v>46178.0</v>
      </c>
      <c r="B352" s="64" t="s">
        <v>696</v>
      </c>
      <c r="C352" s="64" t="s">
        <v>701</v>
      </c>
      <c r="D352" s="149">
        <v>46177.0</v>
      </c>
      <c r="E352" s="151">
        <v>1265137.15</v>
      </c>
      <c r="F352" s="8">
        <v>254722.84</v>
      </c>
      <c r="G352" s="152">
        <v>1608204.0</v>
      </c>
      <c r="H352" s="151">
        <f t="shared" si="1"/>
        <v>597789.69</v>
      </c>
      <c r="I352" s="64"/>
      <c r="J352" s="64"/>
    </row>
    <row r="353">
      <c r="A353" s="149">
        <v>46181.0</v>
      </c>
      <c r="B353" s="64" t="s">
        <v>696</v>
      </c>
      <c r="C353" s="64" t="s">
        <v>701</v>
      </c>
      <c r="D353" s="149">
        <v>46178.0</v>
      </c>
      <c r="E353" s="151">
        <v>1265137.15</v>
      </c>
      <c r="F353" s="8">
        <v>254722.84</v>
      </c>
      <c r="G353" s="152">
        <v>1632835.0</v>
      </c>
      <c r="H353" s="151">
        <f t="shared" si="1"/>
        <v>622420.69</v>
      </c>
      <c r="I353" s="64"/>
      <c r="J353" s="64"/>
    </row>
    <row r="354">
      <c r="A354" s="149">
        <v>46182.0</v>
      </c>
      <c r="B354" s="64" t="s">
        <v>696</v>
      </c>
      <c r="C354" s="64" t="s">
        <v>701</v>
      </c>
      <c r="D354" s="149">
        <v>46181.0</v>
      </c>
      <c r="E354" s="151">
        <v>1265137.15</v>
      </c>
      <c r="F354" s="8">
        <v>254722.84</v>
      </c>
      <c r="G354" s="152">
        <v>1814933.0</v>
      </c>
      <c r="H354" s="151">
        <f t="shared" si="1"/>
        <v>804518.69</v>
      </c>
      <c r="I354" s="64"/>
      <c r="J354" s="64"/>
    </row>
    <row r="355">
      <c r="A355" s="149">
        <v>46183.0</v>
      </c>
      <c r="B355" s="64" t="s">
        <v>696</v>
      </c>
      <c r="C355" s="64" t="s">
        <v>701</v>
      </c>
      <c r="D355" s="149">
        <v>46182.0</v>
      </c>
      <c r="E355" s="151">
        <v>1265137.15</v>
      </c>
      <c r="F355" s="8">
        <v>254722.84</v>
      </c>
      <c r="G355" s="152">
        <v>1700942.0</v>
      </c>
      <c r="H355" s="151">
        <f t="shared" si="1"/>
        <v>690527.69</v>
      </c>
      <c r="I355" s="64"/>
      <c r="J355" s="64"/>
    </row>
    <row r="356">
      <c r="A356" s="149">
        <v>46184.0</v>
      </c>
      <c r="B356" s="64" t="s">
        <v>696</v>
      </c>
      <c r="C356" s="64" t="s">
        <v>701</v>
      </c>
      <c r="D356" s="149">
        <v>46183.0</v>
      </c>
      <c r="E356" s="151">
        <v>1265137.15</v>
      </c>
      <c r="F356" s="8">
        <v>254722.84</v>
      </c>
      <c r="G356" s="152">
        <v>1786625.0</v>
      </c>
      <c r="H356" s="151">
        <f t="shared" si="1"/>
        <v>776210.69</v>
      </c>
      <c r="I356" s="64"/>
      <c r="J356" s="64"/>
    </row>
    <row r="357">
      <c r="A357" s="149">
        <v>46185.0</v>
      </c>
      <c r="B357" s="64" t="s">
        <v>696</v>
      </c>
      <c r="C357" s="64" t="s">
        <v>701</v>
      </c>
      <c r="D357" s="149">
        <v>46184.0</v>
      </c>
      <c r="E357" s="151">
        <v>1265137.15</v>
      </c>
      <c r="F357" s="8">
        <v>254722.84</v>
      </c>
      <c r="G357" s="152">
        <v>1815271.0</v>
      </c>
      <c r="H357" s="151">
        <f t="shared" si="1"/>
        <v>804856.69</v>
      </c>
      <c r="I357" s="64"/>
      <c r="J357" s="64"/>
    </row>
    <row r="358">
      <c r="A358" s="149">
        <v>46188.0</v>
      </c>
      <c r="B358" s="64" t="s">
        <v>696</v>
      </c>
      <c r="C358" s="64" t="s">
        <v>701</v>
      </c>
      <c r="D358" s="149">
        <v>46185.0</v>
      </c>
      <c r="E358" s="151">
        <v>1265137.15</v>
      </c>
      <c r="F358" s="8">
        <v>254722.84</v>
      </c>
      <c r="G358" s="152">
        <v>1514789.0</v>
      </c>
      <c r="H358" s="151">
        <f t="shared" si="1"/>
        <v>504374.69</v>
      </c>
      <c r="I358" s="64"/>
      <c r="J358" s="64"/>
    </row>
    <row r="359">
      <c r="A359" s="149">
        <v>46189.0</v>
      </c>
      <c r="B359" s="64" t="s">
        <v>696</v>
      </c>
      <c r="C359" s="64" t="s">
        <v>701</v>
      </c>
      <c r="D359" s="149">
        <v>46188.0</v>
      </c>
      <c r="E359" s="151">
        <v>1265137.15</v>
      </c>
      <c r="F359" s="8">
        <v>254722.84</v>
      </c>
      <c r="G359" s="152">
        <v>1352971.0</v>
      </c>
      <c r="H359" s="151">
        <f t="shared" si="1"/>
        <v>342556.69</v>
      </c>
      <c r="I359" s="64"/>
      <c r="J359" s="64"/>
    </row>
    <row r="360">
      <c r="A360" s="149">
        <v>46190.0</v>
      </c>
      <c r="B360" s="64" t="s">
        <v>696</v>
      </c>
      <c r="C360" s="64" t="s">
        <v>701</v>
      </c>
      <c r="D360" s="149">
        <v>46189.0</v>
      </c>
      <c r="E360" s="151">
        <v>1265137.15</v>
      </c>
      <c r="F360" s="8">
        <v>254722.84</v>
      </c>
      <c r="G360" s="152">
        <v>1297497.0</v>
      </c>
      <c r="H360" s="151">
        <f t="shared" si="1"/>
        <v>287082.69</v>
      </c>
      <c r="I360" s="64"/>
      <c r="J360" s="64"/>
    </row>
    <row r="361">
      <c r="A361" s="149">
        <v>46191.0</v>
      </c>
      <c r="B361" s="64" t="s">
        <v>696</v>
      </c>
      <c r="C361" s="64" t="s">
        <v>701</v>
      </c>
      <c r="D361" s="149">
        <v>46190.0</v>
      </c>
      <c r="E361" s="151">
        <v>1265137.15</v>
      </c>
      <c r="F361" s="8">
        <v>254722.84</v>
      </c>
      <c r="G361" s="152">
        <v>1251149.0</v>
      </c>
      <c r="H361" s="151">
        <f t="shared" si="1"/>
        <v>240734.69</v>
      </c>
      <c r="I361" s="64"/>
      <c r="J361" s="64"/>
    </row>
    <row r="362">
      <c r="A362" s="149">
        <v>46192.0</v>
      </c>
      <c r="B362" s="64" t="s">
        <v>696</v>
      </c>
      <c r="C362" s="64" t="s">
        <v>701</v>
      </c>
      <c r="D362" s="149">
        <v>46191.0</v>
      </c>
      <c r="E362" s="151">
        <v>1265137.15</v>
      </c>
      <c r="F362" s="8">
        <v>254722.84</v>
      </c>
      <c r="G362" s="152">
        <v>1170620.0</v>
      </c>
      <c r="H362" s="151">
        <f t="shared" si="1"/>
        <v>160205.69</v>
      </c>
      <c r="I362" s="64"/>
      <c r="J362" s="64"/>
    </row>
    <row r="363">
      <c r="A363" s="149">
        <v>46195.0</v>
      </c>
      <c r="B363" s="64" t="s">
        <v>696</v>
      </c>
      <c r="C363" s="64" t="s">
        <v>701</v>
      </c>
      <c r="D363" s="149">
        <v>46192.0</v>
      </c>
      <c r="E363" s="151">
        <v>1265137.15</v>
      </c>
      <c r="F363" s="8">
        <v>254722.84</v>
      </c>
      <c r="G363" s="152">
        <v>1239657.0</v>
      </c>
      <c r="H363" s="151">
        <f t="shared" si="1"/>
        <v>229242.69</v>
      </c>
      <c r="I363" s="64"/>
      <c r="J363" s="64"/>
    </row>
    <row r="364">
      <c r="A364" s="149">
        <v>46196.0</v>
      </c>
      <c r="B364" s="64" t="s">
        <v>696</v>
      </c>
      <c r="C364" s="64" t="s">
        <v>701</v>
      </c>
      <c r="D364" s="149">
        <v>46195.0</v>
      </c>
      <c r="E364" s="151">
        <v>1265137.15</v>
      </c>
      <c r="F364" s="8">
        <v>254722.84</v>
      </c>
      <c r="G364" s="152">
        <v>1196520.0</v>
      </c>
      <c r="H364" s="151">
        <f t="shared" si="1"/>
        <v>186105.69</v>
      </c>
      <c r="I364" s="64"/>
      <c r="J364" s="64"/>
    </row>
    <row r="365">
      <c r="A365" s="149">
        <v>46197.0</v>
      </c>
      <c r="B365" s="64" t="s">
        <v>696</v>
      </c>
      <c r="C365" s="64" t="s">
        <v>701</v>
      </c>
      <c r="D365" s="149">
        <v>46196.0</v>
      </c>
      <c r="E365" s="151">
        <v>1265137.15</v>
      </c>
      <c r="F365" s="8">
        <v>254722.84</v>
      </c>
      <c r="G365" s="152">
        <v>1371646.0</v>
      </c>
      <c r="H365" s="151">
        <f t="shared" si="1"/>
        <v>361231.69</v>
      </c>
      <c r="I365" s="64"/>
      <c r="J365" s="64"/>
    </row>
    <row r="366">
      <c r="A366" s="149">
        <v>46198.0</v>
      </c>
      <c r="B366" s="64" t="s">
        <v>696</v>
      </c>
      <c r="C366" s="64" t="s">
        <v>701</v>
      </c>
      <c r="D366" s="149">
        <v>46197.0</v>
      </c>
      <c r="E366" s="151">
        <v>1265137.15</v>
      </c>
      <c r="F366" s="8">
        <v>254722.84</v>
      </c>
      <c r="G366" s="152">
        <v>1246037.0</v>
      </c>
      <c r="H366" s="151">
        <f t="shared" si="1"/>
        <v>235622.69</v>
      </c>
      <c r="I366" s="64"/>
      <c r="J366" s="64"/>
    </row>
    <row r="367">
      <c r="A367" s="149">
        <v>46202.0</v>
      </c>
      <c r="B367" s="64" t="s">
        <v>696</v>
      </c>
      <c r="C367" s="64" t="s">
        <v>701</v>
      </c>
      <c r="D367" s="149">
        <v>46198.0</v>
      </c>
      <c r="E367" s="151">
        <v>1265137.15</v>
      </c>
      <c r="F367" s="8">
        <v>254722.84</v>
      </c>
      <c r="G367" s="152">
        <v>1218743.0</v>
      </c>
      <c r="H367" s="151">
        <f t="shared" si="1"/>
        <v>208328.69</v>
      </c>
      <c r="I367" s="64"/>
      <c r="J367" s="64"/>
    </row>
    <row r="368">
      <c r="A368" s="149">
        <v>46203.0</v>
      </c>
      <c r="B368" s="64" t="s">
        <v>696</v>
      </c>
      <c r="C368" s="64" t="s">
        <v>701</v>
      </c>
      <c r="D368" s="149">
        <v>46202.0</v>
      </c>
      <c r="E368" s="151">
        <v>1265137.15</v>
      </c>
      <c r="F368" s="8">
        <v>254722.84</v>
      </c>
      <c r="G368" s="152">
        <v>1285540.0</v>
      </c>
      <c r="H368" s="151">
        <f t="shared" si="1"/>
        <v>275125.69</v>
      </c>
      <c r="I368" s="64"/>
      <c r="J368" s="64"/>
    </row>
    <row r="369">
      <c r="A369" s="149">
        <v>46204.0</v>
      </c>
      <c r="B369" s="64" t="s">
        <v>696</v>
      </c>
      <c r="C369" s="64" t="s">
        <v>701</v>
      </c>
      <c r="D369" s="149">
        <v>46203.0</v>
      </c>
      <c r="E369" s="151">
        <v>1265137.15</v>
      </c>
      <c r="F369" s="8">
        <v>254722.84</v>
      </c>
      <c r="G369" s="152">
        <v>1284315.0</v>
      </c>
      <c r="H369" s="151">
        <f t="shared" si="1"/>
        <v>273900.69</v>
      </c>
      <c r="I369" s="64"/>
      <c r="J369" s="64"/>
    </row>
    <row r="370">
      <c r="A370" s="149">
        <v>46205.0</v>
      </c>
      <c r="B370" s="64" t="s">
        <v>696</v>
      </c>
      <c r="C370" s="64" t="s">
        <v>701</v>
      </c>
      <c r="D370" s="149">
        <v>46204.0</v>
      </c>
      <c r="E370" s="151">
        <v>1265137.15</v>
      </c>
      <c r="F370" s="8">
        <v>254722.84</v>
      </c>
      <c r="G370" s="152">
        <v>1271133.0</v>
      </c>
      <c r="H370" s="151">
        <f t="shared" si="1"/>
        <v>260718.69</v>
      </c>
      <c r="I370" s="64"/>
      <c r="J370" s="64"/>
    </row>
    <row r="371">
      <c r="A371" s="149">
        <v>46206.0</v>
      </c>
      <c r="B371" s="64" t="s">
        <v>696</v>
      </c>
      <c r="C371" s="64" t="s">
        <v>701</v>
      </c>
      <c r="D371" s="149">
        <v>46205.0</v>
      </c>
      <c r="E371" s="151">
        <v>1265137.15</v>
      </c>
      <c r="F371" s="8">
        <v>254722.84</v>
      </c>
      <c r="G371" s="152">
        <v>1173493.0</v>
      </c>
      <c r="H371" s="151">
        <f t="shared" si="1"/>
        <v>163078.69</v>
      </c>
      <c r="I371" s="64"/>
      <c r="J371" s="64"/>
    </row>
    <row r="372">
      <c r="A372" s="149">
        <v>46209.0</v>
      </c>
      <c r="B372" s="64" t="s">
        <v>696</v>
      </c>
      <c r="C372" s="64" t="s">
        <v>701</v>
      </c>
      <c r="D372" s="149">
        <v>46206.0</v>
      </c>
      <c r="E372" s="151">
        <v>1265137.15</v>
      </c>
      <c r="F372" s="8">
        <v>254722.84</v>
      </c>
      <c r="G372" s="152">
        <v>1107921.0</v>
      </c>
      <c r="H372" s="151">
        <f t="shared" si="1"/>
        <v>97506.69</v>
      </c>
      <c r="I372" s="64"/>
      <c r="J372" s="64"/>
    </row>
    <row r="373">
      <c r="A373" s="149">
        <v>46210.0</v>
      </c>
      <c r="B373" s="64" t="s">
        <v>696</v>
      </c>
      <c r="C373" s="64" t="s">
        <v>701</v>
      </c>
      <c r="D373" s="149">
        <v>46209.0</v>
      </c>
      <c r="E373" s="151">
        <v>1265137.15</v>
      </c>
      <c r="F373" s="8">
        <v>254722.84</v>
      </c>
      <c r="G373" s="152">
        <v>1032463.0</v>
      </c>
      <c r="H373" s="151">
        <f t="shared" si="1"/>
        <v>22048.69</v>
      </c>
      <c r="I373" s="64"/>
      <c r="J373" s="64"/>
    </row>
    <row r="374">
      <c r="A374" s="149">
        <v>46211.0</v>
      </c>
      <c r="B374" s="64" t="s">
        <v>696</v>
      </c>
      <c r="C374" s="64" t="s">
        <v>701</v>
      </c>
      <c r="D374" s="149">
        <v>46210.0</v>
      </c>
      <c r="E374" s="151">
        <v>1265137.15</v>
      </c>
      <c r="F374" s="8">
        <v>254722.84</v>
      </c>
      <c r="G374" s="152">
        <v>1052067.0</v>
      </c>
      <c r="H374" s="151">
        <f t="shared" si="1"/>
        <v>41652.69</v>
      </c>
      <c r="I374" s="64"/>
      <c r="J374" s="64"/>
    </row>
    <row r="375">
      <c r="A375" s="149">
        <v>46212.0</v>
      </c>
      <c r="B375" s="64" t="s">
        <v>696</v>
      </c>
      <c r="C375" s="64" t="s">
        <v>701</v>
      </c>
      <c r="D375" s="149">
        <v>46211.0</v>
      </c>
      <c r="E375" s="151">
        <v>1265137.15</v>
      </c>
      <c r="F375" s="8">
        <v>254722.84</v>
      </c>
      <c r="G375" s="152">
        <v>1370970.0</v>
      </c>
      <c r="H375" s="151">
        <f t="shared" si="1"/>
        <v>360555.69</v>
      </c>
      <c r="I375" s="64"/>
      <c r="J375" s="64"/>
    </row>
    <row r="376">
      <c r="A376" s="149">
        <v>46213.0</v>
      </c>
      <c r="B376" s="64" t="s">
        <v>696</v>
      </c>
      <c r="C376" s="64" t="s">
        <v>701</v>
      </c>
      <c r="D376" s="149">
        <v>46212.0</v>
      </c>
      <c r="E376" s="151">
        <v>1265137.15</v>
      </c>
      <c r="F376" s="8">
        <v>254722.84</v>
      </c>
      <c r="G376" s="152">
        <v>1324368.0</v>
      </c>
      <c r="H376" s="151">
        <f t="shared" si="1"/>
        <v>313953.69</v>
      </c>
      <c r="I376" s="64"/>
      <c r="J376" s="64"/>
    </row>
    <row r="377">
      <c r="A377" s="149">
        <v>46216.0</v>
      </c>
      <c r="B377" s="64" t="s">
        <v>696</v>
      </c>
      <c r="C377" s="64" t="s">
        <v>701</v>
      </c>
      <c r="D377" s="149">
        <v>46213.0</v>
      </c>
      <c r="E377" s="151">
        <v>1265137.15</v>
      </c>
      <c r="F377" s="8">
        <v>254722.84</v>
      </c>
      <c r="G377" s="152">
        <v>1168212.0</v>
      </c>
      <c r="H377" s="151">
        <f t="shared" si="1"/>
        <v>157797.69</v>
      </c>
      <c r="I377" s="64"/>
      <c r="J377" s="64"/>
    </row>
    <row r="378">
      <c r="A378" s="149">
        <v>46217.0</v>
      </c>
      <c r="B378" s="64" t="s">
        <v>696</v>
      </c>
      <c r="C378" s="64" t="s">
        <v>701</v>
      </c>
      <c r="D378" s="149">
        <v>46216.0</v>
      </c>
      <c r="E378" s="151">
        <v>1265137.15</v>
      </c>
      <c r="F378" s="8">
        <v>254722.84</v>
      </c>
      <c r="G378" s="152">
        <v>1169142.0</v>
      </c>
      <c r="H378" s="151">
        <f t="shared" si="1"/>
        <v>158727.69</v>
      </c>
      <c r="I378" s="64"/>
      <c r="J378" s="64"/>
    </row>
    <row r="379">
      <c r="A379" s="149">
        <v>46218.0</v>
      </c>
      <c r="B379" s="64" t="s">
        <v>696</v>
      </c>
      <c r="C379" s="64" t="s">
        <v>701</v>
      </c>
      <c r="D379" s="149">
        <v>46217.0</v>
      </c>
      <c r="E379" s="151">
        <v>1265137.15</v>
      </c>
      <c r="F379" s="8">
        <v>254722.84</v>
      </c>
      <c r="G379" s="152">
        <v>1305187.0</v>
      </c>
      <c r="H379" s="151">
        <f t="shared" si="1"/>
        <v>294772.69</v>
      </c>
      <c r="I379" s="64"/>
      <c r="J379" s="64"/>
    </row>
    <row r="380">
      <c r="A380" s="149">
        <v>46219.0</v>
      </c>
      <c r="B380" s="64" t="s">
        <v>696</v>
      </c>
      <c r="C380" s="64" t="s">
        <v>701</v>
      </c>
      <c r="D380" s="149">
        <v>46218.0</v>
      </c>
      <c r="E380" s="151">
        <v>1265137.15</v>
      </c>
      <c r="F380" s="8">
        <v>254722.84</v>
      </c>
      <c r="G380" s="152">
        <v>1270668.0</v>
      </c>
      <c r="H380" s="151">
        <f t="shared" si="1"/>
        <v>260253.69</v>
      </c>
      <c r="I380" s="64"/>
      <c r="J380" s="64"/>
    </row>
    <row r="381">
      <c r="A381" s="149">
        <v>46220.0</v>
      </c>
      <c r="B381" s="64" t="s">
        <v>696</v>
      </c>
      <c r="C381" s="64" t="s">
        <v>701</v>
      </c>
      <c r="D381" s="149">
        <v>46219.0</v>
      </c>
      <c r="E381" s="151">
        <v>1265137.15</v>
      </c>
      <c r="F381" s="8">
        <v>254722.84</v>
      </c>
      <c r="G381" s="152">
        <v>1246332.0</v>
      </c>
      <c r="H381" s="151">
        <f t="shared" si="1"/>
        <v>235917.69</v>
      </c>
      <c r="I381" s="64"/>
      <c r="J381" s="64"/>
    </row>
    <row r="382">
      <c r="A382" s="149">
        <v>46223.0</v>
      </c>
      <c r="B382" s="64" t="s">
        <v>696</v>
      </c>
      <c r="C382" s="64" t="s">
        <v>701</v>
      </c>
      <c r="D382" s="149">
        <v>46220.0</v>
      </c>
      <c r="E382" s="151">
        <v>1265137.15</v>
      </c>
      <c r="F382" s="8">
        <v>254722.84</v>
      </c>
      <c r="G382" s="152">
        <v>1127906.0</v>
      </c>
      <c r="H382" s="151">
        <f t="shared" si="1"/>
        <v>117491.69</v>
      </c>
      <c r="I382" s="64"/>
      <c r="J382" s="64"/>
    </row>
    <row r="383">
      <c r="A383" s="149">
        <v>46224.0</v>
      </c>
      <c r="B383" s="64" t="s">
        <v>696</v>
      </c>
      <c r="C383" s="64" t="s">
        <v>701</v>
      </c>
      <c r="D383" s="149">
        <v>46223.0</v>
      </c>
      <c r="E383" s="151">
        <v>1265137.15</v>
      </c>
      <c r="F383" s="8">
        <v>254722.84</v>
      </c>
      <c r="G383" s="152">
        <v>1160692.0</v>
      </c>
      <c r="H383" s="151">
        <f t="shared" si="1"/>
        <v>150277.69</v>
      </c>
      <c r="I383" s="64"/>
      <c r="J383" s="64"/>
    </row>
    <row r="384">
      <c r="A384" s="149">
        <v>46225.0</v>
      </c>
      <c r="B384" s="64" t="s">
        <v>696</v>
      </c>
      <c r="C384" s="64" t="s">
        <v>701</v>
      </c>
      <c r="D384" s="149">
        <v>46224.0</v>
      </c>
      <c r="E384" s="151">
        <v>1265137.15</v>
      </c>
      <c r="F384" s="8">
        <v>254722.84</v>
      </c>
      <c r="G384" s="152">
        <v>1202139.0</v>
      </c>
      <c r="H384" s="151">
        <f t="shared" si="1"/>
        <v>191724.69</v>
      </c>
      <c r="I384" s="64"/>
      <c r="J384" s="64"/>
    </row>
    <row r="385">
      <c r="A385" s="149">
        <v>46226.0</v>
      </c>
      <c r="B385" s="64" t="s">
        <v>696</v>
      </c>
      <c r="C385" s="64" t="s">
        <v>701</v>
      </c>
      <c r="D385" s="149">
        <v>46225.0</v>
      </c>
      <c r="E385" s="151">
        <v>1265137.15</v>
      </c>
      <c r="F385" s="8">
        <v>254722.84</v>
      </c>
      <c r="G385" s="152">
        <v>1317946.0</v>
      </c>
      <c r="H385" s="151">
        <f t="shared" si="1"/>
        <v>307531.69</v>
      </c>
      <c r="I385" s="64"/>
      <c r="J385" s="64"/>
    </row>
    <row r="386">
      <c r="A386" s="149">
        <v>46227.0</v>
      </c>
      <c r="B386" s="64" t="s">
        <v>696</v>
      </c>
      <c r="C386" s="64" t="s">
        <v>701</v>
      </c>
      <c r="D386" s="149">
        <v>46226.0</v>
      </c>
      <c r="E386" s="151">
        <v>1265137.15</v>
      </c>
      <c r="F386" s="8">
        <v>254722.84</v>
      </c>
      <c r="G386" s="152">
        <v>1399996.0</v>
      </c>
      <c r="H386" s="151">
        <f t="shared" si="1"/>
        <v>389581.69</v>
      </c>
      <c r="I386" s="64"/>
      <c r="J386" s="64"/>
    </row>
    <row r="387">
      <c r="A387" s="149">
        <v>46230.0</v>
      </c>
      <c r="B387" s="64" t="s">
        <v>696</v>
      </c>
      <c r="C387" s="64" t="s">
        <v>701</v>
      </c>
      <c r="D387" s="149">
        <v>46227.0</v>
      </c>
      <c r="E387" s="151">
        <v>1265137.15</v>
      </c>
      <c r="F387" s="8">
        <v>254722.84</v>
      </c>
      <c r="G387" s="152">
        <v>1450231.0</v>
      </c>
      <c r="H387" s="151">
        <f t="shared" si="1"/>
        <v>439816.69</v>
      </c>
      <c r="I387" s="64"/>
      <c r="J387" s="64"/>
    </row>
    <row r="388">
      <c r="A388" s="149">
        <v>46231.0</v>
      </c>
      <c r="B388" s="64" t="s">
        <v>696</v>
      </c>
      <c r="C388" s="64" t="s">
        <v>701</v>
      </c>
      <c r="D388" s="149">
        <v>46230.0</v>
      </c>
      <c r="E388" s="151">
        <v>1265137.15</v>
      </c>
      <c r="F388" s="8">
        <v>254722.84</v>
      </c>
      <c r="G388" s="152">
        <v>1290653.0</v>
      </c>
      <c r="H388" s="151">
        <f t="shared" si="1"/>
        <v>280238.69</v>
      </c>
      <c r="I388" s="64"/>
      <c r="J388" s="64"/>
    </row>
    <row r="389">
      <c r="A389" s="149">
        <v>46232.0</v>
      </c>
      <c r="B389" s="64" t="s">
        <v>696</v>
      </c>
      <c r="C389" s="64" t="s">
        <v>701</v>
      </c>
      <c r="D389" s="149">
        <v>46231.0</v>
      </c>
      <c r="E389" s="151">
        <v>1265137.15</v>
      </c>
      <c r="F389" s="8">
        <v>254722.84</v>
      </c>
      <c r="G389" s="152">
        <v>1296061.0</v>
      </c>
      <c r="H389" s="151">
        <f t="shared" si="1"/>
        <v>285646.69</v>
      </c>
      <c r="I389" s="64"/>
      <c r="J389" s="64"/>
    </row>
    <row r="390">
      <c r="A390" s="149">
        <v>46233.0</v>
      </c>
      <c r="B390" s="64" t="s">
        <v>696</v>
      </c>
      <c r="C390" s="64" t="s">
        <v>701</v>
      </c>
      <c r="D390" s="149">
        <v>46232.0</v>
      </c>
      <c r="E390" s="151">
        <v>1265137.15</v>
      </c>
      <c r="F390" s="8">
        <v>254722.84</v>
      </c>
      <c r="G390" s="152">
        <v>1173578.0</v>
      </c>
      <c r="H390" s="151">
        <f t="shared" si="1"/>
        <v>163163.69</v>
      </c>
      <c r="I390" s="64"/>
      <c r="J390" s="64"/>
    </row>
    <row r="391">
      <c r="A391" s="149">
        <v>46234.0</v>
      </c>
      <c r="B391" s="64" t="s">
        <v>696</v>
      </c>
      <c r="C391" s="64" t="s">
        <v>701</v>
      </c>
      <c r="D391" s="149">
        <v>46233.0</v>
      </c>
      <c r="E391" s="151">
        <v>1265137.15</v>
      </c>
      <c r="F391" s="8">
        <v>254722.84</v>
      </c>
      <c r="G391" s="152">
        <v>1144721.0</v>
      </c>
      <c r="H391" s="151">
        <f t="shared" si="1"/>
        <v>134306.69</v>
      </c>
      <c r="I391" s="64"/>
      <c r="J391" s="64"/>
    </row>
    <row r="392">
      <c r="A392" s="149">
        <v>46237.0</v>
      </c>
      <c r="B392" s="64" t="s">
        <v>696</v>
      </c>
      <c r="C392" s="64" t="s">
        <v>701</v>
      </c>
      <c r="D392" s="149">
        <v>46234.0</v>
      </c>
      <c r="E392" s="151">
        <v>1265137.15</v>
      </c>
      <c r="F392" s="8">
        <v>254722.84</v>
      </c>
      <c r="G392" s="152">
        <v>1087261.0</v>
      </c>
      <c r="H392" s="151">
        <f t="shared" si="1"/>
        <v>76846.69</v>
      </c>
      <c r="I392" s="64"/>
      <c r="J392" s="64"/>
    </row>
    <row r="393">
      <c r="A393" s="149">
        <v>46238.0</v>
      </c>
      <c r="B393" s="64" t="s">
        <v>696</v>
      </c>
      <c r="C393" s="64" t="s">
        <v>701</v>
      </c>
      <c r="D393" s="149">
        <v>46237.0</v>
      </c>
      <c r="E393" s="151">
        <v>1265137.15</v>
      </c>
      <c r="F393" s="8">
        <v>254722.84</v>
      </c>
      <c r="G393" s="152">
        <v>964947.0</v>
      </c>
      <c r="H393" s="151">
        <f t="shared" si="1"/>
        <v>-45467.31</v>
      </c>
      <c r="I393" s="64"/>
      <c r="J393" s="64"/>
    </row>
    <row r="394">
      <c r="A394" s="149">
        <v>46239.0</v>
      </c>
      <c r="B394" s="64" t="s">
        <v>696</v>
      </c>
      <c r="C394" s="64" t="s">
        <v>701</v>
      </c>
      <c r="D394" s="149">
        <v>46238.0</v>
      </c>
      <c r="E394" s="151">
        <v>1265137.15</v>
      </c>
      <c r="F394" s="8">
        <v>254722.84</v>
      </c>
      <c r="G394" s="152">
        <v>990255.0</v>
      </c>
      <c r="H394" s="151">
        <f t="shared" si="1"/>
        <v>-20159.31</v>
      </c>
      <c r="I394" s="64"/>
      <c r="J394" s="64"/>
    </row>
    <row r="395">
      <c r="A395" s="149">
        <v>46240.0</v>
      </c>
      <c r="B395" s="64" t="s">
        <v>696</v>
      </c>
      <c r="C395" s="64" t="s">
        <v>701</v>
      </c>
      <c r="D395" s="149">
        <v>46239.0</v>
      </c>
      <c r="E395" s="151">
        <v>1265137.15</v>
      </c>
      <c r="F395" s="8">
        <v>254722.84</v>
      </c>
      <c r="G395" s="152">
        <v>934189.0</v>
      </c>
      <c r="H395" s="151">
        <f t="shared" si="1"/>
        <v>-76225.31</v>
      </c>
      <c r="I395" s="64"/>
      <c r="J395" s="64"/>
    </row>
    <row r="396">
      <c r="A396" s="149">
        <v>46241.0</v>
      </c>
      <c r="B396" s="64" t="s">
        <v>696</v>
      </c>
      <c r="C396" s="64" t="s">
        <v>701</v>
      </c>
      <c r="D396" s="149">
        <v>46240.0</v>
      </c>
      <c r="E396" s="151">
        <v>1265137.15</v>
      </c>
      <c r="F396" s="8">
        <v>254722.84</v>
      </c>
      <c r="G396" s="152">
        <v>891770.0</v>
      </c>
      <c r="H396" s="151">
        <f t="shared" si="1"/>
        <v>-118644.31</v>
      </c>
      <c r="I396" s="64"/>
      <c r="J396" s="64"/>
    </row>
    <row r="397">
      <c r="A397" s="149">
        <v>46244.0</v>
      </c>
      <c r="B397" s="64" t="s">
        <v>696</v>
      </c>
      <c r="C397" s="64" t="s">
        <v>701</v>
      </c>
      <c r="D397" s="149">
        <v>46241.0</v>
      </c>
      <c r="E397" s="151">
        <v>1265137.15</v>
      </c>
      <c r="F397" s="8">
        <v>254722.84</v>
      </c>
      <c r="G397" s="152">
        <v>933936.0</v>
      </c>
      <c r="H397" s="151">
        <f t="shared" si="1"/>
        <v>-76478.31</v>
      </c>
      <c r="I397" s="64"/>
      <c r="J397" s="64"/>
    </row>
    <row r="398">
      <c r="A398" s="149">
        <v>46245.0</v>
      </c>
      <c r="B398" s="64" t="s">
        <v>696</v>
      </c>
      <c r="C398" s="64" t="s">
        <v>701</v>
      </c>
      <c r="D398" s="149">
        <v>46244.0</v>
      </c>
      <c r="E398" s="151">
        <v>1265137.15</v>
      </c>
      <c r="F398" s="8">
        <v>254722.84</v>
      </c>
      <c r="G398" s="152">
        <v>929331.0</v>
      </c>
      <c r="H398" s="151">
        <f t="shared" si="1"/>
        <v>-81083.31</v>
      </c>
      <c r="I398" s="64"/>
      <c r="J398" s="64"/>
    </row>
    <row r="399">
      <c r="A399" s="149">
        <v>46246.0</v>
      </c>
      <c r="B399" s="64" t="s">
        <v>696</v>
      </c>
      <c r="C399" s="64" t="s">
        <v>701</v>
      </c>
      <c r="D399" s="149">
        <v>46245.0</v>
      </c>
      <c r="E399" s="151">
        <v>1265137.15</v>
      </c>
      <c r="F399" s="8">
        <v>254722.84</v>
      </c>
      <c r="G399" s="152">
        <v>984213.0</v>
      </c>
      <c r="H399" s="151">
        <f t="shared" si="1"/>
        <v>-26201.31</v>
      </c>
      <c r="I399" s="64"/>
      <c r="J399" s="64"/>
    </row>
    <row r="400">
      <c r="A400" s="149">
        <v>46247.0</v>
      </c>
      <c r="B400" s="64" t="s">
        <v>696</v>
      </c>
      <c r="C400" s="64" t="s">
        <v>701</v>
      </c>
      <c r="D400" s="149">
        <v>46246.0</v>
      </c>
      <c r="E400" s="151">
        <v>1265137.15</v>
      </c>
      <c r="F400" s="8">
        <v>254722.84</v>
      </c>
      <c r="G400" s="152">
        <v>1019915.0</v>
      </c>
      <c r="H400" s="151">
        <f t="shared" si="1"/>
        <v>9500.69</v>
      </c>
      <c r="I400" s="64"/>
      <c r="J400" s="64"/>
    </row>
    <row r="401">
      <c r="A401" s="149">
        <v>46248.0</v>
      </c>
      <c r="B401" s="64" t="s">
        <v>696</v>
      </c>
      <c r="C401" s="64" t="s">
        <v>701</v>
      </c>
      <c r="D401" s="149">
        <v>46247.0</v>
      </c>
      <c r="E401" s="151">
        <v>1265137.15</v>
      </c>
      <c r="F401" s="8">
        <v>254722.84</v>
      </c>
      <c r="G401" s="152">
        <v>1009479.0</v>
      </c>
      <c r="H401" s="151">
        <f t="shared" si="1"/>
        <v>-935.31</v>
      </c>
      <c r="I401" s="64"/>
      <c r="J401" s="64"/>
    </row>
    <row r="402">
      <c r="A402" s="149">
        <v>46251.0</v>
      </c>
      <c r="B402" s="64" t="s">
        <v>696</v>
      </c>
      <c r="C402" s="64" t="s">
        <v>701</v>
      </c>
      <c r="D402" s="149">
        <v>46248.0</v>
      </c>
      <c r="E402" s="151">
        <v>1265137.15</v>
      </c>
      <c r="F402" s="8">
        <v>254722.84</v>
      </c>
      <c r="G402" s="152">
        <v>1019408.0</v>
      </c>
      <c r="H402" s="151">
        <f t="shared" si="1"/>
        <v>8993.69</v>
      </c>
      <c r="I402" s="64"/>
      <c r="J402" s="64"/>
    </row>
    <row r="403">
      <c r="A403" s="149">
        <v>46252.0</v>
      </c>
      <c r="B403" s="64" t="s">
        <v>696</v>
      </c>
      <c r="C403" s="64" t="s">
        <v>701</v>
      </c>
      <c r="D403" s="149">
        <v>46251.0</v>
      </c>
      <c r="E403" s="151">
        <v>1265137.15</v>
      </c>
      <c r="F403" s="8">
        <v>254722.84</v>
      </c>
      <c r="G403" s="152">
        <v>1039941.0</v>
      </c>
      <c r="H403" s="151">
        <f t="shared" si="1"/>
        <v>29526.69</v>
      </c>
      <c r="I403" s="64"/>
      <c r="J403" s="64"/>
    </row>
    <row r="404">
      <c r="A404" s="149">
        <v>46253.0</v>
      </c>
      <c r="B404" s="64" t="s">
        <v>696</v>
      </c>
      <c r="C404" s="64" t="s">
        <v>701</v>
      </c>
      <c r="D404" s="149">
        <v>46252.0</v>
      </c>
      <c r="E404" s="151">
        <v>1265137.15</v>
      </c>
      <c r="F404" s="8">
        <v>254722.84</v>
      </c>
      <c r="G404" s="152">
        <v>1147383.0</v>
      </c>
      <c r="H404" s="151">
        <f t="shared" si="1"/>
        <v>136968.69</v>
      </c>
      <c r="I404" s="64"/>
      <c r="J404" s="64"/>
    </row>
    <row r="405">
      <c r="A405" s="149">
        <v>46254.0</v>
      </c>
      <c r="B405" s="64" t="s">
        <v>696</v>
      </c>
      <c r="C405" s="64" t="s">
        <v>701</v>
      </c>
      <c r="D405" s="149">
        <v>46253.0</v>
      </c>
      <c r="E405" s="151">
        <v>1265137.15</v>
      </c>
      <c r="F405" s="8">
        <v>254722.84</v>
      </c>
      <c r="G405" s="152">
        <v>1215870.0</v>
      </c>
      <c r="H405" s="151">
        <f t="shared" si="1"/>
        <v>205455.69</v>
      </c>
      <c r="I405" s="64"/>
      <c r="J405" s="64"/>
    </row>
    <row r="406">
      <c r="A406" s="149">
        <v>46255.0</v>
      </c>
      <c r="B406" s="64" t="s">
        <v>696</v>
      </c>
      <c r="C406" s="64" t="s">
        <v>701</v>
      </c>
      <c r="D406" s="149">
        <v>46254.0</v>
      </c>
      <c r="E406" s="151">
        <v>1265137.15</v>
      </c>
      <c r="F406" s="8">
        <v>254722.84</v>
      </c>
      <c r="G406" s="152">
        <v>1108513.0</v>
      </c>
      <c r="H406" s="151">
        <f t="shared" si="1"/>
        <v>98098.69</v>
      </c>
      <c r="I406" s="64"/>
      <c r="J406" s="64"/>
    </row>
    <row r="407">
      <c r="A407" s="149">
        <v>46258.0</v>
      </c>
      <c r="B407" s="64" t="s">
        <v>696</v>
      </c>
      <c r="C407" s="64" t="s">
        <v>701</v>
      </c>
      <c r="D407" s="149">
        <v>46255.0</v>
      </c>
      <c r="E407" s="151">
        <v>1265137.15</v>
      </c>
      <c r="F407" s="8">
        <v>254722.84</v>
      </c>
      <c r="G407" s="152">
        <v>1114259.0</v>
      </c>
      <c r="H407" s="151">
        <f t="shared" si="1"/>
        <v>103844.69</v>
      </c>
      <c r="I407" s="64"/>
      <c r="J407" s="64"/>
    </row>
    <row r="408">
      <c r="A408" s="149">
        <v>46259.0</v>
      </c>
      <c r="B408" s="64" t="s">
        <v>696</v>
      </c>
      <c r="C408" s="64" t="s">
        <v>701</v>
      </c>
      <c r="D408" s="149">
        <v>46258.0</v>
      </c>
      <c r="E408" s="151">
        <v>1265137.15</v>
      </c>
      <c r="F408" s="8">
        <v>254722.84</v>
      </c>
      <c r="G408" s="152">
        <v>1159213.0</v>
      </c>
      <c r="H408" s="151">
        <f t="shared" si="1"/>
        <v>148798.69</v>
      </c>
      <c r="I408" s="64"/>
      <c r="J408" s="64"/>
    </row>
    <row r="409">
      <c r="A409" s="149">
        <v>46260.0</v>
      </c>
      <c r="B409" s="64" t="s">
        <v>696</v>
      </c>
      <c r="C409" s="64" t="s">
        <v>701</v>
      </c>
      <c r="D409" s="149">
        <v>46259.0</v>
      </c>
      <c r="E409" s="151">
        <v>1265137.15</v>
      </c>
      <c r="F409" s="8">
        <v>254722.84</v>
      </c>
      <c r="G409" s="152">
        <v>1061615.0</v>
      </c>
      <c r="H409" s="151">
        <f t="shared" si="1"/>
        <v>51200.69</v>
      </c>
      <c r="I409" s="64"/>
      <c r="J409" s="64"/>
    </row>
    <row r="410">
      <c r="A410" s="149">
        <v>46261.0</v>
      </c>
      <c r="B410" s="64" t="s">
        <v>696</v>
      </c>
      <c r="C410" s="64" t="s">
        <v>701</v>
      </c>
      <c r="D410" s="149">
        <v>46260.0</v>
      </c>
      <c r="E410" s="151">
        <v>1265137.15</v>
      </c>
      <c r="F410" s="8">
        <v>254722.84</v>
      </c>
      <c r="G410" s="152">
        <v>1079107.0</v>
      </c>
      <c r="H410" s="151">
        <f t="shared" si="1"/>
        <v>68692.69</v>
      </c>
      <c r="I410" s="64"/>
      <c r="J410" s="64"/>
    </row>
    <row r="411">
      <c r="A411" s="149">
        <v>46262.0</v>
      </c>
      <c r="B411" s="64" t="s">
        <v>696</v>
      </c>
      <c r="C411" s="64" t="s">
        <v>701</v>
      </c>
      <c r="D411" s="149">
        <v>46261.0</v>
      </c>
      <c r="E411" s="151">
        <v>1265137.15</v>
      </c>
      <c r="F411" s="8">
        <v>254722.84</v>
      </c>
      <c r="G411" s="152">
        <v>1183000.0</v>
      </c>
      <c r="H411" s="151">
        <f t="shared" si="1"/>
        <v>172585.69</v>
      </c>
      <c r="I411" s="64"/>
      <c r="J411" s="64"/>
    </row>
    <row r="412">
      <c r="A412" s="149">
        <v>46265.0</v>
      </c>
      <c r="B412" s="64" t="s">
        <v>696</v>
      </c>
      <c r="C412" s="64" t="s">
        <v>701</v>
      </c>
      <c r="D412" s="149">
        <v>46262.0</v>
      </c>
      <c r="E412" s="151">
        <v>1265137.15</v>
      </c>
      <c r="F412" s="8">
        <v>254722.84</v>
      </c>
      <c r="G412" s="152">
        <v>1150763.0</v>
      </c>
      <c r="H412" s="151">
        <f t="shared" si="1"/>
        <v>140348.69</v>
      </c>
      <c r="I412" s="64"/>
      <c r="J412" s="64"/>
    </row>
    <row r="413">
      <c r="A413" s="149">
        <v>46266.0</v>
      </c>
      <c r="B413" s="64" t="s">
        <v>696</v>
      </c>
      <c r="C413" s="64" t="s">
        <v>701</v>
      </c>
      <c r="D413" s="149">
        <v>46265.0</v>
      </c>
      <c r="E413" s="151">
        <v>1265137.15</v>
      </c>
      <c r="F413" s="8">
        <v>254722.84</v>
      </c>
      <c r="G413" s="152">
        <v>1206406.0</v>
      </c>
      <c r="H413" s="151">
        <f t="shared" si="1"/>
        <v>195991.69</v>
      </c>
      <c r="I413" s="64"/>
      <c r="J413" s="64"/>
    </row>
    <row r="414">
      <c r="A414" s="149">
        <v>46267.0</v>
      </c>
      <c r="B414" s="64" t="s">
        <v>696</v>
      </c>
      <c r="C414" s="64" t="s">
        <v>701</v>
      </c>
      <c r="D414" s="149">
        <v>46266.0</v>
      </c>
      <c r="E414" s="151">
        <v>1265137.15</v>
      </c>
      <c r="F414" s="8">
        <v>254722.84</v>
      </c>
      <c r="G414" s="152">
        <v>1328086.0</v>
      </c>
      <c r="H414" s="151">
        <f t="shared" si="1"/>
        <v>317671.69</v>
      </c>
      <c r="I414" s="64"/>
      <c r="J414" s="64"/>
    </row>
    <row r="415">
      <c r="A415" s="149">
        <v>46268.0</v>
      </c>
      <c r="B415" s="64" t="s">
        <v>696</v>
      </c>
      <c r="C415" s="64" t="s">
        <v>701</v>
      </c>
      <c r="D415" s="149">
        <v>46267.0</v>
      </c>
      <c r="E415" s="151">
        <v>1265137.15</v>
      </c>
      <c r="F415" s="8">
        <v>254722.84</v>
      </c>
      <c r="G415" s="152">
        <v>1392602.0</v>
      </c>
      <c r="H415" s="151">
        <f t="shared" si="1"/>
        <v>382187.69</v>
      </c>
      <c r="I415" s="64"/>
      <c r="J415" s="64"/>
    </row>
    <row r="416">
      <c r="A416" s="149">
        <v>46269.0</v>
      </c>
      <c r="B416" s="64" t="s">
        <v>696</v>
      </c>
      <c r="C416" s="64" t="s">
        <v>701</v>
      </c>
      <c r="D416" s="149">
        <v>46268.0</v>
      </c>
      <c r="E416" s="151">
        <v>1265137.15</v>
      </c>
      <c r="F416" s="8">
        <v>254722.84</v>
      </c>
      <c r="G416" s="152">
        <v>1387236.0</v>
      </c>
      <c r="H416" s="151">
        <f t="shared" si="1"/>
        <v>376821.69</v>
      </c>
      <c r="I416" s="64"/>
      <c r="J416" s="64"/>
    </row>
    <row r="417">
      <c r="A417" s="149">
        <v>46272.0</v>
      </c>
      <c r="B417" s="64" t="s">
        <v>696</v>
      </c>
      <c r="C417" s="64" t="s">
        <v>701</v>
      </c>
      <c r="D417" s="149">
        <v>46269.0</v>
      </c>
      <c r="E417" s="151">
        <v>1265137.15</v>
      </c>
      <c r="F417" s="8">
        <v>254722.84</v>
      </c>
      <c r="G417" s="152">
        <v>1352084.0</v>
      </c>
      <c r="H417" s="151">
        <f t="shared" si="1"/>
        <v>341669.69</v>
      </c>
      <c r="I417" s="64"/>
      <c r="J417" s="64"/>
    </row>
    <row r="418">
      <c r="A418" s="149">
        <v>46273.0</v>
      </c>
      <c r="B418" s="64" t="s">
        <v>696</v>
      </c>
      <c r="C418" s="64" t="s">
        <v>701</v>
      </c>
      <c r="D418" s="149">
        <v>46272.0</v>
      </c>
      <c r="E418" s="151">
        <v>1265137.15</v>
      </c>
      <c r="F418" s="8">
        <v>254722.84</v>
      </c>
      <c r="G418" s="152">
        <v>1486566.0</v>
      </c>
      <c r="H418" s="151">
        <f t="shared" si="1"/>
        <v>476151.69</v>
      </c>
      <c r="I418" s="64"/>
      <c r="J418" s="64"/>
    </row>
    <row r="419">
      <c r="A419" s="149">
        <v>46274.0</v>
      </c>
      <c r="B419" s="64" t="s">
        <v>696</v>
      </c>
      <c r="C419" s="64" t="s">
        <v>701</v>
      </c>
      <c r="D419" s="149">
        <v>46273.0</v>
      </c>
      <c r="E419" s="151">
        <v>1265137.15</v>
      </c>
      <c r="F419" s="8">
        <v>254722.84</v>
      </c>
      <c r="G419" s="152">
        <v>1583572.0</v>
      </c>
      <c r="H419" s="151">
        <f t="shared" si="1"/>
        <v>573157.69</v>
      </c>
      <c r="I419" s="64"/>
      <c r="J419" s="64"/>
    </row>
    <row r="420">
      <c r="A420" s="149">
        <v>46275.0</v>
      </c>
      <c r="B420" s="64" t="s">
        <v>696</v>
      </c>
      <c r="C420" s="64" t="s">
        <v>701</v>
      </c>
      <c r="D420" s="149">
        <v>46274.0</v>
      </c>
      <c r="E420" s="151">
        <v>1265137.15</v>
      </c>
      <c r="F420" s="8">
        <v>254722.84</v>
      </c>
      <c r="G420" s="152">
        <v>1739855.0</v>
      </c>
      <c r="H420" s="151">
        <f t="shared" si="1"/>
        <v>729440.69</v>
      </c>
      <c r="I420" s="64"/>
      <c r="J420" s="64"/>
    </row>
    <row r="421">
      <c r="A421" s="149">
        <v>46276.0</v>
      </c>
      <c r="B421" s="64" t="s">
        <v>696</v>
      </c>
      <c r="C421" s="64" t="s">
        <v>701</v>
      </c>
      <c r="D421" s="149">
        <v>46275.0</v>
      </c>
      <c r="E421" s="151">
        <v>1265137.15</v>
      </c>
      <c r="F421" s="8">
        <v>254722.84</v>
      </c>
      <c r="G421" s="152">
        <v>1800652.0</v>
      </c>
      <c r="H421" s="151">
        <f t="shared" si="1"/>
        <v>790237.69</v>
      </c>
      <c r="I421" s="64"/>
      <c r="J421" s="64"/>
    </row>
    <row r="422">
      <c r="A422" s="149">
        <v>46280.0</v>
      </c>
      <c r="B422" s="64" t="s">
        <v>696</v>
      </c>
      <c r="C422" s="64" t="s">
        <v>701</v>
      </c>
      <c r="D422" s="149">
        <v>46276.0</v>
      </c>
      <c r="E422" s="151">
        <v>1265137.15</v>
      </c>
      <c r="F422" s="8">
        <v>254722.84</v>
      </c>
      <c r="G422" s="152">
        <v>1791315.0</v>
      </c>
      <c r="H422" s="151">
        <f t="shared" si="1"/>
        <v>780900.69</v>
      </c>
      <c r="I422" s="64"/>
      <c r="J422" s="64"/>
    </row>
    <row r="423">
      <c r="A423" s="149">
        <v>46281.0</v>
      </c>
      <c r="B423" s="64" t="s">
        <v>696</v>
      </c>
      <c r="C423" s="64" t="s">
        <v>701</v>
      </c>
      <c r="D423" s="149">
        <v>46280.0</v>
      </c>
      <c r="E423" s="151">
        <v>1265137.15</v>
      </c>
      <c r="F423" s="8">
        <v>254722.84</v>
      </c>
      <c r="G423" s="152">
        <v>1994876.0</v>
      </c>
      <c r="H423" s="151">
        <f t="shared" si="1"/>
        <v>984461.69</v>
      </c>
      <c r="I423" s="64"/>
      <c r="J423" s="64"/>
    </row>
    <row r="424">
      <c r="A424" s="149">
        <v>46282.0</v>
      </c>
      <c r="B424" s="64" t="s">
        <v>696</v>
      </c>
      <c r="C424" s="64" t="s">
        <v>701</v>
      </c>
      <c r="D424" s="149">
        <v>46281.0</v>
      </c>
      <c r="E424" s="151">
        <v>1265137.15</v>
      </c>
      <c r="F424" s="8">
        <v>254722.84</v>
      </c>
      <c r="G424" s="152">
        <v>1960991.0</v>
      </c>
      <c r="H424" s="151">
        <f t="shared" si="1"/>
        <v>950576.69</v>
      </c>
      <c r="I424" s="64"/>
      <c r="J424" s="64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27.71"/>
    <col customWidth="1" min="3" max="3" width="20.43"/>
    <col customWidth="1" min="4" max="4" width="18.43"/>
    <col customWidth="1" min="5" max="5" width="21.29"/>
    <col customWidth="1" min="6" max="6" width="17.86"/>
  </cols>
  <sheetData>
    <row r="1">
      <c r="A1" s="8" t="s">
        <v>559</v>
      </c>
      <c r="B1" s="8" t="s">
        <v>560</v>
      </c>
      <c r="C1" s="8" t="s">
        <v>561</v>
      </c>
      <c r="D1" s="8" t="s">
        <v>562</v>
      </c>
      <c r="E1" s="8" t="s">
        <v>353</v>
      </c>
      <c r="F1" s="8" t="s">
        <v>354</v>
      </c>
      <c r="G1" s="8" t="s">
        <v>702</v>
      </c>
      <c r="H1" s="8" t="s">
        <v>703</v>
      </c>
      <c r="I1" s="158">
        <v>46385.0</v>
      </c>
      <c r="J1" s="8" t="s">
        <v>704</v>
      </c>
    </row>
    <row r="2">
      <c r="A2" s="59">
        <v>46197.0</v>
      </c>
      <c r="B2" s="8" t="s">
        <v>705</v>
      </c>
      <c r="C2" s="8" t="s">
        <v>706</v>
      </c>
      <c r="D2" s="59">
        <v>46196.0</v>
      </c>
      <c r="E2" s="8">
        <v>434524.96</v>
      </c>
      <c r="F2" s="8">
        <v>0.0</v>
      </c>
      <c r="G2" s="8">
        <v>465192.0</v>
      </c>
      <c r="H2" s="14">
        <f t="shared" ref="H2:H60" si="1">F2-E2+G2</f>
        <v>30667.04</v>
      </c>
    </row>
    <row r="3">
      <c r="A3" s="59">
        <v>46198.0</v>
      </c>
      <c r="B3" s="8" t="s">
        <v>705</v>
      </c>
      <c r="C3" s="8" t="s">
        <v>706</v>
      </c>
      <c r="D3" s="59">
        <v>46197.0</v>
      </c>
      <c r="E3" s="8">
        <v>434524.96</v>
      </c>
      <c r="F3" s="8">
        <v>0.0</v>
      </c>
      <c r="G3" s="8">
        <v>419510.0</v>
      </c>
      <c r="H3" s="14">
        <f t="shared" si="1"/>
        <v>-15014.96</v>
      </c>
    </row>
    <row r="4">
      <c r="A4" s="59">
        <v>46202.0</v>
      </c>
      <c r="B4" s="8" t="s">
        <v>705</v>
      </c>
      <c r="C4" s="8" t="s">
        <v>706</v>
      </c>
      <c r="D4" s="59">
        <v>46198.0</v>
      </c>
      <c r="E4" s="8">
        <v>434524.96</v>
      </c>
      <c r="F4" s="8">
        <v>0.0</v>
      </c>
      <c r="G4" s="8">
        <v>406451.0</v>
      </c>
      <c r="H4" s="14">
        <f t="shared" si="1"/>
        <v>-28073.96</v>
      </c>
    </row>
    <row r="5">
      <c r="A5" s="59">
        <v>46204.0</v>
      </c>
      <c r="B5" s="8" t="s">
        <v>705</v>
      </c>
      <c r="C5" s="8" t="s">
        <v>706</v>
      </c>
      <c r="D5" s="59">
        <v>46203.0</v>
      </c>
      <c r="E5" s="8">
        <v>434524.96</v>
      </c>
      <c r="F5" s="8">
        <v>0.0</v>
      </c>
      <c r="G5" s="8">
        <v>436936.0</v>
      </c>
      <c r="H5" s="14">
        <f t="shared" si="1"/>
        <v>2411.04</v>
      </c>
    </row>
    <row r="6">
      <c r="A6" s="59">
        <v>46205.0</v>
      </c>
      <c r="B6" s="8" t="s">
        <v>705</v>
      </c>
      <c r="C6" s="8" t="s">
        <v>706</v>
      </c>
      <c r="D6" s="59">
        <v>46204.0</v>
      </c>
      <c r="E6" s="8">
        <v>434524.96</v>
      </c>
      <c r="F6" s="8">
        <v>0.0</v>
      </c>
      <c r="G6" s="8">
        <v>426608.0</v>
      </c>
      <c r="H6" s="14">
        <f t="shared" si="1"/>
        <v>-7916.96</v>
      </c>
    </row>
    <row r="7">
      <c r="A7" s="59">
        <v>46206.0</v>
      </c>
      <c r="B7" s="8" t="s">
        <v>705</v>
      </c>
      <c r="C7" s="8" t="s">
        <v>706</v>
      </c>
      <c r="D7" s="59">
        <v>46205.0</v>
      </c>
      <c r="E7" s="8">
        <v>434524.96</v>
      </c>
      <c r="F7" s="8">
        <v>0.0</v>
      </c>
      <c r="G7" s="8">
        <v>384452.0</v>
      </c>
      <c r="H7" s="14">
        <f t="shared" si="1"/>
        <v>-50072.96</v>
      </c>
    </row>
    <row r="8">
      <c r="A8" s="59">
        <v>46209.0</v>
      </c>
      <c r="B8" s="8" t="s">
        <v>705</v>
      </c>
      <c r="C8" s="8" t="s">
        <v>706</v>
      </c>
      <c r="D8" s="59">
        <v>46206.0</v>
      </c>
      <c r="E8" s="8">
        <v>434524.96</v>
      </c>
      <c r="F8" s="8">
        <v>0.0</v>
      </c>
      <c r="G8" s="8">
        <v>357812.0</v>
      </c>
      <c r="H8" s="14">
        <f t="shared" si="1"/>
        <v>-76712.96</v>
      </c>
    </row>
    <row r="9">
      <c r="A9" s="59">
        <v>46210.0</v>
      </c>
      <c r="B9" s="8" t="s">
        <v>705</v>
      </c>
      <c r="C9" s="8" t="s">
        <v>706</v>
      </c>
      <c r="D9" s="59">
        <v>46209.0</v>
      </c>
      <c r="E9" s="8">
        <v>434524.96</v>
      </c>
      <c r="F9" s="8">
        <v>0.0</v>
      </c>
      <c r="G9" s="8">
        <v>327668.0</v>
      </c>
      <c r="H9" s="14">
        <f t="shared" si="1"/>
        <v>-106856.96</v>
      </c>
    </row>
    <row r="10">
      <c r="A10" s="59">
        <v>46211.0</v>
      </c>
      <c r="B10" s="8" t="s">
        <v>705</v>
      </c>
      <c r="C10" s="8" t="s">
        <v>706</v>
      </c>
      <c r="D10" s="59">
        <v>46210.0</v>
      </c>
      <c r="E10" s="8">
        <v>434524.96</v>
      </c>
      <c r="F10" s="8">
        <v>0.0</v>
      </c>
      <c r="G10" s="8">
        <v>332809.0</v>
      </c>
      <c r="H10" s="14">
        <f t="shared" si="1"/>
        <v>-101715.96</v>
      </c>
    </row>
    <row r="11">
      <c r="A11" s="59">
        <v>46212.0</v>
      </c>
      <c r="B11" s="8" t="s">
        <v>705</v>
      </c>
      <c r="C11" s="8" t="s">
        <v>706</v>
      </c>
      <c r="D11" s="59">
        <v>46211.0</v>
      </c>
      <c r="E11" s="8">
        <v>434524.96</v>
      </c>
      <c r="F11" s="8">
        <v>0.0</v>
      </c>
      <c r="G11" s="8">
        <v>464509.0</v>
      </c>
      <c r="H11" s="14">
        <f t="shared" si="1"/>
        <v>29984.04</v>
      </c>
    </row>
    <row r="12">
      <c r="A12" s="59">
        <v>46213.0</v>
      </c>
      <c r="B12" s="8" t="s">
        <v>705</v>
      </c>
      <c r="C12" s="8" t="s">
        <v>706</v>
      </c>
      <c r="D12" s="59">
        <v>46212.0</v>
      </c>
      <c r="E12" s="8">
        <v>434524.96</v>
      </c>
      <c r="F12" s="8">
        <v>0.0</v>
      </c>
      <c r="G12" s="8">
        <v>435639.0</v>
      </c>
      <c r="H12" s="14">
        <f t="shared" si="1"/>
        <v>1114.04</v>
      </c>
    </row>
    <row r="13">
      <c r="A13" s="59">
        <v>46216.0</v>
      </c>
      <c r="B13" s="8" t="s">
        <v>705</v>
      </c>
      <c r="C13" s="8" t="s">
        <v>706</v>
      </c>
      <c r="D13" s="59">
        <v>46213.0</v>
      </c>
      <c r="E13" s="8">
        <v>434524.96</v>
      </c>
      <c r="F13" s="8">
        <v>0.0</v>
      </c>
      <c r="G13" s="8">
        <v>372645.0</v>
      </c>
      <c r="H13" s="14">
        <f t="shared" si="1"/>
        <v>-61879.96</v>
      </c>
    </row>
    <row r="14">
      <c r="A14" s="59">
        <v>46217.0</v>
      </c>
      <c r="B14" s="8" t="s">
        <v>705</v>
      </c>
      <c r="C14" s="8" t="s">
        <v>706</v>
      </c>
      <c r="D14" s="59">
        <v>46216.0</v>
      </c>
      <c r="E14" s="8">
        <v>434524.96</v>
      </c>
      <c r="F14" s="8">
        <v>0.0</v>
      </c>
      <c r="G14" s="8">
        <v>374897.0</v>
      </c>
      <c r="H14" s="14">
        <f t="shared" si="1"/>
        <v>-59627.96</v>
      </c>
    </row>
    <row r="15">
      <c r="A15" s="59">
        <v>46218.0</v>
      </c>
      <c r="B15" s="8" t="s">
        <v>705</v>
      </c>
      <c r="C15" s="8" t="s">
        <v>706</v>
      </c>
      <c r="D15" s="59">
        <v>46217.0</v>
      </c>
      <c r="E15" s="8">
        <v>434524.96</v>
      </c>
      <c r="F15" s="8">
        <v>0.0</v>
      </c>
      <c r="G15" s="8">
        <v>431817.0</v>
      </c>
      <c r="H15" s="14">
        <f t="shared" si="1"/>
        <v>-2707.96</v>
      </c>
    </row>
    <row r="16">
      <c r="A16" s="59">
        <v>46219.0</v>
      </c>
      <c r="B16" s="8" t="s">
        <v>705</v>
      </c>
      <c r="C16" s="8" t="s">
        <v>706</v>
      </c>
      <c r="D16" s="59">
        <v>46218.0</v>
      </c>
      <c r="E16" s="8">
        <v>434524.96</v>
      </c>
      <c r="F16" s="8">
        <v>0.0</v>
      </c>
      <c r="G16" s="8">
        <v>418395.0</v>
      </c>
      <c r="H16" s="14">
        <f t="shared" si="1"/>
        <v>-16129.96</v>
      </c>
    </row>
    <row r="17">
      <c r="A17" s="59">
        <v>46220.0</v>
      </c>
      <c r="B17" s="8" t="s">
        <v>705</v>
      </c>
      <c r="C17" s="8" t="s">
        <v>706</v>
      </c>
      <c r="D17" s="59">
        <v>46219.0</v>
      </c>
      <c r="E17" s="8">
        <v>434524.96</v>
      </c>
      <c r="F17" s="8">
        <v>0.0</v>
      </c>
      <c r="G17" s="8">
        <v>406838.0</v>
      </c>
      <c r="H17" s="14">
        <f t="shared" si="1"/>
        <v>-27686.96</v>
      </c>
    </row>
    <row r="18">
      <c r="A18" s="59">
        <v>46223.0</v>
      </c>
      <c r="B18" s="8" t="s">
        <v>705</v>
      </c>
      <c r="C18" s="8" t="s">
        <v>706</v>
      </c>
      <c r="D18" s="59">
        <v>46220.0</v>
      </c>
      <c r="E18" s="8">
        <v>434524.96</v>
      </c>
      <c r="F18" s="8">
        <v>0.0</v>
      </c>
      <c r="G18" s="8">
        <v>368777.0</v>
      </c>
      <c r="H18" s="14">
        <f t="shared" si="1"/>
        <v>-65747.96</v>
      </c>
    </row>
    <row r="19">
      <c r="A19" s="59">
        <v>46224.0</v>
      </c>
      <c r="B19" s="8" t="s">
        <v>705</v>
      </c>
      <c r="C19" s="8" t="s">
        <v>706</v>
      </c>
      <c r="D19" s="59">
        <v>46223.0</v>
      </c>
      <c r="E19" s="8">
        <v>434524.96</v>
      </c>
      <c r="F19" s="8">
        <v>0.0</v>
      </c>
      <c r="G19" s="8">
        <v>372554.0</v>
      </c>
      <c r="H19" s="14">
        <f t="shared" si="1"/>
        <v>-61970.96</v>
      </c>
    </row>
    <row r="20">
      <c r="A20" s="59">
        <v>46225.0</v>
      </c>
      <c r="B20" s="8" t="s">
        <v>705</v>
      </c>
      <c r="C20" s="8" t="s">
        <v>706</v>
      </c>
      <c r="D20" s="59">
        <v>46224.0</v>
      </c>
      <c r="E20" s="8">
        <v>434524.96</v>
      </c>
      <c r="F20" s="8">
        <v>0.0</v>
      </c>
      <c r="G20" s="8">
        <v>388524.0</v>
      </c>
      <c r="H20" s="14">
        <f t="shared" si="1"/>
        <v>-46000.96</v>
      </c>
    </row>
    <row r="21">
      <c r="A21" s="59">
        <v>46226.0</v>
      </c>
      <c r="B21" s="8" t="s">
        <v>705</v>
      </c>
      <c r="C21" s="8" t="s">
        <v>706</v>
      </c>
      <c r="D21" s="59">
        <v>46225.0</v>
      </c>
      <c r="E21" s="8">
        <v>434524.96</v>
      </c>
      <c r="F21" s="8">
        <v>0.0</v>
      </c>
      <c r="G21" s="8">
        <v>432841.0</v>
      </c>
      <c r="H21" s="14">
        <f t="shared" si="1"/>
        <v>-1683.96</v>
      </c>
    </row>
    <row r="22">
      <c r="A22" s="59">
        <v>46227.0</v>
      </c>
      <c r="B22" s="8" t="s">
        <v>705</v>
      </c>
      <c r="C22" s="8" t="s">
        <v>706</v>
      </c>
      <c r="D22" s="59">
        <v>46226.0</v>
      </c>
      <c r="E22" s="8">
        <v>434524.96</v>
      </c>
      <c r="F22" s="8">
        <v>0.0</v>
      </c>
      <c r="G22" s="8">
        <v>465419.0</v>
      </c>
      <c r="H22" s="14">
        <f t="shared" si="1"/>
        <v>30894.04</v>
      </c>
    </row>
    <row r="23">
      <c r="A23" s="59">
        <v>46230.0</v>
      </c>
      <c r="B23" s="8" t="s">
        <v>705</v>
      </c>
      <c r="C23" s="8" t="s">
        <v>706</v>
      </c>
      <c r="D23" s="59">
        <v>46227.0</v>
      </c>
      <c r="E23" s="8">
        <v>434524.96</v>
      </c>
      <c r="F23" s="8">
        <v>0.0</v>
      </c>
      <c r="G23" s="8">
        <v>483187.0</v>
      </c>
      <c r="H23" s="14">
        <f t="shared" si="1"/>
        <v>48662.04</v>
      </c>
    </row>
    <row r="24">
      <c r="A24" s="59">
        <v>46231.0</v>
      </c>
      <c r="B24" s="8" t="s">
        <v>705</v>
      </c>
      <c r="C24" s="8" t="s">
        <v>706</v>
      </c>
      <c r="D24" s="59">
        <v>46230.0</v>
      </c>
      <c r="E24" s="8">
        <v>434524.96</v>
      </c>
      <c r="F24" s="8">
        <v>0.0</v>
      </c>
      <c r="G24" s="8">
        <v>416120.0</v>
      </c>
      <c r="H24" s="14">
        <f t="shared" si="1"/>
        <v>-18404.96</v>
      </c>
    </row>
    <row r="25">
      <c r="A25" s="59">
        <v>46232.0</v>
      </c>
      <c r="B25" s="8" t="s">
        <v>705</v>
      </c>
      <c r="C25" s="8" t="s">
        <v>706</v>
      </c>
      <c r="D25" s="59">
        <v>46231.0</v>
      </c>
      <c r="E25" s="8">
        <v>434524.96</v>
      </c>
      <c r="F25" s="8">
        <v>0.0</v>
      </c>
      <c r="G25" s="8">
        <v>414505.0</v>
      </c>
      <c r="H25" s="14">
        <f t="shared" si="1"/>
        <v>-20019.96</v>
      </c>
    </row>
    <row r="26">
      <c r="A26" s="59">
        <v>46233.0</v>
      </c>
      <c r="B26" s="8" t="s">
        <v>705</v>
      </c>
      <c r="C26" s="8" t="s">
        <v>706</v>
      </c>
      <c r="D26" s="59">
        <v>46232.0</v>
      </c>
      <c r="E26" s="8">
        <v>434524.96</v>
      </c>
      <c r="F26" s="8">
        <v>0.0</v>
      </c>
      <c r="G26" s="8">
        <v>365569.0</v>
      </c>
      <c r="H26" s="14">
        <f t="shared" si="1"/>
        <v>-68955.96</v>
      </c>
    </row>
    <row r="27">
      <c r="A27" s="59">
        <v>46234.0</v>
      </c>
      <c r="B27" s="8" t="s">
        <v>705</v>
      </c>
      <c r="C27" s="8" t="s">
        <v>706</v>
      </c>
      <c r="D27" s="59">
        <v>46233.0</v>
      </c>
      <c r="E27" s="8">
        <v>434524.96</v>
      </c>
      <c r="F27" s="8">
        <v>0.0</v>
      </c>
      <c r="G27" s="8">
        <v>355878.0</v>
      </c>
      <c r="H27" s="14">
        <f t="shared" si="1"/>
        <v>-78646.96</v>
      </c>
    </row>
    <row r="28">
      <c r="A28" s="59">
        <v>46237.0</v>
      </c>
      <c r="B28" s="8" t="s">
        <v>705</v>
      </c>
      <c r="C28" s="8" t="s">
        <v>706</v>
      </c>
      <c r="D28" s="59">
        <v>46234.0</v>
      </c>
      <c r="E28" s="8">
        <v>434524.96</v>
      </c>
      <c r="F28" s="8">
        <v>0.0</v>
      </c>
      <c r="G28" s="8">
        <v>330625.0</v>
      </c>
      <c r="H28" s="14">
        <f t="shared" si="1"/>
        <v>-103899.96</v>
      </c>
    </row>
    <row r="29">
      <c r="A29" s="59">
        <v>46238.0</v>
      </c>
      <c r="B29" s="8" t="s">
        <v>705</v>
      </c>
      <c r="C29" s="8" t="s">
        <v>706</v>
      </c>
      <c r="D29" s="59">
        <v>46237.0</v>
      </c>
      <c r="E29" s="8">
        <v>434524.96</v>
      </c>
      <c r="F29" s="8">
        <v>0.0</v>
      </c>
      <c r="G29" s="8">
        <v>281895.0</v>
      </c>
      <c r="H29" s="14">
        <f t="shared" si="1"/>
        <v>-152629.96</v>
      </c>
    </row>
    <row r="30">
      <c r="A30" s="59">
        <v>46239.0</v>
      </c>
      <c r="B30" s="8" t="s">
        <v>705</v>
      </c>
      <c r="C30" s="8" t="s">
        <v>706</v>
      </c>
      <c r="D30" s="59">
        <v>46238.0</v>
      </c>
      <c r="E30" s="8">
        <v>434524.96</v>
      </c>
      <c r="F30" s="8">
        <v>0.0</v>
      </c>
      <c r="G30" s="8">
        <v>290267.0</v>
      </c>
      <c r="H30" s="14">
        <f t="shared" si="1"/>
        <v>-144257.96</v>
      </c>
    </row>
    <row r="31">
      <c r="A31" s="59">
        <v>46240.0</v>
      </c>
      <c r="B31" s="8" t="s">
        <v>705</v>
      </c>
      <c r="C31" s="8" t="s">
        <v>706</v>
      </c>
      <c r="D31" s="59">
        <v>46239.0</v>
      </c>
      <c r="E31" s="8">
        <v>434524.96</v>
      </c>
      <c r="F31" s="8">
        <v>0.0</v>
      </c>
      <c r="G31" s="8">
        <v>268927.0</v>
      </c>
      <c r="H31" s="14">
        <f t="shared" si="1"/>
        <v>-165597.96</v>
      </c>
    </row>
    <row r="32">
      <c r="A32" s="59">
        <v>46241.0</v>
      </c>
      <c r="B32" s="8" t="s">
        <v>705</v>
      </c>
      <c r="C32" s="8" t="s">
        <v>706</v>
      </c>
      <c r="D32" s="59">
        <v>46240.0</v>
      </c>
      <c r="E32" s="8">
        <v>434524.96</v>
      </c>
      <c r="F32" s="8">
        <v>0.0</v>
      </c>
      <c r="G32" s="8">
        <v>258053.0</v>
      </c>
      <c r="H32" s="14">
        <f t="shared" si="1"/>
        <v>-176471.96</v>
      </c>
    </row>
    <row r="33">
      <c r="A33" s="59">
        <v>46244.0</v>
      </c>
      <c r="B33" s="8" t="s">
        <v>705</v>
      </c>
      <c r="C33" s="8" t="s">
        <v>706</v>
      </c>
      <c r="D33" s="59">
        <v>46241.0</v>
      </c>
      <c r="E33" s="8">
        <v>434524.96</v>
      </c>
      <c r="F33" s="8">
        <v>0.0</v>
      </c>
      <c r="G33" s="8">
        <v>273045.0</v>
      </c>
      <c r="H33" s="14">
        <f t="shared" si="1"/>
        <v>-161479.96</v>
      </c>
    </row>
    <row r="34">
      <c r="A34" s="59">
        <v>46245.0</v>
      </c>
      <c r="B34" s="8" t="s">
        <v>705</v>
      </c>
      <c r="C34" s="8" t="s">
        <v>706</v>
      </c>
      <c r="D34" s="59">
        <v>46244.0</v>
      </c>
      <c r="E34" s="8">
        <v>434524.96</v>
      </c>
      <c r="F34" s="8">
        <v>0.0</v>
      </c>
      <c r="G34" s="8">
        <v>267972.0</v>
      </c>
      <c r="H34" s="14">
        <f t="shared" si="1"/>
        <v>-166552.96</v>
      </c>
    </row>
    <row r="35">
      <c r="A35" s="59">
        <v>46246.0</v>
      </c>
      <c r="B35" s="8" t="s">
        <v>705</v>
      </c>
      <c r="C35" s="8" t="s">
        <v>706</v>
      </c>
      <c r="D35" s="59">
        <v>46245.0</v>
      </c>
      <c r="E35" s="8">
        <v>434524.96</v>
      </c>
      <c r="F35" s="8">
        <v>0.0</v>
      </c>
      <c r="G35" s="8">
        <v>285216.0</v>
      </c>
      <c r="H35" s="14">
        <f t="shared" si="1"/>
        <v>-149308.96</v>
      </c>
    </row>
    <row r="36">
      <c r="A36" s="59">
        <v>46247.0</v>
      </c>
      <c r="B36" s="8" t="s">
        <v>705</v>
      </c>
      <c r="C36" s="8" t="s">
        <v>706</v>
      </c>
      <c r="D36" s="59">
        <v>46246.0</v>
      </c>
      <c r="E36" s="8">
        <v>434524.96</v>
      </c>
      <c r="F36" s="8">
        <v>0.0</v>
      </c>
      <c r="G36" s="8">
        <v>295044.0</v>
      </c>
      <c r="H36" s="14">
        <f t="shared" si="1"/>
        <v>-139480.96</v>
      </c>
    </row>
    <row r="37">
      <c r="A37" s="59">
        <v>46248.0</v>
      </c>
      <c r="B37" s="8" t="s">
        <v>705</v>
      </c>
      <c r="C37" s="8" t="s">
        <v>706</v>
      </c>
      <c r="D37" s="59">
        <v>46247.0</v>
      </c>
      <c r="E37" s="8">
        <v>434524.96</v>
      </c>
      <c r="F37" s="8">
        <v>0.0</v>
      </c>
      <c r="G37" s="8">
        <v>290563.0</v>
      </c>
      <c r="H37" s="14">
        <f t="shared" si="1"/>
        <v>-143961.96</v>
      </c>
    </row>
    <row r="38">
      <c r="A38" s="59">
        <v>46251.0</v>
      </c>
      <c r="B38" s="8" t="s">
        <v>705</v>
      </c>
      <c r="C38" s="8" t="s">
        <v>706</v>
      </c>
      <c r="D38" s="59">
        <v>46248.0</v>
      </c>
      <c r="E38" s="8">
        <v>434524.96</v>
      </c>
      <c r="F38" s="8">
        <v>0.0</v>
      </c>
      <c r="G38" s="8">
        <v>290199.0</v>
      </c>
      <c r="H38" s="14">
        <f t="shared" si="1"/>
        <v>-144325.96</v>
      </c>
    </row>
    <row r="39">
      <c r="A39" s="59">
        <v>46252.0</v>
      </c>
      <c r="B39" s="8" t="s">
        <v>705</v>
      </c>
      <c r="C39" s="8" t="s">
        <v>706</v>
      </c>
      <c r="D39" s="59">
        <v>46251.0</v>
      </c>
      <c r="E39" s="8">
        <v>434524.96</v>
      </c>
      <c r="F39" s="8">
        <v>0.0</v>
      </c>
      <c r="G39" s="8">
        <v>297024.0</v>
      </c>
      <c r="H39" s="14">
        <f t="shared" si="1"/>
        <v>-137500.96</v>
      </c>
    </row>
    <row r="40">
      <c r="A40" s="59">
        <v>46253.0</v>
      </c>
      <c r="B40" s="8" t="s">
        <v>705</v>
      </c>
      <c r="C40" s="8" t="s">
        <v>706</v>
      </c>
      <c r="D40" s="59">
        <v>46252.0</v>
      </c>
      <c r="E40" s="8">
        <v>434524.96</v>
      </c>
      <c r="F40" s="8">
        <v>0.0</v>
      </c>
      <c r="G40" s="8">
        <v>335585.0</v>
      </c>
      <c r="H40" s="14">
        <f t="shared" si="1"/>
        <v>-98939.96</v>
      </c>
    </row>
    <row r="41">
      <c r="A41" s="59">
        <v>46254.0</v>
      </c>
      <c r="B41" s="8" t="s">
        <v>705</v>
      </c>
      <c r="C41" s="8" t="s">
        <v>706</v>
      </c>
      <c r="D41" s="59">
        <v>46253.0</v>
      </c>
      <c r="E41" s="8">
        <v>434524.96</v>
      </c>
      <c r="F41" s="8">
        <v>0.0</v>
      </c>
      <c r="G41" s="8">
        <v>356970.0</v>
      </c>
      <c r="H41" s="14">
        <f t="shared" si="1"/>
        <v>-77554.96</v>
      </c>
    </row>
    <row r="42">
      <c r="A42" s="59">
        <v>46255.0</v>
      </c>
      <c r="B42" s="8" t="s">
        <v>705</v>
      </c>
      <c r="C42" s="8" t="s">
        <v>706</v>
      </c>
      <c r="D42" s="59">
        <v>46254.0</v>
      </c>
      <c r="E42" s="8">
        <v>434524.96</v>
      </c>
      <c r="F42" s="8">
        <v>0.0</v>
      </c>
      <c r="G42" s="8">
        <v>315815.0</v>
      </c>
      <c r="H42" s="14">
        <f t="shared" si="1"/>
        <v>-118709.96</v>
      </c>
    </row>
    <row r="43">
      <c r="A43" s="59">
        <v>46258.0</v>
      </c>
      <c r="B43" s="8" t="s">
        <v>705</v>
      </c>
      <c r="C43" s="8" t="s">
        <v>706</v>
      </c>
      <c r="D43" s="59">
        <v>46255.0</v>
      </c>
      <c r="E43" s="8">
        <v>434524.96</v>
      </c>
      <c r="F43" s="8">
        <v>0.0</v>
      </c>
      <c r="G43" s="8">
        <v>312607.0</v>
      </c>
      <c r="H43" s="14">
        <f t="shared" si="1"/>
        <v>-121917.96</v>
      </c>
    </row>
    <row r="44">
      <c r="A44" s="59">
        <v>46259.0</v>
      </c>
      <c r="B44" s="8" t="s">
        <v>705</v>
      </c>
      <c r="C44" s="8" t="s">
        <v>706</v>
      </c>
      <c r="D44" s="59">
        <v>46258.0</v>
      </c>
      <c r="E44" s="8">
        <v>434524.96</v>
      </c>
      <c r="F44" s="8">
        <v>0.0</v>
      </c>
      <c r="G44" s="8">
        <v>330261.0</v>
      </c>
      <c r="H44" s="14">
        <f t="shared" si="1"/>
        <v>-104263.96</v>
      </c>
    </row>
    <row r="45">
      <c r="A45" s="59">
        <v>46260.0</v>
      </c>
      <c r="B45" s="8" t="s">
        <v>705</v>
      </c>
      <c r="C45" s="8" t="s">
        <v>706</v>
      </c>
      <c r="D45" s="59">
        <v>46259.0</v>
      </c>
      <c r="E45" s="8">
        <v>434524.96</v>
      </c>
      <c r="F45" s="8">
        <v>0.0</v>
      </c>
      <c r="G45" s="8">
        <v>289971.0</v>
      </c>
      <c r="H45" s="14">
        <f t="shared" si="1"/>
        <v>-144553.96</v>
      </c>
    </row>
    <row r="46">
      <c r="A46" s="59">
        <v>46261.0</v>
      </c>
      <c r="B46" s="8" t="s">
        <v>705</v>
      </c>
      <c r="C46" s="8" t="s">
        <v>706</v>
      </c>
      <c r="D46" s="59">
        <v>46260.0</v>
      </c>
      <c r="E46" s="8">
        <v>434524.96</v>
      </c>
      <c r="F46" s="8">
        <v>0.0</v>
      </c>
      <c r="G46" s="8">
        <v>301005.0</v>
      </c>
      <c r="H46" s="14">
        <f t="shared" si="1"/>
        <v>-133519.96</v>
      </c>
    </row>
    <row r="47">
      <c r="A47" s="59">
        <v>46262.0</v>
      </c>
      <c r="B47" s="8" t="s">
        <v>705</v>
      </c>
      <c r="C47" s="8" t="s">
        <v>706</v>
      </c>
      <c r="D47" s="59">
        <v>46261.0</v>
      </c>
      <c r="E47" s="8">
        <v>434524.96</v>
      </c>
      <c r="F47" s="8">
        <v>0.0</v>
      </c>
      <c r="G47" s="8">
        <v>338201.0</v>
      </c>
      <c r="H47" s="14">
        <f t="shared" si="1"/>
        <v>-96323.96</v>
      </c>
    </row>
    <row r="48">
      <c r="A48" s="59">
        <v>46265.0</v>
      </c>
      <c r="B48" s="8" t="s">
        <v>705</v>
      </c>
      <c r="C48" s="8" t="s">
        <v>706</v>
      </c>
      <c r="D48" s="59">
        <v>46262.0</v>
      </c>
      <c r="E48" s="8">
        <v>434524.96</v>
      </c>
      <c r="F48" s="8">
        <v>0.0</v>
      </c>
      <c r="G48" s="8">
        <v>321798.0</v>
      </c>
      <c r="H48" s="14">
        <f t="shared" si="1"/>
        <v>-112726.96</v>
      </c>
    </row>
    <row r="49">
      <c r="A49" s="59">
        <v>46266.0</v>
      </c>
      <c r="B49" s="8" t="s">
        <v>705</v>
      </c>
      <c r="C49" s="8" t="s">
        <v>706</v>
      </c>
      <c r="D49" s="59">
        <v>46265.0</v>
      </c>
      <c r="E49" s="8">
        <v>434524.96</v>
      </c>
      <c r="F49" s="8">
        <v>0.0</v>
      </c>
      <c r="G49" s="8">
        <v>339407.0</v>
      </c>
      <c r="H49" s="14">
        <f t="shared" si="1"/>
        <v>-95117.96</v>
      </c>
    </row>
    <row r="50">
      <c r="A50" s="59">
        <v>46267.0</v>
      </c>
      <c r="B50" s="8" t="s">
        <v>705</v>
      </c>
      <c r="C50" s="8" t="s">
        <v>706</v>
      </c>
      <c r="D50" s="59">
        <v>46266.0</v>
      </c>
      <c r="E50" s="8">
        <v>434524.96</v>
      </c>
      <c r="F50" s="8">
        <v>0.0</v>
      </c>
      <c r="G50" s="8">
        <v>385294.0</v>
      </c>
      <c r="H50" s="14">
        <f t="shared" si="1"/>
        <v>-49230.96</v>
      </c>
    </row>
    <row r="51">
      <c r="A51" s="59">
        <v>46268.0</v>
      </c>
      <c r="B51" s="8" t="s">
        <v>705</v>
      </c>
      <c r="C51" s="8" t="s">
        <v>706</v>
      </c>
      <c r="D51" s="59">
        <v>46267.0</v>
      </c>
      <c r="E51" s="8">
        <v>434524.96</v>
      </c>
      <c r="F51" s="8">
        <v>0.0</v>
      </c>
      <c r="G51" s="8">
        <v>416507.0</v>
      </c>
      <c r="H51" s="14">
        <f t="shared" si="1"/>
        <v>-18017.96</v>
      </c>
    </row>
    <row r="52">
      <c r="A52" s="59">
        <v>46269.0</v>
      </c>
      <c r="B52" s="8" t="s">
        <v>705</v>
      </c>
      <c r="C52" s="8" t="s">
        <v>706</v>
      </c>
      <c r="D52" s="59">
        <v>46268.0</v>
      </c>
      <c r="E52" s="8">
        <v>434524.96</v>
      </c>
      <c r="F52" s="8">
        <v>0.0</v>
      </c>
      <c r="G52" s="8">
        <v>411183.0</v>
      </c>
      <c r="H52" s="14">
        <f t="shared" si="1"/>
        <v>-23341.96</v>
      </c>
    </row>
    <row r="53">
      <c r="A53" s="59">
        <v>46272.0</v>
      </c>
      <c r="B53" s="8" t="s">
        <v>705</v>
      </c>
      <c r="C53" s="8" t="s">
        <v>706</v>
      </c>
      <c r="D53" s="59">
        <v>46269.0</v>
      </c>
      <c r="E53" s="8">
        <v>434524.96</v>
      </c>
      <c r="F53" s="8">
        <v>0.0</v>
      </c>
      <c r="G53" s="8">
        <v>395008.0</v>
      </c>
      <c r="H53" s="14">
        <f t="shared" si="1"/>
        <v>-39516.96</v>
      </c>
    </row>
    <row r="54">
      <c r="A54" s="59">
        <v>46273.0</v>
      </c>
      <c r="B54" s="8" t="s">
        <v>705</v>
      </c>
      <c r="C54" s="8" t="s">
        <v>706</v>
      </c>
      <c r="D54" s="59">
        <v>46272.0</v>
      </c>
      <c r="E54" s="8">
        <v>434524.96</v>
      </c>
      <c r="F54" s="8">
        <v>0.0</v>
      </c>
      <c r="G54" s="8">
        <v>446514.0</v>
      </c>
      <c r="H54" s="14">
        <f t="shared" si="1"/>
        <v>11989.04</v>
      </c>
    </row>
    <row r="55">
      <c r="A55" s="59">
        <v>46274.0</v>
      </c>
      <c r="B55" s="8" t="s">
        <v>705</v>
      </c>
      <c r="C55" s="8" t="s">
        <v>706</v>
      </c>
      <c r="D55" s="59">
        <v>46273.0</v>
      </c>
      <c r="E55" s="8">
        <v>434524.96</v>
      </c>
      <c r="F55" s="8">
        <v>0.0</v>
      </c>
      <c r="G55" s="8">
        <v>481048.0</v>
      </c>
      <c r="H55" s="14">
        <f t="shared" si="1"/>
        <v>46523.04</v>
      </c>
    </row>
    <row r="56">
      <c r="A56" s="59">
        <v>46275.0</v>
      </c>
      <c r="B56" s="8" t="s">
        <v>705</v>
      </c>
      <c r="C56" s="8" t="s">
        <v>706</v>
      </c>
      <c r="D56" s="59">
        <v>46274.0</v>
      </c>
      <c r="E56" s="8">
        <v>434524.96</v>
      </c>
      <c r="F56" s="8">
        <v>0.0</v>
      </c>
      <c r="G56" s="8">
        <v>550914.0</v>
      </c>
      <c r="H56" s="14">
        <f t="shared" si="1"/>
        <v>116389.04</v>
      </c>
    </row>
    <row r="57">
      <c r="A57" s="59">
        <v>46276.0</v>
      </c>
      <c r="B57" s="8" t="s">
        <v>705</v>
      </c>
      <c r="C57" s="8" t="s">
        <v>706</v>
      </c>
      <c r="D57" s="59">
        <v>46275.0</v>
      </c>
      <c r="E57" s="8">
        <v>434524.96</v>
      </c>
      <c r="F57" s="8">
        <v>0.0</v>
      </c>
      <c r="G57" s="8">
        <v>584197.0</v>
      </c>
      <c r="H57" s="14">
        <f t="shared" si="1"/>
        <v>149672.04</v>
      </c>
    </row>
    <row r="58">
      <c r="A58" s="59">
        <v>46280.0</v>
      </c>
      <c r="B58" s="8" t="s">
        <v>705</v>
      </c>
      <c r="C58" s="8" t="s">
        <v>706</v>
      </c>
      <c r="D58" s="59">
        <v>46276.0</v>
      </c>
      <c r="E58" s="8">
        <v>434524.96</v>
      </c>
      <c r="F58" s="8">
        <v>0.0</v>
      </c>
      <c r="G58" s="8">
        <v>580671.0</v>
      </c>
      <c r="H58" s="14">
        <f t="shared" si="1"/>
        <v>146146.04</v>
      </c>
    </row>
    <row r="59">
      <c r="A59" s="59">
        <v>46281.0</v>
      </c>
      <c r="B59" s="8" t="s">
        <v>705</v>
      </c>
      <c r="C59" s="8" t="s">
        <v>706</v>
      </c>
      <c r="D59" s="59">
        <v>46280.0</v>
      </c>
      <c r="E59" s="8">
        <v>434524.96</v>
      </c>
      <c r="F59" s="8">
        <v>0.0</v>
      </c>
      <c r="G59" s="8">
        <v>677654.0</v>
      </c>
      <c r="H59" s="14">
        <f t="shared" si="1"/>
        <v>243129.04</v>
      </c>
    </row>
    <row r="60">
      <c r="A60" s="59">
        <v>46282.0</v>
      </c>
      <c r="B60" s="8" t="s">
        <v>705</v>
      </c>
      <c r="C60" s="8" t="s">
        <v>706</v>
      </c>
      <c r="D60" s="59">
        <v>46281.0</v>
      </c>
      <c r="E60" s="8">
        <v>434524.96</v>
      </c>
      <c r="F60" s="8">
        <v>0.0</v>
      </c>
      <c r="G60" s="8">
        <v>659727.0</v>
      </c>
      <c r="H60" s="14">
        <f t="shared" si="1"/>
        <v>225202.04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3" max="3" width="18.0"/>
    <col customWidth="1" min="4" max="4" width="23.0"/>
    <col customWidth="1" min="5" max="5" width="14.86"/>
    <col customWidth="1" min="6" max="6" width="18.29"/>
  </cols>
  <sheetData>
    <row r="1">
      <c r="A1" s="159" t="s">
        <v>707</v>
      </c>
      <c r="B1" s="160" t="s">
        <v>708</v>
      </c>
      <c r="C1" s="160" t="s">
        <v>709</v>
      </c>
      <c r="D1" s="160" t="s">
        <v>710</v>
      </c>
      <c r="E1" s="160" t="s">
        <v>711</v>
      </c>
      <c r="F1" s="160" t="s">
        <v>712</v>
      </c>
      <c r="G1" s="160" t="s">
        <v>713</v>
      </c>
    </row>
    <row r="2">
      <c r="A2" s="153" t="s">
        <v>193</v>
      </c>
      <c r="B2" s="161">
        <v>405960.1</v>
      </c>
      <c r="C2" s="161">
        <v>1.27646669E7</v>
      </c>
      <c r="D2" s="162">
        <f t="shared" ref="D2:D5" si="1">B2/C2</f>
        <v>0.03180342293</v>
      </c>
      <c r="E2" s="161">
        <v>23788.45</v>
      </c>
      <c r="F2" s="161">
        <v>23530.3</v>
      </c>
      <c r="G2" s="162">
        <v>-0.0109</v>
      </c>
    </row>
    <row r="3">
      <c r="A3" s="153" t="s">
        <v>199</v>
      </c>
      <c r="B3" s="161">
        <v>4678698.51</v>
      </c>
      <c r="C3" s="161">
        <v>2.006824797E7</v>
      </c>
      <c r="D3" s="162">
        <f t="shared" si="1"/>
        <v>0.2331393611</v>
      </c>
      <c r="E3" s="161">
        <v>21899.4</v>
      </c>
      <c r="F3" s="161">
        <v>23530.3</v>
      </c>
      <c r="G3" s="162">
        <v>0.0745</v>
      </c>
    </row>
    <row r="4">
      <c r="A4" s="153" t="s">
        <v>200</v>
      </c>
      <c r="B4" s="161">
        <v>592986.08</v>
      </c>
      <c r="C4" s="161">
        <v>2.00639877E7</v>
      </c>
      <c r="D4" s="162">
        <f t="shared" si="1"/>
        <v>0.02955474699</v>
      </c>
      <c r="E4" s="161">
        <v>22708.15</v>
      </c>
      <c r="F4" s="161">
        <v>23530.3</v>
      </c>
      <c r="G4" s="162">
        <v>0.0362</v>
      </c>
    </row>
    <row r="5">
      <c r="A5" s="153" t="s">
        <v>124</v>
      </c>
      <c r="B5" s="161">
        <v>23431.44</v>
      </c>
      <c r="C5" s="161">
        <v>9889920.53</v>
      </c>
      <c r="D5" s="162">
        <f t="shared" si="1"/>
        <v>0.002369224295</v>
      </c>
      <c r="E5" s="161">
        <v>23126.0</v>
      </c>
      <c r="F5" s="161">
        <v>23530.3</v>
      </c>
      <c r="G5" s="162">
        <v>0.0175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7" width="15.71"/>
    <col customWidth="1" min="8" max="8" width="17.14"/>
    <col customWidth="1" min="9" max="10" width="15.71"/>
    <col customWidth="1" min="11" max="26" width="8.71"/>
  </cols>
  <sheetData>
    <row r="1">
      <c r="A1" s="2" t="s">
        <v>1</v>
      </c>
      <c r="B1" s="2">
        <v>1.0E7</v>
      </c>
      <c r="C1" s="14">
        <f>B1/24000</f>
        <v>416.6666667</v>
      </c>
      <c r="D1" s="14">
        <f>C1/65</f>
        <v>6.41025641</v>
      </c>
      <c r="E1" s="8" t="s">
        <v>714</v>
      </c>
      <c r="F1" s="8" t="s">
        <v>715</v>
      </c>
      <c r="G1" s="14">
        <f>65*7</f>
        <v>455</v>
      </c>
      <c r="H1" s="8" t="s">
        <v>716</v>
      </c>
      <c r="J1" s="8" t="s">
        <v>704</v>
      </c>
    </row>
    <row r="2">
      <c r="C2" s="5" t="s">
        <v>6</v>
      </c>
      <c r="D2" s="6"/>
      <c r="E2" s="6"/>
      <c r="F2" s="6"/>
      <c r="G2" s="7"/>
      <c r="H2" s="5" t="s">
        <v>13</v>
      </c>
      <c r="I2" s="6"/>
      <c r="J2" s="7"/>
    </row>
    <row r="3">
      <c r="A3" s="2" t="s">
        <v>17</v>
      </c>
      <c r="B3" s="2" t="s">
        <v>18</v>
      </c>
      <c r="C3" s="2" t="s">
        <v>20</v>
      </c>
      <c r="D3" s="2" t="s">
        <v>21</v>
      </c>
      <c r="E3" s="2" t="s">
        <v>23</v>
      </c>
      <c r="F3" s="2" t="s">
        <v>25</v>
      </c>
      <c r="G3" s="2" t="s">
        <v>26</v>
      </c>
      <c r="H3" s="2" t="s">
        <v>27</v>
      </c>
      <c r="I3" s="2" t="s">
        <v>29</v>
      </c>
      <c r="J3" s="2" t="s">
        <v>30</v>
      </c>
      <c r="K3" s="8" t="s">
        <v>717</v>
      </c>
    </row>
    <row r="4">
      <c r="A4" s="14" t="s">
        <v>41</v>
      </c>
      <c r="B4" s="14">
        <v>0.05</v>
      </c>
      <c r="C4" s="14">
        <v>206.96</v>
      </c>
      <c r="D4" s="14">
        <v>0.0</v>
      </c>
      <c r="E4" s="14">
        <f t="shared" ref="E4:E23" si="1">ROUND($B$1 * B4 / C4, 0)</f>
        <v>2416</v>
      </c>
      <c r="F4" s="14" t="str">
        <f t="shared" ref="F4:F23" si="2">IF(G4&gt;0, "BUY", IF(G4&lt;0, "SELL", "FLAT"))</f>
        <v>BUY</v>
      </c>
      <c r="G4" s="14">
        <f t="shared" ref="G4:G23" si="3">E4-D4</f>
        <v>2416</v>
      </c>
      <c r="H4" s="14">
        <v>2416.0</v>
      </c>
      <c r="I4" s="8">
        <v>207.98</v>
      </c>
      <c r="J4" s="14">
        <f t="shared" ref="J4:J23" si="4">I4 * H4</f>
        <v>502479.68</v>
      </c>
      <c r="K4" s="14">
        <f t="shared" ref="K4:K24" si="5">D4+H4</f>
        <v>2416</v>
      </c>
      <c r="M4" s="14">
        <f t="shared" ref="M4:M23" si="6">(C4*G4)</f>
        <v>500015.36</v>
      </c>
      <c r="N4" s="14">
        <f>M4/$M$24</f>
        <v>0.04999769863</v>
      </c>
      <c r="P4" s="14" t="str">
        <f>sum</f>
        <v>#NAME?</v>
      </c>
    </row>
    <row r="5">
      <c r="A5" s="14" t="s">
        <v>50</v>
      </c>
      <c r="B5" s="14">
        <v>0.05</v>
      </c>
      <c r="C5" s="14">
        <v>1408.2</v>
      </c>
      <c r="D5" s="14">
        <v>0.0</v>
      </c>
      <c r="E5" s="14">
        <f t="shared" si="1"/>
        <v>355</v>
      </c>
      <c r="F5" s="14" t="str">
        <f t="shared" si="2"/>
        <v>BUY</v>
      </c>
      <c r="G5" s="14">
        <f t="shared" si="3"/>
        <v>355</v>
      </c>
      <c r="H5" s="14">
        <v>355.0</v>
      </c>
      <c r="I5" s="8">
        <v>1394.8</v>
      </c>
      <c r="J5" s="14">
        <f t="shared" si="4"/>
        <v>495154</v>
      </c>
      <c r="K5" s="14">
        <f t="shared" si="5"/>
        <v>355</v>
      </c>
      <c r="M5" s="14">
        <f t="shared" si="6"/>
        <v>499911</v>
      </c>
      <c r="N5" s="14">
        <f>M5/M24</f>
        <v>0.04998726343</v>
      </c>
    </row>
    <row r="6">
      <c r="A6" s="14" t="s">
        <v>56</v>
      </c>
      <c r="B6" s="14">
        <v>0.05</v>
      </c>
      <c r="C6" s="14">
        <v>1590.0</v>
      </c>
      <c r="D6" s="14">
        <v>0.0</v>
      </c>
      <c r="E6" s="14">
        <f t="shared" si="1"/>
        <v>314</v>
      </c>
      <c r="F6" s="14" t="str">
        <f t="shared" si="2"/>
        <v>BUY</v>
      </c>
      <c r="G6" s="14">
        <f t="shared" si="3"/>
        <v>314</v>
      </c>
      <c r="H6" s="14">
        <v>314.0</v>
      </c>
      <c r="I6" s="8">
        <v>1600.0</v>
      </c>
      <c r="J6" s="14">
        <f t="shared" si="4"/>
        <v>502400</v>
      </c>
      <c r="K6" s="14">
        <f t="shared" si="5"/>
        <v>314</v>
      </c>
      <c r="M6" s="14">
        <f t="shared" si="6"/>
        <v>499260</v>
      </c>
      <c r="N6" s="14">
        <f t="shared" ref="N6:N23" si="7">M6/$M$24</f>
        <v>0.04992216842</v>
      </c>
    </row>
    <row r="7">
      <c r="A7" s="14" t="s">
        <v>59</v>
      </c>
      <c r="B7" s="14">
        <v>0.05</v>
      </c>
      <c r="C7" s="14">
        <v>1477.0</v>
      </c>
      <c r="D7" s="14">
        <v>0.0</v>
      </c>
      <c r="E7" s="14">
        <f t="shared" si="1"/>
        <v>339</v>
      </c>
      <c r="F7" s="14" t="str">
        <f t="shared" si="2"/>
        <v>BUY</v>
      </c>
      <c r="G7" s="14">
        <f t="shared" si="3"/>
        <v>339</v>
      </c>
      <c r="H7" s="14">
        <v>339.0</v>
      </c>
      <c r="I7" s="8">
        <v>1500.0</v>
      </c>
      <c r="J7" s="14">
        <f t="shared" si="4"/>
        <v>508500</v>
      </c>
      <c r="K7" s="14">
        <f t="shared" si="5"/>
        <v>339</v>
      </c>
      <c r="M7" s="14">
        <f t="shared" si="6"/>
        <v>500703</v>
      </c>
      <c r="N7" s="14">
        <f t="shared" si="7"/>
        <v>0.05006645735</v>
      </c>
    </row>
    <row r="8">
      <c r="A8" s="14" t="s">
        <v>58</v>
      </c>
      <c r="B8" s="14">
        <v>0.05</v>
      </c>
      <c r="C8" s="14">
        <v>275.8</v>
      </c>
      <c r="D8" s="14">
        <v>0.0</v>
      </c>
      <c r="E8" s="14">
        <f t="shared" si="1"/>
        <v>1813</v>
      </c>
      <c r="F8" s="14" t="str">
        <f t="shared" si="2"/>
        <v>BUY</v>
      </c>
      <c r="G8" s="14">
        <f t="shared" si="3"/>
        <v>1813</v>
      </c>
      <c r="H8" s="14">
        <v>1813.0</v>
      </c>
      <c r="I8" s="8">
        <v>274.85</v>
      </c>
      <c r="J8" s="14">
        <f t="shared" si="4"/>
        <v>498303.05</v>
      </c>
      <c r="K8" s="14">
        <f t="shared" si="5"/>
        <v>1813</v>
      </c>
      <c r="M8" s="14">
        <f t="shared" si="6"/>
        <v>500025.4</v>
      </c>
      <c r="N8" s="14">
        <f t="shared" si="7"/>
        <v>0.04999870255</v>
      </c>
    </row>
    <row r="9">
      <c r="A9" s="14" t="s">
        <v>112</v>
      </c>
      <c r="B9" s="14">
        <v>0.05</v>
      </c>
      <c r="C9" s="14">
        <v>1015.9</v>
      </c>
      <c r="D9" s="14">
        <v>0.0</v>
      </c>
      <c r="E9" s="14">
        <f t="shared" si="1"/>
        <v>492</v>
      </c>
      <c r="F9" s="14" t="str">
        <f t="shared" si="2"/>
        <v>BUY</v>
      </c>
      <c r="G9" s="14">
        <f t="shared" si="3"/>
        <v>492</v>
      </c>
      <c r="H9" s="14">
        <v>492.0</v>
      </c>
      <c r="I9" s="8">
        <v>991.75</v>
      </c>
      <c r="J9" s="14">
        <f t="shared" si="4"/>
        <v>487941</v>
      </c>
      <c r="K9" s="14">
        <f t="shared" si="5"/>
        <v>492</v>
      </c>
      <c r="M9" s="14">
        <f t="shared" si="6"/>
        <v>499822.8</v>
      </c>
      <c r="N9" s="14">
        <f t="shared" si="7"/>
        <v>0.0499784441</v>
      </c>
    </row>
    <row r="10">
      <c r="A10" s="14" t="s">
        <v>61</v>
      </c>
      <c r="B10" s="14">
        <v>0.05</v>
      </c>
      <c r="C10" s="14">
        <v>80.55</v>
      </c>
      <c r="D10" s="14">
        <v>0.0</v>
      </c>
      <c r="E10" s="14">
        <f t="shared" si="1"/>
        <v>6207</v>
      </c>
      <c r="F10" s="14" t="str">
        <f t="shared" si="2"/>
        <v>BUY</v>
      </c>
      <c r="G10" s="14">
        <f t="shared" si="3"/>
        <v>6207</v>
      </c>
      <c r="H10" s="14">
        <v>6207.0</v>
      </c>
      <c r="I10" s="8">
        <v>79.41</v>
      </c>
      <c r="J10" s="14">
        <f t="shared" si="4"/>
        <v>492897.87</v>
      </c>
      <c r="K10" s="14">
        <f t="shared" si="5"/>
        <v>6207</v>
      </c>
      <c r="M10" s="14">
        <f t="shared" si="6"/>
        <v>499973.85</v>
      </c>
      <c r="N10" s="14">
        <f t="shared" si="7"/>
        <v>0.04999354795</v>
      </c>
    </row>
    <row r="11">
      <c r="A11" s="14" t="s">
        <v>64</v>
      </c>
      <c r="B11" s="14">
        <v>0.05</v>
      </c>
      <c r="C11" s="14">
        <v>21.7</v>
      </c>
      <c r="D11" s="14">
        <v>0.0</v>
      </c>
      <c r="E11" s="14">
        <f t="shared" si="1"/>
        <v>23041</v>
      </c>
      <c r="F11" s="14" t="str">
        <f t="shared" si="2"/>
        <v>BUY</v>
      </c>
      <c r="G11" s="14">
        <f t="shared" si="3"/>
        <v>23041</v>
      </c>
      <c r="H11" s="14">
        <v>23041.0</v>
      </c>
      <c r="I11" s="8">
        <v>21.55</v>
      </c>
      <c r="J11" s="14">
        <f t="shared" si="4"/>
        <v>496533.55</v>
      </c>
      <c r="K11" s="14">
        <f t="shared" si="5"/>
        <v>23041</v>
      </c>
      <c r="M11" s="14">
        <f t="shared" si="6"/>
        <v>499989.7</v>
      </c>
      <c r="N11" s="14">
        <f t="shared" si="7"/>
        <v>0.04999513282</v>
      </c>
    </row>
    <row r="12">
      <c r="A12" s="14" t="s">
        <v>116</v>
      </c>
      <c r="B12" s="14">
        <v>0.05</v>
      </c>
      <c r="C12" s="14">
        <v>1135.0</v>
      </c>
      <c r="D12" s="14">
        <v>0.0</v>
      </c>
      <c r="E12" s="14">
        <f t="shared" si="1"/>
        <v>441</v>
      </c>
      <c r="F12" s="14" t="str">
        <f t="shared" si="2"/>
        <v>BUY</v>
      </c>
      <c r="G12" s="14">
        <f t="shared" si="3"/>
        <v>441</v>
      </c>
      <c r="H12" s="14">
        <v>441.0</v>
      </c>
      <c r="I12" s="8">
        <v>1106.9</v>
      </c>
      <c r="J12" s="14">
        <f t="shared" si="4"/>
        <v>488142.9</v>
      </c>
      <c r="K12" s="14">
        <f t="shared" si="5"/>
        <v>441</v>
      </c>
      <c r="M12" s="14">
        <f t="shared" si="6"/>
        <v>500535</v>
      </c>
      <c r="N12" s="14">
        <f t="shared" si="7"/>
        <v>0.05004965864</v>
      </c>
    </row>
    <row r="13">
      <c r="A13" s="14" t="s">
        <v>68</v>
      </c>
      <c r="B13" s="14">
        <v>0.05</v>
      </c>
      <c r="C13" s="14">
        <v>1787.9</v>
      </c>
      <c r="D13" s="14">
        <v>0.0</v>
      </c>
      <c r="E13" s="14">
        <f t="shared" si="1"/>
        <v>280</v>
      </c>
      <c r="F13" s="14" t="str">
        <f t="shared" si="2"/>
        <v>BUY</v>
      </c>
      <c r="G13" s="14">
        <f t="shared" si="3"/>
        <v>280</v>
      </c>
      <c r="H13" s="14">
        <v>280.0</v>
      </c>
      <c r="I13" s="8">
        <v>1783.6</v>
      </c>
      <c r="J13" s="14">
        <f t="shared" si="4"/>
        <v>499408</v>
      </c>
      <c r="K13" s="14">
        <f t="shared" si="5"/>
        <v>280</v>
      </c>
      <c r="M13" s="14">
        <f t="shared" si="6"/>
        <v>500612</v>
      </c>
      <c r="N13" s="14">
        <f t="shared" si="7"/>
        <v>0.05005735805</v>
      </c>
    </row>
    <row r="14">
      <c r="A14" s="14" t="s">
        <v>83</v>
      </c>
      <c r="B14" s="14">
        <v>0.05</v>
      </c>
      <c r="C14" s="14">
        <v>328.35</v>
      </c>
      <c r="D14" s="14">
        <v>0.0</v>
      </c>
      <c r="E14" s="14">
        <f t="shared" si="1"/>
        <v>1523</v>
      </c>
      <c r="F14" s="14" t="str">
        <f t="shared" si="2"/>
        <v>BUY</v>
      </c>
      <c r="G14" s="14">
        <f t="shared" si="3"/>
        <v>1523</v>
      </c>
      <c r="H14" s="14">
        <v>1523.0</v>
      </c>
      <c r="I14" s="8">
        <v>323.0</v>
      </c>
      <c r="J14" s="14">
        <f t="shared" si="4"/>
        <v>491929</v>
      </c>
      <c r="K14" s="14">
        <f t="shared" si="5"/>
        <v>1523</v>
      </c>
      <c r="M14" s="14">
        <f t="shared" si="6"/>
        <v>500077.05</v>
      </c>
      <c r="N14" s="14">
        <f t="shared" si="7"/>
        <v>0.05000386715</v>
      </c>
    </row>
    <row r="15">
      <c r="A15" s="14" t="s">
        <v>85</v>
      </c>
      <c r="B15" s="14">
        <v>0.05</v>
      </c>
      <c r="C15" s="14">
        <v>948.95</v>
      </c>
      <c r="D15" s="14">
        <v>0.0</v>
      </c>
      <c r="E15" s="14">
        <f t="shared" si="1"/>
        <v>527</v>
      </c>
      <c r="F15" s="14" t="str">
        <f t="shared" si="2"/>
        <v>BUY</v>
      </c>
      <c r="G15" s="14">
        <f t="shared" si="3"/>
        <v>527</v>
      </c>
      <c r="H15" s="14">
        <v>527.0</v>
      </c>
      <c r="I15" s="8">
        <v>945.92</v>
      </c>
      <c r="J15" s="14">
        <f t="shared" si="4"/>
        <v>498499.84</v>
      </c>
      <c r="K15" s="14">
        <f t="shared" si="5"/>
        <v>527</v>
      </c>
      <c r="M15" s="14">
        <f t="shared" si="6"/>
        <v>500096.65</v>
      </c>
      <c r="N15" s="14">
        <f t="shared" si="7"/>
        <v>0.050005827</v>
      </c>
    </row>
    <row r="16">
      <c r="A16" s="14" t="s">
        <v>119</v>
      </c>
      <c r="B16" s="14">
        <v>0.05</v>
      </c>
      <c r="C16" s="14">
        <v>212.5</v>
      </c>
      <c r="D16" s="14">
        <v>0.0</v>
      </c>
      <c r="E16" s="14">
        <f t="shared" si="1"/>
        <v>2353</v>
      </c>
      <c r="F16" s="14" t="str">
        <f t="shared" si="2"/>
        <v>BUY</v>
      </c>
      <c r="G16" s="14">
        <f t="shared" si="3"/>
        <v>2353</v>
      </c>
      <c r="H16" s="14">
        <v>2353.0</v>
      </c>
      <c r="I16" s="8">
        <v>200.96</v>
      </c>
      <c r="J16" s="14">
        <f t="shared" si="4"/>
        <v>472858.88</v>
      </c>
      <c r="K16" s="14">
        <f t="shared" si="5"/>
        <v>2353</v>
      </c>
      <c r="M16" s="14">
        <f t="shared" si="6"/>
        <v>500012.5</v>
      </c>
      <c r="N16" s="14">
        <f t="shared" si="7"/>
        <v>0.04999741265</v>
      </c>
    </row>
    <row r="17">
      <c r="A17" s="14" t="s">
        <v>89</v>
      </c>
      <c r="B17" s="14">
        <v>0.05</v>
      </c>
      <c r="C17" s="14">
        <v>422.5</v>
      </c>
      <c r="D17" s="14">
        <v>0.0</v>
      </c>
      <c r="E17" s="14">
        <f t="shared" si="1"/>
        <v>1183</v>
      </c>
      <c r="F17" s="14" t="str">
        <f t="shared" si="2"/>
        <v>BUY</v>
      </c>
      <c r="G17" s="14">
        <f t="shared" si="3"/>
        <v>1183</v>
      </c>
      <c r="H17" s="14">
        <v>1183.0</v>
      </c>
      <c r="I17" s="8">
        <v>418.15</v>
      </c>
      <c r="J17" s="14">
        <f t="shared" si="4"/>
        <v>494671.45</v>
      </c>
      <c r="K17" s="14">
        <f t="shared" si="5"/>
        <v>1183</v>
      </c>
      <c r="M17" s="14">
        <f t="shared" si="6"/>
        <v>499817.5</v>
      </c>
      <c r="N17" s="14">
        <f t="shared" si="7"/>
        <v>0.04997791415</v>
      </c>
    </row>
    <row r="18">
      <c r="A18" s="14" t="s">
        <v>101</v>
      </c>
      <c r="B18" s="14">
        <v>0.05</v>
      </c>
      <c r="C18" s="14">
        <v>245.6</v>
      </c>
      <c r="D18" s="14">
        <v>0.0</v>
      </c>
      <c r="E18" s="14">
        <f t="shared" si="1"/>
        <v>2036</v>
      </c>
      <c r="F18" s="14" t="str">
        <f t="shared" si="2"/>
        <v>BUY</v>
      </c>
      <c r="G18" s="14">
        <f t="shared" si="3"/>
        <v>2036</v>
      </c>
      <c r="H18" s="14">
        <v>2036.0</v>
      </c>
      <c r="I18" s="8">
        <v>245.25</v>
      </c>
      <c r="J18" s="14">
        <f t="shared" si="4"/>
        <v>499329</v>
      </c>
      <c r="K18" s="14">
        <f t="shared" si="5"/>
        <v>2036</v>
      </c>
      <c r="M18" s="14">
        <f t="shared" si="6"/>
        <v>500041.6</v>
      </c>
      <c r="N18" s="14">
        <f t="shared" si="7"/>
        <v>0.05000032243</v>
      </c>
    </row>
    <row r="19">
      <c r="A19" s="14" t="s">
        <v>92</v>
      </c>
      <c r="B19" s="14">
        <v>0.05</v>
      </c>
      <c r="C19" s="14">
        <v>109.7</v>
      </c>
      <c r="D19" s="14">
        <v>0.0</v>
      </c>
      <c r="E19" s="14">
        <f t="shared" si="1"/>
        <v>4558</v>
      </c>
      <c r="F19" s="14" t="str">
        <f t="shared" si="2"/>
        <v>BUY</v>
      </c>
      <c r="G19" s="14">
        <f t="shared" si="3"/>
        <v>4558</v>
      </c>
      <c r="H19" s="14">
        <v>4558.0</v>
      </c>
      <c r="I19" s="8">
        <v>108.04</v>
      </c>
      <c r="J19" s="14">
        <f t="shared" si="4"/>
        <v>492446.32</v>
      </c>
      <c r="K19" s="14">
        <f t="shared" si="5"/>
        <v>4558</v>
      </c>
      <c r="M19" s="14">
        <f t="shared" si="6"/>
        <v>500012.6</v>
      </c>
      <c r="N19" s="14">
        <f t="shared" si="7"/>
        <v>0.04999742265</v>
      </c>
    </row>
    <row r="20">
      <c r="A20" s="14" t="s">
        <v>94</v>
      </c>
      <c r="B20" s="14">
        <v>0.05</v>
      </c>
      <c r="C20" s="14">
        <v>280.0</v>
      </c>
      <c r="D20" s="14">
        <v>0.0</v>
      </c>
      <c r="E20" s="14">
        <f t="shared" si="1"/>
        <v>1786</v>
      </c>
      <c r="F20" s="14" t="str">
        <f t="shared" si="2"/>
        <v>BUY</v>
      </c>
      <c r="G20" s="14">
        <f t="shared" si="3"/>
        <v>1786</v>
      </c>
      <c r="H20" s="14">
        <v>1786.0</v>
      </c>
      <c r="I20" s="8">
        <v>279.9</v>
      </c>
      <c r="J20" s="14">
        <f t="shared" si="4"/>
        <v>499901.4</v>
      </c>
      <c r="K20" s="14">
        <f t="shared" si="5"/>
        <v>1786</v>
      </c>
      <c r="M20" s="14">
        <f t="shared" si="6"/>
        <v>500080</v>
      </c>
      <c r="N20" s="14">
        <f t="shared" si="7"/>
        <v>0.05000416213</v>
      </c>
    </row>
    <row r="21">
      <c r="A21" s="14" t="s">
        <v>120</v>
      </c>
      <c r="B21" s="14">
        <v>0.05</v>
      </c>
      <c r="C21" s="14">
        <v>198.8</v>
      </c>
      <c r="D21" s="14">
        <v>0.0</v>
      </c>
      <c r="E21" s="14">
        <f t="shared" si="1"/>
        <v>2515</v>
      </c>
      <c r="F21" s="14" t="str">
        <f t="shared" si="2"/>
        <v>BUY</v>
      </c>
      <c r="G21" s="14">
        <f t="shared" si="3"/>
        <v>2515</v>
      </c>
      <c r="H21" s="14">
        <v>2515.0</v>
      </c>
      <c r="I21" s="8">
        <v>196.46</v>
      </c>
      <c r="J21" s="14">
        <f t="shared" si="4"/>
        <v>494096.9</v>
      </c>
      <c r="K21" s="14">
        <f t="shared" si="5"/>
        <v>2515</v>
      </c>
      <c r="M21" s="14">
        <f t="shared" si="6"/>
        <v>499982</v>
      </c>
      <c r="N21" s="14">
        <f t="shared" si="7"/>
        <v>0.04999436288</v>
      </c>
    </row>
    <row r="22">
      <c r="A22" s="14" t="s">
        <v>97</v>
      </c>
      <c r="B22" s="14">
        <v>0.05</v>
      </c>
      <c r="C22" s="14">
        <v>604.3</v>
      </c>
      <c r="D22" s="14">
        <v>0.0</v>
      </c>
      <c r="E22" s="14">
        <f t="shared" si="1"/>
        <v>827</v>
      </c>
      <c r="F22" s="14" t="str">
        <f t="shared" si="2"/>
        <v>BUY</v>
      </c>
      <c r="G22" s="14">
        <f t="shared" si="3"/>
        <v>827</v>
      </c>
      <c r="H22" s="14">
        <v>827.0</v>
      </c>
      <c r="I22" s="8">
        <v>604.38</v>
      </c>
      <c r="J22" s="14">
        <f t="shared" si="4"/>
        <v>499822.26</v>
      </c>
      <c r="K22" s="14">
        <f t="shared" si="5"/>
        <v>827</v>
      </c>
      <c r="M22" s="14">
        <f t="shared" si="6"/>
        <v>499756.1</v>
      </c>
      <c r="N22" s="14">
        <f t="shared" si="7"/>
        <v>0.04997177462</v>
      </c>
    </row>
    <row r="23">
      <c r="A23" s="14" t="s">
        <v>77</v>
      </c>
      <c r="B23" s="14">
        <v>0.05</v>
      </c>
      <c r="C23" s="14">
        <v>305.65</v>
      </c>
      <c r="D23" s="14">
        <v>0.0</v>
      </c>
      <c r="E23" s="14">
        <f t="shared" si="1"/>
        <v>1636</v>
      </c>
      <c r="F23" s="14" t="str">
        <f t="shared" si="2"/>
        <v>BUY</v>
      </c>
      <c r="G23" s="14">
        <f t="shared" si="3"/>
        <v>1636</v>
      </c>
      <c r="H23" s="14">
        <v>1636.0</v>
      </c>
      <c r="I23" s="8">
        <v>282.9</v>
      </c>
      <c r="J23" s="14">
        <f t="shared" si="4"/>
        <v>462824.4</v>
      </c>
      <c r="K23" s="14">
        <f t="shared" si="5"/>
        <v>1636</v>
      </c>
      <c r="M23" s="14">
        <f t="shared" si="6"/>
        <v>500043.4</v>
      </c>
      <c r="N23" s="14">
        <f t="shared" si="7"/>
        <v>0.05000050241</v>
      </c>
    </row>
    <row r="24">
      <c r="J24" s="14">
        <f>SUM(J4:J23)</f>
        <v>9878139.5</v>
      </c>
      <c r="K24" s="14">
        <f t="shared" si="5"/>
        <v>0</v>
      </c>
      <c r="M24" s="14">
        <f>SUM(M4:M23)</f>
        <v>10000767.51</v>
      </c>
    </row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2">
    <mergeCell ref="C2:G2"/>
    <mergeCell ref="H2:J2"/>
  </mergeCells>
  <conditionalFormatting sqref="C10">
    <cfRule type="notContainsBlanks" dxfId="0" priority="1">
      <formula>LEN(TRIM(C10))&gt;0</formula>
    </cfRule>
  </conditionalFormatting>
  <conditionalFormatting sqref="C11">
    <cfRule type="notContainsBlanks" dxfId="0" priority="2">
      <formula>LEN(TRIM(C11))&gt;0</formula>
    </cfRule>
  </conditionalFormatting>
  <conditionalFormatting sqref="C12">
    <cfRule type="notContainsBlanks" dxfId="0" priority="3">
      <formula>LEN(TRIM(C12))&gt;0</formula>
    </cfRule>
  </conditionalFormatting>
  <conditionalFormatting sqref="C13">
    <cfRule type="notContainsBlanks" dxfId="0" priority="4">
      <formula>LEN(TRIM(C13))&gt;0</formula>
    </cfRule>
  </conditionalFormatting>
  <conditionalFormatting sqref="C14">
    <cfRule type="notContainsBlanks" dxfId="0" priority="5">
      <formula>LEN(TRIM(C14))&gt;0</formula>
    </cfRule>
  </conditionalFormatting>
  <conditionalFormatting sqref="C15">
    <cfRule type="notContainsBlanks" dxfId="0" priority="6">
      <formula>LEN(TRIM(C15))&gt;0</formula>
    </cfRule>
  </conditionalFormatting>
  <conditionalFormatting sqref="C16">
    <cfRule type="notContainsBlanks" dxfId="0" priority="7">
      <formula>LEN(TRIM(C16))&gt;0</formula>
    </cfRule>
  </conditionalFormatting>
  <conditionalFormatting sqref="C17">
    <cfRule type="notContainsBlanks" dxfId="0" priority="8">
      <formula>LEN(TRIM(C17))&gt;0</formula>
    </cfRule>
  </conditionalFormatting>
  <conditionalFormatting sqref="C18">
    <cfRule type="notContainsBlanks" dxfId="0" priority="9">
      <formula>LEN(TRIM(C18))&gt;0</formula>
    </cfRule>
  </conditionalFormatting>
  <conditionalFormatting sqref="C19">
    <cfRule type="notContainsBlanks" dxfId="0" priority="10">
      <formula>LEN(TRIM(C19))&gt;0</formula>
    </cfRule>
  </conditionalFormatting>
  <conditionalFormatting sqref="C20">
    <cfRule type="notContainsBlanks" dxfId="0" priority="11">
      <formula>LEN(TRIM(C20))&gt;0</formula>
    </cfRule>
  </conditionalFormatting>
  <conditionalFormatting sqref="C21">
    <cfRule type="notContainsBlanks" dxfId="0" priority="12">
      <formula>LEN(TRIM(C21))&gt;0</formula>
    </cfRule>
  </conditionalFormatting>
  <conditionalFormatting sqref="C22">
    <cfRule type="notContainsBlanks" dxfId="0" priority="13">
      <formula>LEN(TRIM(C22))&gt;0</formula>
    </cfRule>
  </conditionalFormatting>
  <conditionalFormatting sqref="C23">
    <cfRule type="notContainsBlanks" dxfId="0" priority="14">
      <formula>LEN(TRIM(C23))&gt;0</formula>
    </cfRule>
  </conditionalFormatting>
  <conditionalFormatting sqref="C4:C23">
    <cfRule type="notContainsBlanks" dxfId="0" priority="15">
      <formula>LEN(TRIM(C4))&gt;0</formula>
    </cfRule>
  </conditionalFormatting>
  <conditionalFormatting sqref="C5">
    <cfRule type="notContainsBlanks" dxfId="0" priority="16">
      <formula>LEN(TRIM(C5))&gt;0</formula>
    </cfRule>
  </conditionalFormatting>
  <conditionalFormatting sqref="C6">
    <cfRule type="notContainsBlanks" dxfId="0" priority="17">
      <formula>LEN(TRIM(C6))&gt;0</formula>
    </cfRule>
  </conditionalFormatting>
  <conditionalFormatting sqref="C7">
    <cfRule type="notContainsBlanks" dxfId="0" priority="18">
      <formula>LEN(TRIM(C7))&gt;0</formula>
    </cfRule>
  </conditionalFormatting>
  <conditionalFormatting sqref="C8">
    <cfRule type="notContainsBlanks" dxfId="0" priority="19">
      <formula>LEN(TRIM(C8))&gt;0</formula>
    </cfRule>
  </conditionalFormatting>
  <conditionalFormatting sqref="C9">
    <cfRule type="notContainsBlanks" dxfId="0" priority="20">
      <formula>LEN(TRIM(C9))&gt;0</formula>
    </cfRule>
  </conditionalFormatting>
  <conditionalFormatting sqref="D10">
    <cfRule type="notContainsBlanks" dxfId="0" priority="21">
      <formula>LEN(TRIM(D10))&gt;0</formula>
    </cfRule>
  </conditionalFormatting>
  <conditionalFormatting sqref="D11">
    <cfRule type="notContainsBlanks" dxfId="0" priority="22">
      <formula>LEN(TRIM(D11))&gt;0</formula>
    </cfRule>
  </conditionalFormatting>
  <conditionalFormatting sqref="D12">
    <cfRule type="notContainsBlanks" dxfId="0" priority="23">
      <formula>LEN(TRIM(D12))&gt;0</formula>
    </cfRule>
  </conditionalFormatting>
  <conditionalFormatting sqref="D13">
    <cfRule type="notContainsBlanks" dxfId="0" priority="24">
      <formula>LEN(TRIM(D13))&gt;0</formula>
    </cfRule>
  </conditionalFormatting>
  <conditionalFormatting sqref="D14">
    <cfRule type="notContainsBlanks" dxfId="0" priority="25">
      <formula>LEN(TRIM(D14))&gt;0</formula>
    </cfRule>
  </conditionalFormatting>
  <conditionalFormatting sqref="D15">
    <cfRule type="notContainsBlanks" dxfId="0" priority="26">
      <formula>LEN(TRIM(D15))&gt;0</formula>
    </cfRule>
  </conditionalFormatting>
  <conditionalFormatting sqref="D16">
    <cfRule type="notContainsBlanks" dxfId="0" priority="27">
      <formula>LEN(TRIM(D16))&gt;0</formula>
    </cfRule>
  </conditionalFormatting>
  <conditionalFormatting sqref="D17">
    <cfRule type="notContainsBlanks" dxfId="0" priority="28">
      <formula>LEN(TRIM(D17))&gt;0</formula>
    </cfRule>
  </conditionalFormatting>
  <conditionalFormatting sqref="D18">
    <cfRule type="notContainsBlanks" dxfId="0" priority="29">
      <formula>LEN(TRIM(D18))&gt;0</formula>
    </cfRule>
  </conditionalFormatting>
  <conditionalFormatting sqref="D19">
    <cfRule type="notContainsBlanks" dxfId="0" priority="30">
      <formula>LEN(TRIM(D19))&gt;0</formula>
    </cfRule>
  </conditionalFormatting>
  <conditionalFormatting sqref="D20">
    <cfRule type="notContainsBlanks" dxfId="0" priority="31">
      <formula>LEN(TRIM(D20))&gt;0</formula>
    </cfRule>
  </conditionalFormatting>
  <conditionalFormatting sqref="D21">
    <cfRule type="notContainsBlanks" dxfId="0" priority="32">
      <formula>LEN(TRIM(D21))&gt;0</formula>
    </cfRule>
  </conditionalFormatting>
  <conditionalFormatting sqref="D22">
    <cfRule type="notContainsBlanks" dxfId="0" priority="33">
      <formula>LEN(TRIM(D22))&gt;0</formula>
    </cfRule>
  </conditionalFormatting>
  <conditionalFormatting sqref="D23">
    <cfRule type="notContainsBlanks" dxfId="0" priority="34">
      <formula>LEN(TRIM(D23))&gt;0</formula>
    </cfRule>
  </conditionalFormatting>
  <conditionalFormatting sqref="D4">
    <cfRule type="notContainsBlanks" dxfId="0" priority="35">
      <formula>LEN(TRIM(D4))&gt;0</formula>
    </cfRule>
  </conditionalFormatting>
  <conditionalFormatting sqref="D5">
    <cfRule type="notContainsBlanks" dxfId="0" priority="36">
      <formula>LEN(TRIM(D5))&gt;0</formula>
    </cfRule>
  </conditionalFormatting>
  <conditionalFormatting sqref="D6">
    <cfRule type="notContainsBlanks" dxfId="0" priority="37">
      <formula>LEN(TRIM(D6))&gt;0</formula>
    </cfRule>
  </conditionalFormatting>
  <conditionalFormatting sqref="D7">
    <cfRule type="notContainsBlanks" dxfId="0" priority="38">
      <formula>LEN(TRIM(D7))&gt;0</formula>
    </cfRule>
  </conditionalFormatting>
  <conditionalFormatting sqref="D8">
    <cfRule type="notContainsBlanks" dxfId="0" priority="39">
      <formula>LEN(TRIM(D8))&gt;0</formula>
    </cfRule>
  </conditionalFormatting>
  <conditionalFormatting sqref="D9">
    <cfRule type="notContainsBlanks" dxfId="0" priority="40">
      <formula>LEN(TRIM(D9))&gt;0</formula>
    </cfRule>
  </conditionalFormatting>
  <conditionalFormatting sqref="E10">
    <cfRule type="notContainsBlanks" dxfId="0" priority="41">
      <formula>LEN(TRIM(E10))&gt;0</formula>
    </cfRule>
  </conditionalFormatting>
  <conditionalFormatting sqref="E11">
    <cfRule type="notContainsBlanks" dxfId="0" priority="42">
      <formula>LEN(TRIM(E11))&gt;0</formula>
    </cfRule>
  </conditionalFormatting>
  <conditionalFormatting sqref="E12">
    <cfRule type="notContainsBlanks" dxfId="0" priority="43">
      <formula>LEN(TRIM(E12))&gt;0</formula>
    </cfRule>
  </conditionalFormatting>
  <conditionalFormatting sqref="E13">
    <cfRule type="notContainsBlanks" dxfId="0" priority="44">
      <formula>LEN(TRIM(E13))&gt;0</formula>
    </cfRule>
  </conditionalFormatting>
  <conditionalFormatting sqref="E14">
    <cfRule type="notContainsBlanks" dxfId="0" priority="45">
      <formula>LEN(TRIM(E14))&gt;0</formula>
    </cfRule>
  </conditionalFormatting>
  <conditionalFormatting sqref="E15">
    <cfRule type="notContainsBlanks" dxfId="0" priority="46">
      <formula>LEN(TRIM(E15))&gt;0</formula>
    </cfRule>
  </conditionalFormatting>
  <conditionalFormatting sqref="E16">
    <cfRule type="notContainsBlanks" dxfId="0" priority="47">
      <formula>LEN(TRIM(E16))&gt;0</formula>
    </cfRule>
  </conditionalFormatting>
  <conditionalFormatting sqref="E17">
    <cfRule type="notContainsBlanks" dxfId="0" priority="48">
      <formula>LEN(TRIM(E17))&gt;0</formula>
    </cfRule>
  </conditionalFormatting>
  <conditionalFormatting sqref="E18">
    <cfRule type="notContainsBlanks" dxfId="0" priority="49">
      <formula>LEN(TRIM(E18))&gt;0</formula>
    </cfRule>
  </conditionalFormatting>
  <conditionalFormatting sqref="E19">
    <cfRule type="notContainsBlanks" dxfId="0" priority="50">
      <formula>LEN(TRIM(E19))&gt;0</formula>
    </cfRule>
  </conditionalFormatting>
  <conditionalFormatting sqref="E20">
    <cfRule type="notContainsBlanks" dxfId="0" priority="51">
      <formula>LEN(TRIM(E20))&gt;0</formula>
    </cfRule>
  </conditionalFormatting>
  <conditionalFormatting sqref="E21">
    <cfRule type="notContainsBlanks" dxfId="0" priority="52">
      <formula>LEN(TRIM(E21))&gt;0</formula>
    </cfRule>
  </conditionalFormatting>
  <conditionalFormatting sqref="E22">
    <cfRule type="notContainsBlanks" dxfId="0" priority="53">
      <formula>LEN(TRIM(E22))&gt;0</formula>
    </cfRule>
  </conditionalFormatting>
  <conditionalFormatting sqref="E23">
    <cfRule type="notContainsBlanks" dxfId="0" priority="54">
      <formula>LEN(TRIM(E23))&gt;0</formula>
    </cfRule>
  </conditionalFormatting>
  <conditionalFormatting sqref="E4">
    <cfRule type="notContainsBlanks" dxfId="0" priority="55">
      <formula>LEN(TRIM(E4))&gt;0</formula>
    </cfRule>
  </conditionalFormatting>
  <conditionalFormatting sqref="E5">
    <cfRule type="notContainsBlanks" dxfId="0" priority="56">
      <formula>LEN(TRIM(E5))&gt;0</formula>
    </cfRule>
  </conditionalFormatting>
  <conditionalFormatting sqref="E6">
    <cfRule type="notContainsBlanks" dxfId="0" priority="57">
      <formula>LEN(TRIM(E6))&gt;0</formula>
    </cfRule>
  </conditionalFormatting>
  <conditionalFormatting sqref="E7">
    <cfRule type="notContainsBlanks" dxfId="0" priority="58">
      <formula>LEN(TRIM(E7))&gt;0</formula>
    </cfRule>
  </conditionalFormatting>
  <conditionalFormatting sqref="E8">
    <cfRule type="notContainsBlanks" dxfId="0" priority="59">
      <formula>LEN(TRIM(E8))&gt;0</formula>
    </cfRule>
  </conditionalFormatting>
  <conditionalFormatting sqref="E9">
    <cfRule type="notContainsBlanks" dxfId="0" priority="60">
      <formula>LEN(TRIM(E9))&gt;0</formula>
    </cfRule>
  </conditionalFormatting>
  <conditionalFormatting sqref="F10">
    <cfRule type="notContainsBlanks" dxfId="0" priority="61">
      <formula>LEN(TRIM(F10))&gt;0</formula>
    </cfRule>
  </conditionalFormatting>
  <conditionalFormatting sqref="F11">
    <cfRule type="notContainsBlanks" dxfId="0" priority="62">
      <formula>LEN(TRIM(F11))&gt;0</formula>
    </cfRule>
  </conditionalFormatting>
  <conditionalFormatting sqref="F12">
    <cfRule type="notContainsBlanks" dxfId="0" priority="63">
      <formula>LEN(TRIM(F12))&gt;0</formula>
    </cfRule>
  </conditionalFormatting>
  <conditionalFormatting sqref="F13">
    <cfRule type="notContainsBlanks" dxfId="0" priority="64">
      <formula>LEN(TRIM(F13))&gt;0</formula>
    </cfRule>
  </conditionalFormatting>
  <conditionalFormatting sqref="F14">
    <cfRule type="notContainsBlanks" dxfId="0" priority="65">
      <formula>LEN(TRIM(F14))&gt;0</formula>
    </cfRule>
  </conditionalFormatting>
  <conditionalFormatting sqref="F15">
    <cfRule type="notContainsBlanks" dxfId="0" priority="66">
      <formula>LEN(TRIM(F15))&gt;0</formula>
    </cfRule>
  </conditionalFormatting>
  <conditionalFormatting sqref="F16">
    <cfRule type="notContainsBlanks" dxfId="0" priority="67">
      <formula>LEN(TRIM(F16))&gt;0</formula>
    </cfRule>
  </conditionalFormatting>
  <conditionalFormatting sqref="F17">
    <cfRule type="notContainsBlanks" dxfId="0" priority="68">
      <formula>LEN(TRIM(F17))&gt;0</formula>
    </cfRule>
  </conditionalFormatting>
  <conditionalFormatting sqref="F18">
    <cfRule type="notContainsBlanks" dxfId="0" priority="69">
      <formula>LEN(TRIM(F18))&gt;0</formula>
    </cfRule>
  </conditionalFormatting>
  <conditionalFormatting sqref="F19">
    <cfRule type="notContainsBlanks" dxfId="0" priority="70">
      <formula>LEN(TRIM(F19))&gt;0</formula>
    </cfRule>
  </conditionalFormatting>
  <conditionalFormatting sqref="F20">
    <cfRule type="notContainsBlanks" dxfId="0" priority="71">
      <formula>LEN(TRIM(F20))&gt;0</formula>
    </cfRule>
  </conditionalFormatting>
  <conditionalFormatting sqref="F21">
    <cfRule type="notContainsBlanks" dxfId="0" priority="72">
      <formula>LEN(TRIM(F21))&gt;0</formula>
    </cfRule>
  </conditionalFormatting>
  <conditionalFormatting sqref="F22">
    <cfRule type="notContainsBlanks" dxfId="0" priority="73">
      <formula>LEN(TRIM(F22))&gt;0</formula>
    </cfRule>
  </conditionalFormatting>
  <conditionalFormatting sqref="F23">
    <cfRule type="notContainsBlanks" dxfId="0" priority="74">
      <formula>LEN(TRIM(F23))&gt;0</formula>
    </cfRule>
  </conditionalFormatting>
  <conditionalFormatting sqref="F4">
    <cfRule type="notContainsBlanks" dxfId="0" priority="75">
      <formula>LEN(TRIM(F4))&gt;0</formula>
    </cfRule>
  </conditionalFormatting>
  <conditionalFormatting sqref="F5">
    <cfRule type="notContainsBlanks" dxfId="0" priority="76">
      <formula>LEN(TRIM(F5))&gt;0</formula>
    </cfRule>
  </conditionalFormatting>
  <conditionalFormatting sqref="F6">
    <cfRule type="notContainsBlanks" dxfId="0" priority="77">
      <formula>LEN(TRIM(F6))&gt;0</formula>
    </cfRule>
  </conditionalFormatting>
  <conditionalFormatting sqref="F7">
    <cfRule type="notContainsBlanks" dxfId="0" priority="78">
      <formula>LEN(TRIM(F7))&gt;0</formula>
    </cfRule>
  </conditionalFormatting>
  <conditionalFormatting sqref="F8">
    <cfRule type="notContainsBlanks" dxfId="0" priority="79">
      <formula>LEN(TRIM(F8))&gt;0</formula>
    </cfRule>
  </conditionalFormatting>
  <conditionalFormatting sqref="F9">
    <cfRule type="notContainsBlanks" dxfId="0" priority="80">
      <formula>LEN(TRIM(F9))&gt;0</formula>
    </cfRule>
  </conditionalFormatting>
  <conditionalFormatting sqref="G10">
    <cfRule type="notContainsBlanks" dxfId="0" priority="81">
      <formula>LEN(TRIM(G10))&gt;0</formula>
    </cfRule>
  </conditionalFormatting>
  <conditionalFormatting sqref="G11">
    <cfRule type="notContainsBlanks" dxfId="0" priority="82">
      <formula>LEN(TRIM(G11))&gt;0</formula>
    </cfRule>
  </conditionalFormatting>
  <conditionalFormatting sqref="G12">
    <cfRule type="notContainsBlanks" dxfId="0" priority="83">
      <formula>LEN(TRIM(G12))&gt;0</formula>
    </cfRule>
  </conditionalFormatting>
  <conditionalFormatting sqref="G13">
    <cfRule type="notContainsBlanks" dxfId="0" priority="84">
      <formula>LEN(TRIM(G13))&gt;0</formula>
    </cfRule>
  </conditionalFormatting>
  <conditionalFormatting sqref="G14">
    <cfRule type="notContainsBlanks" dxfId="0" priority="85">
      <formula>LEN(TRIM(G14))&gt;0</formula>
    </cfRule>
  </conditionalFormatting>
  <conditionalFormatting sqref="G15">
    <cfRule type="notContainsBlanks" dxfId="0" priority="86">
      <formula>LEN(TRIM(G15))&gt;0</formula>
    </cfRule>
  </conditionalFormatting>
  <conditionalFormatting sqref="G16">
    <cfRule type="notContainsBlanks" dxfId="0" priority="87">
      <formula>LEN(TRIM(G16))&gt;0</formula>
    </cfRule>
  </conditionalFormatting>
  <conditionalFormatting sqref="G17">
    <cfRule type="notContainsBlanks" dxfId="0" priority="88">
      <formula>LEN(TRIM(G17))&gt;0</formula>
    </cfRule>
  </conditionalFormatting>
  <conditionalFormatting sqref="G18">
    <cfRule type="notContainsBlanks" dxfId="0" priority="89">
      <formula>LEN(TRIM(G18))&gt;0</formula>
    </cfRule>
  </conditionalFormatting>
  <conditionalFormatting sqref="G19">
    <cfRule type="notContainsBlanks" dxfId="0" priority="90">
      <formula>LEN(TRIM(G19))&gt;0</formula>
    </cfRule>
  </conditionalFormatting>
  <conditionalFormatting sqref="G20">
    <cfRule type="notContainsBlanks" dxfId="0" priority="91">
      <formula>LEN(TRIM(G20))&gt;0</formula>
    </cfRule>
  </conditionalFormatting>
  <conditionalFormatting sqref="G21">
    <cfRule type="notContainsBlanks" dxfId="0" priority="92">
      <formula>LEN(TRIM(G21))&gt;0</formula>
    </cfRule>
  </conditionalFormatting>
  <conditionalFormatting sqref="G22">
    <cfRule type="notContainsBlanks" dxfId="0" priority="93">
      <formula>LEN(TRIM(G22))&gt;0</formula>
    </cfRule>
  </conditionalFormatting>
  <conditionalFormatting sqref="G23">
    <cfRule type="notContainsBlanks" dxfId="0" priority="94">
      <formula>LEN(TRIM(G23))&gt;0</formula>
    </cfRule>
  </conditionalFormatting>
  <conditionalFormatting sqref="G4">
    <cfRule type="notContainsBlanks" dxfId="0" priority="95">
      <formula>LEN(TRIM(G4))&gt;0</formula>
    </cfRule>
  </conditionalFormatting>
  <conditionalFormatting sqref="G5">
    <cfRule type="notContainsBlanks" dxfId="0" priority="96">
      <formula>LEN(TRIM(G5))&gt;0</formula>
    </cfRule>
  </conditionalFormatting>
  <conditionalFormatting sqref="G6">
    <cfRule type="notContainsBlanks" dxfId="0" priority="97">
      <formula>LEN(TRIM(G6))&gt;0</formula>
    </cfRule>
  </conditionalFormatting>
  <conditionalFormatting sqref="G7">
    <cfRule type="notContainsBlanks" dxfId="0" priority="98">
      <formula>LEN(TRIM(G7))&gt;0</formula>
    </cfRule>
  </conditionalFormatting>
  <conditionalFormatting sqref="G8">
    <cfRule type="notContainsBlanks" dxfId="0" priority="99">
      <formula>LEN(TRIM(G8))&gt;0</formula>
    </cfRule>
  </conditionalFormatting>
  <conditionalFormatting sqref="G9">
    <cfRule type="notContainsBlanks" dxfId="0" priority="100">
      <formula>LEN(TRIM(G9))&gt;0</formula>
    </cfRule>
  </conditionalFormatting>
  <conditionalFormatting sqref="H10">
    <cfRule type="notContainsBlanks" dxfId="1" priority="101">
      <formula>LEN(TRIM(H10))&gt;0</formula>
    </cfRule>
  </conditionalFormatting>
  <conditionalFormatting sqref="H11">
    <cfRule type="notContainsBlanks" dxfId="1" priority="102">
      <formula>LEN(TRIM(H11))&gt;0</formula>
    </cfRule>
  </conditionalFormatting>
  <conditionalFormatting sqref="H12">
    <cfRule type="notContainsBlanks" dxfId="1" priority="103">
      <formula>LEN(TRIM(H12))&gt;0</formula>
    </cfRule>
  </conditionalFormatting>
  <conditionalFormatting sqref="H13">
    <cfRule type="notContainsBlanks" dxfId="1" priority="104">
      <formula>LEN(TRIM(H13))&gt;0</formula>
    </cfRule>
  </conditionalFormatting>
  <conditionalFormatting sqref="H14">
    <cfRule type="notContainsBlanks" dxfId="1" priority="105">
      <formula>LEN(TRIM(H14))&gt;0</formula>
    </cfRule>
  </conditionalFormatting>
  <conditionalFormatting sqref="H15">
    <cfRule type="notContainsBlanks" dxfId="1" priority="106">
      <formula>LEN(TRIM(H15))&gt;0</formula>
    </cfRule>
  </conditionalFormatting>
  <conditionalFormatting sqref="H16">
    <cfRule type="notContainsBlanks" dxfId="1" priority="107">
      <formula>LEN(TRIM(H16))&gt;0</formula>
    </cfRule>
  </conditionalFormatting>
  <conditionalFormatting sqref="H17">
    <cfRule type="notContainsBlanks" dxfId="1" priority="108">
      <formula>LEN(TRIM(H17))&gt;0</formula>
    </cfRule>
  </conditionalFormatting>
  <conditionalFormatting sqref="H18">
    <cfRule type="notContainsBlanks" dxfId="1" priority="109">
      <formula>LEN(TRIM(H18))&gt;0</formula>
    </cfRule>
  </conditionalFormatting>
  <conditionalFormatting sqref="H19">
    <cfRule type="notContainsBlanks" dxfId="1" priority="110">
      <formula>LEN(TRIM(H19))&gt;0</formula>
    </cfRule>
  </conditionalFormatting>
  <conditionalFormatting sqref="H20">
    <cfRule type="notContainsBlanks" dxfId="1" priority="111">
      <formula>LEN(TRIM(H20))&gt;0</formula>
    </cfRule>
  </conditionalFormatting>
  <conditionalFormatting sqref="H21">
    <cfRule type="notContainsBlanks" dxfId="1" priority="112">
      <formula>LEN(TRIM(H21))&gt;0</formula>
    </cfRule>
  </conditionalFormatting>
  <conditionalFormatting sqref="H22">
    <cfRule type="notContainsBlanks" dxfId="1" priority="113">
      <formula>LEN(TRIM(H22))&gt;0</formula>
    </cfRule>
  </conditionalFormatting>
  <conditionalFormatting sqref="H23">
    <cfRule type="notContainsBlanks" dxfId="1" priority="114">
      <formula>LEN(TRIM(H23))&gt;0</formula>
    </cfRule>
  </conditionalFormatting>
  <conditionalFormatting sqref="H4">
    <cfRule type="notContainsBlanks" dxfId="1" priority="115">
      <formula>LEN(TRIM(H4))&gt;0</formula>
    </cfRule>
  </conditionalFormatting>
  <conditionalFormatting sqref="H5">
    <cfRule type="notContainsBlanks" dxfId="1" priority="116">
      <formula>LEN(TRIM(H5))&gt;0</formula>
    </cfRule>
  </conditionalFormatting>
  <conditionalFormatting sqref="H6">
    <cfRule type="notContainsBlanks" dxfId="1" priority="117">
      <formula>LEN(TRIM(H6))&gt;0</formula>
    </cfRule>
  </conditionalFormatting>
  <conditionalFormatting sqref="H7">
    <cfRule type="notContainsBlanks" dxfId="1" priority="118">
      <formula>LEN(TRIM(H7))&gt;0</formula>
    </cfRule>
  </conditionalFormatting>
  <conditionalFormatting sqref="H8">
    <cfRule type="notContainsBlanks" dxfId="1" priority="119">
      <formula>LEN(TRIM(H8))&gt;0</formula>
    </cfRule>
  </conditionalFormatting>
  <conditionalFormatting sqref="H9">
    <cfRule type="notContainsBlanks" dxfId="1" priority="120">
      <formula>LEN(TRIM(H9))&gt;0</formula>
    </cfRule>
  </conditionalFormatting>
  <conditionalFormatting sqref="I10">
    <cfRule type="notContainsBlanks" dxfId="1" priority="121">
      <formula>LEN(TRIM(I10))&gt;0</formula>
    </cfRule>
  </conditionalFormatting>
  <conditionalFormatting sqref="I11">
    <cfRule type="notContainsBlanks" dxfId="1" priority="122">
      <formula>LEN(TRIM(I11))&gt;0</formula>
    </cfRule>
  </conditionalFormatting>
  <conditionalFormatting sqref="I12">
    <cfRule type="notContainsBlanks" dxfId="1" priority="123">
      <formula>LEN(TRIM(I12))&gt;0</formula>
    </cfRule>
  </conditionalFormatting>
  <conditionalFormatting sqref="I13">
    <cfRule type="notContainsBlanks" dxfId="1" priority="124">
      <formula>LEN(TRIM(I13))&gt;0</formula>
    </cfRule>
  </conditionalFormatting>
  <conditionalFormatting sqref="I14">
    <cfRule type="notContainsBlanks" dxfId="1" priority="125">
      <formula>LEN(TRIM(I14))&gt;0</formula>
    </cfRule>
  </conditionalFormatting>
  <conditionalFormatting sqref="I15">
    <cfRule type="notContainsBlanks" dxfId="1" priority="126">
      <formula>LEN(TRIM(I15))&gt;0</formula>
    </cfRule>
  </conditionalFormatting>
  <conditionalFormatting sqref="I16">
    <cfRule type="notContainsBlanks" dxfId="1" priority="127">
      <formula>LEN(TRIM(I16))&gt;0</formula>
    </cfRule>
  </conditionalFormatting>
  <conditionalFormatting sqref="I17">
    <cfRule type="notContainsBlanks" dxfId="1" priority="128">
      <formula>LEN(TRIM(I17))&gt;0</formula>
    </cfRule>
  </conditionalFormatting>
  <conditionalFormatting sqref="I18">
    <cfRule type="notContainsBlanks" dxfId="1" priority="129">
      <formula>LEN(TRIM(I18))&gt;0</formula>
    </cfRule>
  </conditionalFormatting>
  <conditionalFormatting sqref="I19">
    <cfRule type="notContainsBlanks" dxfId="1" priority="130">
      <formula>LEN(TRIM(I19))&gt;0</formula>
    </cfRule>
  </conditionalFormatting>
  <conditionalFormatting sqref="I20">
    <cfRule type="notContainsBlanks" dxfId="1" priority="131">
      <formula>LEN(TRIM(I20))&gt;0</formula>
    </cfRule>
  </conditionalFormatting>
  <conditionalFormatting sqref="I21">
    <cfRule type="notContainsBlanks" dxfId="1" priority="132">
      <formula>LEN(TRIM(I21))&gt;0</formula>
    </cfRule>
  </conditionalFormatting>
  <conditionalFormatting sqref="I22">
    <cfRule type="notContainsBlanks" dxfId="1" priority="133">
      <formula>LEN(TRIM(I22))&gt;0</formula>
    </cfRule>
  </conditionalFormatting>
  <conditionalFormatting sqref="I23">
    <cfRule type="notContainsBlanks" dxfId="1" priority="134">
      <formula>LEN(TRIM(I23))&gt;0</formula>
    </cfRule>
  </conditionalFormatting>
  <conditionalFormatting sqref="I4">
    <cfRule type="notContainsBlanks" dxfId="1" priority="135">
      <formula>LEN(TRIM(I4))&gt;0</formula>
    </cfRule>
  </conditionalFormatting>
  <conditionalFormatting sqref="I5">
    <cfRule type="notContainsBlanks" dxfId="1" priority="136">
      <formula>LEN(TRIM(I5))&gt;0</formula>
    </cfRule>
  </conditionalFormatting>
  <conditionalFormatting sqref="I6">
    <cfRule type="notContainsBlanks" dxfId="1" priority="137">
      <formula>LEN(TRIM(I6))&gt;0</formula>
    </cfRule>
  </conditionalFormatting>
  <conditionalFormatting sqref="I7">
    <cfRule type="notContainsBlanks" dxfId="1" priority="138">
      <formula>LEN(TRIM(I7))&gt;0</formula>
    </cfRule>
  </conditionalFormatting>
  <conditionalFormatting sqref="I8">
    <cfRule type="notContainsBlanks" dxfId="1" priority="139">
      <formula>LEN(TRIM(I8))&gt;0</formula>
    </cfRule>
  </conditionalFormatting>
  <conditionalFormatting sqref="I9">
    <cfRule type="notContainsBlanks" dxfId="1" priority="140">
      <formula>LEN(TRIM(I9))&gt;0</formula>
    </cfRule>
  </conditionalFormatting>
  <conditionalFormatting sqref="J10">
    <cfRule type="notContainsBlanks" dxfId="1" priority="141">
      <formula>LEN(TRIM(J10))&gt;0</formula>
    </cfRule>
  </conditionalFormatting>
  <conditionalFormatting sqref="J11">
    <cfRule type="notContainsBlanks" dxfId="1" priority="142">
      <formula>LEN(TRIM(J11))&gt;0</formula>
    </cfRule>
  </conditionalFormatting>
  <conditionalFormatting sqref="J12">
    <cfRule type="notContainsBlanks" dxfId="1" priority="143">
      <formula>LEN(TRIM(J12))&gt;0</formula>
    </cfRule>
  </conditionalFormatting>
  <conditionalFormatting sqref="J13">
    <cfRule type="notContainsBlanks" dxfId="1" priority="144">
      <formula>LEN(TRIM(J13))&gt;0</formula>
    </cfRule>
  </conditionalFormatting>
  <conditionalFormatting sqref="J14">
    <cfRule type="notContainsBlanks" dxfId="1" priority="145">
      <formula>LEN(TRIM(J14))&gt;0</formula>
    </cfRule>
  </conditionalFormatting>
  <conditionalFormatting sqref="J15">
    <cfRule type="notContainsBlanks" dxfId="1" priority="146">
      <formula>LEN(TRIM(J15))&gt;0</formula>
    </cfRule>
  </conditionalFormatting>
  <conditionalFormatting sqref="J16">
    <cfRule type="notContainsBlanks" dxfId="1" priority="147">
      <formula>LEN(TRIM(J16))&gt;0</formula>
    </cfRule>
  </conditionalFormatting>
  <conditionalFormatting sqref="J17">
    <cfRule type="notContainsBlanks" dxfId="1" priority="148">
      <formula>LEN(TRIM(J17))&gt;0</formula>
    </cfRule>
  </conditionalFormatting>
  <conditionalFormatting sqref="J18">
    <cfRule type="notContainsBlanks" dxfId="1" priority="149">
      <formula>LEN(TRIM(J18))&gt;0</formula>
    </cfRule>
  </conditionalFormatting>
  <conditionalFormatting sqref="J19">
    <cfRule type="notContainsBlanks" dxfId="1" priority="150">
      <formula>LEN(TRIM(J19))&gt;0</formula>
    </cfRule>
  </conditionalFormatting>
  <conditionalFormatting sqref="J20">
    <cfRule type="notContainsBlanks" dxfId="1" priority="151">
      <formula>LEN(TRIM(J20))&gt;0</formula>
    </cfRule>
  </conditionalFormatting>
  <conditionalFormatting sqref="J21">
    <cfRule type="notContainsBlanks" dxfId="1" priority="152">
      <formula>LEN(TRIM(J21))&gt;0</formula>
    </cfRule>
  </conditionalFormatting>
  <conditionalFormatting sqref="J22">
    <cfRule type="notContainsBlanks" dxfId="1" priority="153">
      <formula>LEN(TRIM(J22))&gt;0</formula>
    </cfRule>
  </conditionalFormatting>
  <conditionalFormatting sqref="J23">
    <cfRule type="notContainsBlanks" dxfId="1" priority="154">
      <formula>LEN(TRIM(J23))&gt;0</formula>
    </cfRule>
  </conditionalFormatting>
  <conditionalFormatting sqref="J4">
    <cfRule type="notContainsBlanks" dxfId="1" priority="155">
      <formula>LEN(TRIM(J4))&gt;0</formula>
    </cfRule>
  </conditionalFormatting>
  <conditionalFormatting sqref="J5">
    <cfRule type="notContainsBlanks" dxfId="1" priority="156">
      <formula>LEN(TRIM(J5))&gt;0</formula>
    </cfRule>
  </conditionalFormatting>
  <conditionalFormatting sqref="J6">
    <cfRule type="notContainsBlanks" dxfId="1" priority="157">
      <formula>LEN(TRIM(J6))&gt;0</formula>
    </cfRule>
  </conditionalFormatting>
  <conditionalFormatting sqref="J7">
    <cfRule type="notContainsBlanks" dxfId="1" priority="158">
      <formula>LEN(TRIM(J7))&gt;0</formula>
    </cfRule>
  </conditionalFormatting>
  <conditionalFormatting sqref="J8">
    <cfRule type="notContainsBlanks" dxfId="1" priority="159">
      <formula>LEN(TRIM(J8))&gt;0</formula>
    </cfRule>
  </conditionalFormatting>
  <conditionalFormatting sqref="J9">
    <cfRule type="notContainsBlanks" dxfId="1" priority="160">
      <formula>LEN(TRIM(J9))&gt;0</formula>
    </cfRule>
  </conditionalFormatting>
  <printOptions/>
  <pageMargins bottom="0.75" footer="0.0" header="0.0" left="0.7" right="0.7" top="0.75"/>
  <pageSetup orientation="landscape"/>
  <drawing r:id="rId1"/>
</worksheet>
</file>